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raterasro-my.sharepoint.com/personal/martinhrabcik_straterasro_onmicrosoft_com/Documents/Stratera/01_Zakázky/01_Realizace/2025_zakázky/25005_DEK Litvínov/03_Rozpočty/REV 4/"/>
    </mc:Choice>
  </mc:AlternateContent>
  <xr:revisionPtr revIDLastSave="223" documentId="13_ncr:1_{9088755D-4C1B-4E60-93C0-3AEE676028BE}" xr6:coauthVersionLast="47" xr6:coauthVersionMax="47" xr10:uidLastSave="{08FF4B6D-93B9-45A2-B3B1-9E0A51E52B54}"/>
  <bookViews>
    <workbookView minimized="1" xWindow="20383" yWindow="2220" windowWidth="10174" windowHeight="8511" activeTab="1" xr2:uid="{00000000-000D-0000-FFFF-FFFF00000000}"/>
  </bookViews>
  <sheets>
    <sheet name="Rekapitulace" sheetId="1" r:id="rId1"/>
    <sheet name="Položkově" sheetId="2" r:id="rId2"/>
  </sheets>
  <definedNames>
    <definedName name="_dph1">Rekapitulace!#REF!</definedName>
    <definedName name="_dph2">Rekapitulace!#REF!</definedName>
    <definedName name="_dph3">Rekapitulace!#REF!</definedName>
    <definedName name="_pol1">Položkově!#REF!</definedName>
    <definedName name="_pol2">Položkově!#REF!</definedName>
    <definedName name="_pol3">Položkově!#REF!</definedName>
    <definedName name="footer">Rekapitulace!#REF!</definedName>
    <definedName name="footer2">Položkově!#REF!</definedName>
    <definedName name="head1">Rekapitulace!#REF!</definedName>
    <definedName name="Header">Rekapitulace!#REF!</definedName>
    <definedName name="Header2">Položkově!#REF!</definedName>
    <definedName name="Hlava1">Rekapitulace!#REF!</definedName>
    <definedName name="Hlava2">Rekapitulace!#REF!</definedName>
    <definedName name="Hlava3">Rekapitulace!#REF!</definedName>
    <definedName name="Hlava4">Rekapitulace!#REF!</definedName>
    <definedName name="polbezcen1">Položkově!#REF!</definedName>
    <definedName name="polcen2">Položkově!#REF!</definedName>
    <definedName name="polcen3">Položkově!#REF!</definedName>
    <definedName name="Poznamka">Rekapitulace!#REF!</definedName>
    <definedName name="ZakHead">Rekapitulace!#REF!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/>
  <c r="K36" i="2"/>
  <c r="L36" i="2" s="1"/>
  <c r="K37" i="2"/>
  <c r="L37" i="2" s="1"/>
  <c r="K38" i="2"/>
  <c r="L38" i="2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116" i="2"/>
  <c r="L116" i="2" s="1"/>
  <c r="F116" i="2" s="1"/>
  <c r="K117" i="2"/>
  <c r="L117" i="2" s="1"/>
  <c r="F117" i="2" s="1"/>
  <c r="K118" i="2"/>
  <c r="L118" i="2" s="1"/>
  <c r="F118" i="2" s="1"/>
  <c r="K119" i="2"/>
  <c r="L119" i="2" s="1"/>
  <c r="F119" i="2" s="1"/>
  <c r="K120" i="2"/>
  <c r="L120" i="2" s="1"/>
  <c r="F120" i="2" s="1"/>
  <c r="K121" i="2"/>
  <c r="L121" i="2" s="1"/>
  <c r="F121" i="2" s="1"/>
  <c r="K122" i="2"/>
  <c r="L122" i="2" s="1"/>
  <c r="F122" i="2" s="1"/>
  <c r="K123" i="2"/>
  <c r="L123" i="2" s="1"/>
  <c r="F123" i="2" s="1"/>
  <c r="K124" i="2"/>
  <c r="L124" i="2"/>
  <c r="F124" i="2" s="1"/>
  <c r="K125" i="2"/>
  <c r="L125" i="2" s="1"/>
  <c r="F125" i="2" s="1"/>
  <c r="K126" i="2"/>
  <c r="L126" i="2" s="1"/>
  <c r="F126" i="2" s="1"/>
  <c r="K127" i="2"/>
  <c r="L127" i="2" s="1"/>
  <c r="F127" i="2" s="1"/>
  <c r="K128" i="2"/>
  <c r="L128" i="2" s="1"/>
  <c r="F128" i="2" s="1"/>
  <c r="K129" i="2"/>
  <c r="L129" i="2" s="1"/>
  <c r="F129" i="2" s="1"/>
  <c r="K130" i="2"/>
  <c r="L130" i="2" s="1"/>
  <c r="F130" i="2" s="1"/>
  <c r="K131" i="2"/>
  <c r="L131" i="2" s="1"/>
  <c r="F131" i="2" s="1"/>
  <c r="K132" i="2"/>
  <c r="L132" i="2" s="1"/>
  <c r="F132" i="2" s="1"/>
  <c r="K133" i="2"/>
  <c r="L133" i="2" s="1"/>
  <c r="F133" i="2" s="1"/>
  <c r="K134" i="2"/>
  <c r="L134" i="2" s="1"/>
  <c r="F134" i="2" s="1"/>
  <c r="K135" i="2"/>
  <c r="L135" i="2" s="1"/>
  <c r="F135" i="2" s="1"/>
  <c r="K136" i="2"/>
  <c r="L136" i="2" s="1"/>
  <c r="F136" i="2" s="1"/>
  <c r="K137" i="2"/>
  <c r="L137" i="2"/>
  <c r="F137" i="2" s="1"/>
  <c r="K138" i="2"/>
  <c r="L138" i="2" s="1"/>
  <c r="F138" i="2" s="1"/>
  <c r="K139" i="2"/>
  <c r="L139" i="2" s="1"/>
  <c r="F139" i="2" s="1"/>
  <c r="K140" i="2"/>
  <c r="L140" i="2" s="1"/>
  <c r="F140" i="2" s="1"/>
  <c r="K141" i="2"/>
  <c r="L141" i="2"/>
  <c r="F141" i="2" s="1"/>
  <c r="K142" i="2"/>
  <c r="L142" i="2" s="1"/>
  <c r="F142" i="2" s="1"/>
  <c r="K143" i="2"/>
  <c r="L143" i="2" s="1"/>
  <c r="F143" i="2" s="1"/>
  <c r="K144" i="2"/>
  <c r="L144" i="2" s="1"/>
  <c r="F144" i="2" s="1"/>
  <c r="K145" i="2"/>
  <c r="L145" i="2" s="1"/>
  <c r="F145" i="2" s="1"/>
  <c r="K146" i="2"/>
  <c r="L146" i="2" s="1"/>
  <c r="F146" i="2" s="1"/>
  <c r="K147" i="2"/>
  <c r="L147" i="2" s="1"/>
  <c r="F147" i="2" s="1"/>
  <c r="K148" i="2"/>
  <c r="L148" i="2" s="1"/>
  <c r="F148" i="2" s="1"/>
  <c r="K149" i="2"/>
  <c r="L149" i="2" s="1"/>
  <c r="F149" i="2" s="1"/>
  <c r="K150" i="2"/>
  <c r="L150" i="2" s="1"/>
  <c r="F150" i="2" s="1"/>
  <c r="K151" i="2"/>
  <c r="L151" i="2" s="1"/>
  <c r="F151" i="2" s="1"/>
  <c r="K152" i="2"/>
  <c r="L152" i="2" s="1"/>
  <c r="F152" i="2" s="1"/>
  <c r="K153" i="2"/>
  <c r="L153" i="2" s="1"/>
  <c r="F153" i="2" s="1"/>
  <c r="K154" i="2"/>
  <c r="L154" i="2" s="1"/>
  <c r="F154" i="2" s="1"/>
  <c r="K155" i="2"/>
  <c r="L155" i="2" s="1"/>
  <c r="F155" i="2" s="1"/>
  <c r="K180" i="2"/>
  <c r="L180" i="2" s="1"/>
  <c r="F180" i="2" s="1"/>
  <c r="K181" i="2"/>
  <c r="L181" i="2" s="1"/>
  <c r="F181" i="2" s="1"/>
  <c r="K182" i="2"/>
  <c r="L182" i="2" s="1"/>
  <c r="F182" i="2" s="1"/>
  <c r="K183" i="2"/>
  <c r="L183" i="2" s="1"/>
  <c r="F183" i="2" s="1"/>
  <c r="K184" i="2"/>
  <c r="L184" i="2" s="1"/>
  <c r="F184" i="2" s="1"/>
  <c r="K185" i="2"/>
  <c r="L185" i="2"/>
  <c r="F185" i="2" s="1"/>
  <c r="K186" i="2"/>
  <c r="L186" i="2" s="1"/>
  <c r="F186" i="2" s="1"/>
  <c r="K187" i="2"/>
  <c r="L187" i="2" s="1"/>
  <c r="F187" i="2" s="1"/>
  <c r="K188" i="2"/>
  <c r="L188" i="2" s="1"/>
  <c r="F188" i="2" s="1"/>
  <c r="K189" i="2"/>
  <c r="L189" i="2" s="1"/>
  <c r="F189" i="2" s="1"/>
  <c r="K259" i="2"/>
  <c r="L259" i="2" s="1"/>
  <c r="F259" i="2" s="1"/>
  <c r="K260" i="2"/>
  <c r="L260" i="2" s="1"/>
  <c r="F260" i="2" s="1"/>
  <c r="K261" i="2"/>
  <c r="L261" i="2" s="1"/>
  <c r="F261" i="2" s="1"/>
  <c r="K262" i="2"/>
  <c r="L262" i="2" s="1"/>
  <c r="F262" i="2" s="1"/>
  <c r="K263" i="2"/>
  <c r="L263" i="2" s="1"/>
  <c r="F263" i="2" s="1"/>
  <c r="K264" i="2"/>
  <c r="L264" i="2"/>
  <c r="F264" i="2" s="1"/>
  <c r="K265" i="2"/>
  <c r="L265" i="2" s="1"/>
  <c r="F265" i="2" s="1"/>
  <c r="K266" i="2"/>
  <c r="L266" i="2" s="1"/>
  <c r="F266" i="2" s="1"/>
  <c r="K267" i="2"/>
  <c r="L267" i="2" s="1"/>
  <c r="F267" i="2" s="1"/>
  <c r="K268" i="2"/>
  <c r="L268" i="2" s="1"/>
  <c r="F268" i="2" s="1"/>
  <c r="K269" i="2"/>
  <c r="L269" i="2" s="1"/>
  <c r="F269" i="2" s="1"/>
  <c r="K270" i="2"/>
  <c r="L270" i="2" s="1"/>
  <c r="F270" i="2" s="1"/>
  <c r="K271" i="2"/>
  <c r="L271" i="2" s="1"/>
  <c r="F271" i="2" s="1"/>
  <c r="K272" i="2"/>
  <c r="L272" i="2"/>
  <c r="F272" i="2" s="1"/>
  <c r="K273" i="2"/>
  <c r="L273" i="2" s="1"/>
  <c r="F273" i="2" s="1"/>
  <c r="K274" i="2"/>
  <c r="L274" i="2" s="1"/>
  <c r="F274" i="2" s="1"/>
  <c r="K275" i="2"/>
  <c r="L275" i="2" s="1"/>
  <c r="F275" i="2" s="1"/>
  <c r="K276" i="2"/>
  <c r="L276" i="2" s="1"/>
  <c r="F276" i="2" s="1"/>
  <c r="K277" i="2"/>
  <c r="L277" i="2"/>
  <c r="F277" i="2" s="1"/>
  <c r="K278" i="2"/>
  <c r="L278" i="2" s="1"/>
  <c r="F278" i="2" s="1"/>
  <c r="K279" i="2"/>
  <c r="L279" i="2" s="1"/>
  <c r="F279" i="2" s="1"/>
  <c r="K280" i="2"/>
  <c r="L280" i="2"/>
  <c r="F280" i="2" s="1"/>
  <c r="K281" i="2"/>
  <c r="L281" i="2" s="1"/>
  <c r="F281" i="2" s="1"/>
  <c r="K282" i="2"/>
  <c r="L282" i="2" s="1"/>
  <c r="F282" i="2" s="1"/>
  <c r="K283" i="2"/>
  <c r="L283" i="2" s="1"/>
  <c r="F283" i="2" s="1"/>
  <c r="K284" i="2"/>
  <c r="L284" i="2" s="1"/>
  <c r="F284" i="2" s="1"/>
  <c r="K285" i="2"/>
  <c r="L285" i="2"/>
  <c r="F285" i="2" s="1"/>
  <c r="K286" i="2"/>
  <c r="L286" i="2" s="1"/>
  <c r="F286" i="2" s="1"/>
  <c r="K287" i="2"/>
  <c r="L287" i="2" s="1"/>
  <c r="F287" i="2" s="1"/>
  <c r="K288" i="2"/>
  <c r="L288" i="2" s="1"/>
  <c r="F288" i="2" s="1"/>
  <c r="K289" i="2"/>
  <c r="L289" i="2" s="1"/>
  <c r="F289" i="2" s="1"/>
  <c r="K290" i="2"/>
  <c r="L290" i="2" s="1"/>
  <c r="F290" i="2" s="1"/>
  <c r="K291" i="2"/>
  <c r="L291" i="2" s="1"/>
  <c r="F291" i="2" s="1"/>
  <c r="K292" i="2"/>
  <c r="L292" i="2" s="1"/>
  <c r="F292" i="2" s="1"/>
  <c r="K293" i="2"/>
  <c r="L293" i="2" s="1"/>
  <c r="F293" i="2" s="1"/>
  <c r="K294" i="2"/>
  <c r="L294" i="2" s="1"/>
  <c r="F294" i="2" s="1"/>
  <c r="K295" i="2"/>
  <c r="L295" i="2" s="1"/>
  <c r="F295" i="2" s="1"/>
  <c r="K296" i="2"/>
  <c r="L296" i="2" s="1"/>
  <c r="F296" i="2" s="1"/>
  <c r="K297" i="2"/>
  <c r="L297" i="2" s="1"/>
  <c r="F297" i="2" s="1"/>
  <c r="K298" i="2"/>
  <c r="L298" i="2" s="1"/>
  <c r="F298" i="2" s="1"/>
  <c r="K299" i="2"/>
  <c r="L299" i="2" s="1"/>
  <c r="F299" i="2" s="1"/>
  <c r="K330" i="2"/>
  <c r="L330" i="2"/>
  <c r="F330" i="2" s="1"/>
  <c r="K331" i="2"/>
  <c r="L331" i="2" s="1"/>
  <c r="F331" i="2" s="1"/>
  <c r="K332" i="2"/>
  <c r="L332" i="2" s="1"/>
  <c r="F332" i="2" s="1"/>
  <c r="K333" i="2"/>
  <c r="L333" i="2" s="1"/>
  <c r="F333" i="2" s="1"/>
  <c r="K334" i="2"/>
  <c r="L334" i="2" s="1"/>
  <c r="F334" i="2" s="1"/>
  <c r="K335" i="2"/>
  <c r="L335" i="2" s="1"/>
  <c r="F335" i="2" s="1"/>
  <c r="K336" i="2"/>
  <c r="L336" i="2" s="1"/>
  <c r="F336" i="2" s="1"/>
  <c r="K337" i="2"/>
  <c r="L337" i="2" s="1"/>
  <c r="F337" i="2" s="1"/>
  <c r="K338" i="2"/>
  <c r="L338" i="2"/>
  <c r="F338" i="2" s="1"/>
  <c r="K339" i="2"/>
  <c r="L339" i="2" s="1"/>
  <c r="F339" i="2" s="1"/>
  <c r="K340" i="2"/>
  <c r="L340" i="2" s="1"/>
  <c r="F340" i="2" s="1"/>
  <c r="K341" i="2"/>
  <c r="L341" i="2" s="1"/>
  <c r="F341" i="2" s="1"/>
  <c r="K9" i="2"/>
  <c r="L9" i="2" s="1"/>
  <c r="O1" i="2"/>
  <c r="O9" i="2" s="1"/>
  <c r="P9" i="2" s="1"/>
  <c r="F9" i="2" l="1"/>
  <c r="F61" i="2"/>
  <c r="O307" i="2"/>
  <c r="P307" i="2" s="1"/>
  <c r="F307" i="2" s="1"/>
  <c r="O164" i="2"/>
  <c r="P164" i="2" s="1"/>
  <c r="F164" i="2" s="1"/>
  <c r="O163" i="2"/>
  <c r="P163" i="2" s="1"/>
  <c r="F163" i="2" s="1"/>
  <c r="O204" i="2"/>
  <c r="P204" i="2" s="1"/>
  <c r="F204" i="2" s="1"/>
  <c r="O162" i="2"/>
  <c r="P162" i="2" s="1"/>
  <c r="F162" i="2" s="1"/>
  <c r="O251" i="2"/>
  <c r="P251" i="2" s="1"/>
  <c r="F251" i="2" s="1"/>
  <c r="O39" i="2"/>
  <c r="P39" i="2" s="1"/>
  <c r="F39" i="2" s="1"/>
  <c r="O246" i="2"/>
  <c r="P246" i="2" s="1"/>
  <c r="F246" i="2" s="1"/>
  <c r="O245" i="2"/>
  <c r="P245" i="2" s="1"/>
  <c r="F245" i="2" s="1"/>
  <c r="O98" i="2"/>
  <c r="P98" i="2" s="1"/>
  <c r="F98" i="2" s="1"/>
  <c r="O97" i="2"/>
  <c r="P97" i="2" s="1"/>
  <c r="F97" i="2" s="1"/>
  <c r="O26" i="2"/>
  <c r="P26" i="2" s="1"/>
  <c r="F26" i="2" s="1"/>
  <c r="O230" i="2"/>
  <c r="P230" i="2" s="1"/>
  <c r="F230" i="2" s="1"/>
  <c r="O61" i="2"/>
  <c r="P61" i="2" s="1"/>
  <c r="O229" i="2"/>
  <c r="P229" i="2" s="1"/>
  <c r="F229" i="2" s="1"/>
  <c r="O96" i="2"/>
  <c r="P96" i="2" s="1"/>
  <c r="F96" i="2" s="1"/>
  <c r="O323" i="2"/>
  <c r="P323" i="2" s="1"/>
  <c r="F323" i="2" s="1"/>
  <c r="O60" i="2"/>
  <c r="P60" i="2" s="1"/>
  <c r="O228" i="2"/>
  <c r="P228" i="2" s="1"/>
  <c r="F228" i="2" s="1"/>
  <c r="O310" i="2"/>
  <c r="P310" i="2" s="1"/>
  <c r="F310" i="2" s="1"/>
  <c r="O206" i="2"/>
  <c r="P206" i="2" s="1"/>
  <c r="F206" i="2" s="1"/>
  <c r="O68" i="2"/>
  <c r="P68" i="2" s="1"/>
  <c r="O205" i="2"/>
  <c r="P205" i="2" s="1"/>
  <c r="F205" i="2" s="1"/>
  <c r="O309" i="2"/>
  <c r="P309" i="2" s="1"/>
  <c r="F309" i="2" s="1"/>
  <c r="O198" i="2"/>
  <c r="P198" i="2" s="1"/>
  <c r="F198" i="2" s="1"/>
  <c r="O90" i="2"/>
  <c r="P90" i="2" s="1"/>
  <c r="F90" i="2" s="1"/>
  <c r="O31" i="2"/>
  <c r="P31" i="2" s="1"/>
  <c r="F31" i="2" s="1"/>
  <c r="O320" i="2"/>
  <c r="P320" i="2" s="1"/>
  <c r="F320" i="2" s="1"/>
  <c r="O244" i="2"/>
  <c r="P244" i="2" s="1"/>
  <c r="F244" i="2" s="1"/>
  <c r="O222" i="2"/>
  <c r="P222" i="2" s="1"/>
  <c r="F222" i="2" s="1"/>
  <c r="O197" i="2"/>
  <c r="P197" i="2" s="1"/>
  <c r="F197" i="2" s="1"/>
  <c r="O89" i="2"/>
  <c r="P89" i="2" s="1"/>
  <c r="F89" i="2" s="1"/>
  <c r="O38" i="2"/>
  <c r="P38" i="2" s="1"/>
  <c r="F38" i="2" s="1"/>
  <c r="O14" i="2"/>
  <c r="P14" i="2" s="1"/>
  <c r="F14" i="2" s="1"/>
  <c r="O319" i="2"/>
  <c r="P319" i="2" s="1"/>
  <c r="F319" i="2" s="1"/>
  <c r="O221" i="2"/>
  <c r="P221" i="2" s="1"/>
  <c r="F221" i="2" s="1"/>
  <c r="O65" i="2"/>
  <c r="P65" i="2" s="1"/>
  <c r="O30" i="2"/>
  <c r="P30" i="2" s="1"/>
  <c r="F30" i="2" s="1"/>
  <c r="O243" i="2"/>
  <c r="P243" i="2" s="1"/>
  <c r="F243" i="2" s="1"/>
  <c r="O196" i="2"/>
  <c r="P196" i="2" s="1"/>
  <c r="F196" i="2" s="1"/>
  <c r="O88" i="2"/>
  <c r="P88" i="2" s="1"/>
  <c r="F88" i="2" s="1"/>
  <c r="O318" i="2"/>
  <c r="P318" i="2" s="1"/>
  <c r="F318" i="2" s="1"/>
  <c r="O220" i="2"/>
  <c r="P220" i="2" s="1"/>
  <c r="F220" i="2" s="1"/>
  <c r="O238" i="2"/>
  <c r="P238" i="2" s="1"/>
  <c r="F238" i="2" s="1"/>
  <c r="O82" i="2"/>
  <c r="P82" i="2" s="1"/>
  <c r="F82" i="2" s="1"/>
  <c r="O317" i="2"/>
  <c r="P317" i="2" s="1"/>
  <c r="F317" i="2" s="1"/>
  <c r="O237" i="2"/>
  <c r="P237" i="2" s="1"/>
  <c r="F237" i="2" s="1"/>
  <c r="O214" i="2"/>
  <c r="P214" i="2" s="1"/>
  <c r="F214" i="2" s="1"/>
  <c r="O172" i="2"/>
  <c r="P172" i="2" s="1"/>
  <c r="F172" i="2" s="1"/>
  <c r="O106" i="2"/>
  <c r="P106" i="2" s="1"/>
  <c r="F106" i="2" s="1"/>
  <c r="O81" i="2"/>
  <c r="P81" i="2" s="1"/>
  <c r="F81" i="2" s="1"/>
  <c r="O64" i="2"/>
  <c r="P64" i="2" s="1"/>
  <c r="F64" i="2" s="1"/>
  <c r="O35" i="2"/>
  <c r="P35" i="2" s="1"/>
  <c r="F35" i="2" s="1"/>
  <c r="O315" i="2"/>
  <c r="P315" i="2" s="1"/>
  <c r="F315" i="2" s="1"/>
  <c r="O213" i="2"/>
  <c r="P213" i="2" s="1"/>
  <c r="F213" i="2" s="1"/>
  <c r="O171" i="2"/>
  <c r="P171" i="2" s="1"/>
  <c r="F171" i="2" s="1"/>
  <c r="O105" i="2"/>
  <c r="P105" i="2" s="1"/>
  <c r="F105" i="2" s="1"/>
  <c r="O56" i="2"/>
  <c r="P56" i="2" s="1"/>
  <c r="O42" i="2"/>
  <c r="P42" i="2" s="1"/>
  <c r="F42" i="2" s="1"/>
  <c r="O253" i="2"/>
  <c r="P253" i="2" s="1"/>
  <c r="O236" i="2"/>
  <c r="P236" i="2" s="1"/>
  <c r="F236" i="2" s="1"/>
  <c r="O80" i="2"/>
  <c r="P80" i="2" s="1"/>
  <c r="F80" i="2" s="1"/>
  <c r="O312" i="2"/>
  <c r="P312" i="2" s="1"/>
  <c r="F312" i="2" s="1"/>
  <c r="O212" i="2"/>
  <c r="P212" i="2" s="1"/>
  <c r="F212" i="2" s="1"/>
  <c r="O170" i="2"/>
  <c r="P170" i="2" s="1"/>
  <c r="F170" i="2" s="1"/>
  <c r="O104" i="2"/>
  <c r="P104" i="2" s="1"/>
  <c r="F104" i="2" s="1"/>
  <c r="O311" i="2"/>
  <c r="P311" i="2" s="1"/>
  <c r="F311" i="2" s="1"/>
  <c r="O252" i="2"/>
  <c r="P252" i="2" s="1"/>
  <c r="F252" i="2" s="1"/>
  <c r="O235" i="2"/>
  <c r="P235" i="2" s="1"/>
  <c r="F235" i="2" s="1"/>
  <c r="O69" i="2"/>
  <c r="P69" i="2" s="1"/>
  <c r="F69" i="2" s="1"/>
  <c r="O34" i="2"/>
  <c r="P34" i="2" s="1"/>
  <c r="F34" i="2" s="1"/>
  <c r="O18" i="2"/>
  <c r="P18" i="2" s="1"/>
  <c r="F18" i="2" s="1"/>
  <c r="O47" i="2"/>
  <c r="P47" i="2" s="1"/>
  <c r="F47" i="2" s="1"/>
  <c r="O43" i="2"/>
  <c r="P43" i="2" s="1"/>
  <c r="F43" i="2" s="1"/>
  <c r="O22" i="2"/>
  <c r="P22" i="2" s="1"/>
  <c r="F22" i="2" s="1"/>
  <c r="O13" i="2"/>
  <c r="P13" i="2" s="1"/>
  <c r="F13" i="2" s="1"/>
  <c r="O17" i="2"/>
  <c r="P17" i="2" s="1"/>
  <c r="F17" i="2" s="1"/>
  <c r="O46" i="2"/>
  <c r="P46" i="2" s="1"/>
  <c r="F46" i="2" s="1"/>
  <c r="O21" i="2"/>
  <c r="P21" i="2" s="1"/>
  <c r="F21" i="2" s="1"/>
  <c r="O12" i="2"/>
  <c r="P12" i="2" s="1"/>
  <c r="F12" i="2" s="1"/>
  <c r="O227" i="2"/>
  <c r="P227" i="2" s="1"/>
  <c r="F227" i="2" s="1"/>
  <c r="O219" i="2"/>
  <c r="P219" i="2" s="1"/>
  <c r="F219" i="2" s="1"/>
  <c r="O211" i="2"/>
  <c r="P211" i="2" s="1"/>
  <c r="F211" i="2" s="1"/>
  <c r="O203" i="2"/>
  <c r="P203" i="2" s="1"/>
  <c r="F203" i="2" s="1"/>
  <c r="O195" i="2"/>
  <c r="P195" i="2" s="1"/>
  <c r="F195" i="2" s="1"/>
  <c r="O169" i="2"/>
  <c r="P169" i="2" s="1"/>
  <c r="F169" i="2" s="1"/>
  <c r="O161" i="2"/>
  <c r="P161" i="2" s="1"/>
  <c r="F161" i="2" s="1"/>
  <c r="O103" i="2"/>
  <c r="P103" i="2" s="1"/>
  <c r="F103" i="2" s="1"/>
  <c r="O95" i="2"/>
  <c r="P95" i="2" s="1"/>
  <c r="F95" i="2" s="1"/>
  <c r="O87" i="2"/>
  <c r="P87" i="2" s="1"/>
  <c r="F87" i="2" s="1"/>
  <c r="O79" i="2"/>
  <c r="P79" i="2" s="1"/>
  <c r="F79" i="2" s="1"/>
  <c r="O59" i="2"/>
  <c r="P59" i="2" s="1"/>
  <c r="O55" i="2"/>
  <c r="P55" i="2" s="1"/>
  <c r="O29" i="2"/>
  <c r="P29" i="2" s="1"/>
  <c r="F29" i="2" s="1"/>
  <c r="O25" i="2"/>
  <c r="P25" i="2" s="1"/>
  <c r="F25" i="2" s="1"/>
  <c r="O63" i="2"/>
  <c r="P63" i="2" s="1"/>
  <c r="F63" i="2" s="1"/>
  <c r="O33" i="2"/>
  <c r="P33" i="2" s="1"/>
  <c r="F33" i="2" s="1"/>
  <c r="O324" i="2"/>
  <c r="P324" i="2" s="1"/>
  <c r="F324" i="2" s="1"/>
  <c r="O316" i="2"/>
  <c r="P316" i="2" s="1"/>
  <c r="F316" i="2" s="1"/>
  <c r="O308" i="2"/>
  <c r="P308" i="2" s="1"/>
  <c r="F308" i="2" s="1"/>
  <c r="O250" i="2"/>
  <c r="P250" i="2" s="1"/>
  <c r="F250" i="2" s="1"/>
  <c r="O242" i="2"/>
  <c r="P242" i="2" s="1"/>
  <c r="F242" i="2" s="1"/>
  <c r="O234" i="2"/>
  <c r="P234" i="2" s="1"/>
  <c r="F234" i="2" s="1"/>
  <c r="O226" i="2"/>
  <c r="P226" i="2" s="1"/>
  <c r="F226" i="2" s="1"/>
  <c r="O218" i="2"/>
  <c r="P218" i="2" s="1"/>
  <c r="F218" i="2" s="1"/>
  <c r="O210" i="2"/>
  <c r="P210" i="2" s="1"/>
  <c r="F210" i="2" s="1"/>
  <c r="O202" i="2"/>
  <c r="P202" i="2" s="1"/>
  <c r="F202" i="2" s="1"/>
  <c r="O168" i="2"/>
  <c r="P168" i="2" s="1"/>
  <c r="F168" i="2" s="1"/>
  <c r="O110" i="2"/>
  <c r="P110" i="2" s="1"/>
  <c r="F110" i="2" s="1"/>
  <c r="O102" i="2"/>
  <c r="P102" i="2" s="1"/>
  <c r="F102" i="2" s="1"/>
  <c r="O94" i="2"/>
  <c r="P94" i="2" s="1"/>
  <c r="F94" i="2" s="1"/>
  <c r="O86" i="2"/>
  <c r="P86" i="2" s="1"/>
  <c r="F86" i="2" s="1"/>
  <c r="O78" i="2"/>
  <c r="P78" i="2" s="1"/>
  <c r="F78" i="2" s="1"/>
  <c r="O67" i="2"/>
  <c r="P67" i="2" s="1"/>
  <c r="O41" i="2"/>
  <c r="P41" i="2" s="1"/>
  <c r="F41" i="2" s="1"/>
  <c r="O37" i="2"/>
  <c r="P37" i="2" s="1"/>
  <c r="F37" i="2" s="1"/>
  <c r="O16" i="2"/>
  <c r="P16" i="2" s="1"/>
  <c r="F16" i="2" s="1"/>
  <c r="O54" i="2"/>
  <c r="P54" i="2" s="1"/>
  <c r="O45" i="2"/>
  <c r="P45" i="2" s="1"/>
  <c r="F45" i="2" s="1"/>
  <c r="O24" i="2"/>
  <c r="P24" i="2" s="1"/>
  <c r="F24" i="2" s="1"/>
  <c r="O20" i="2"/>
  <c r="P20" i="2" s="1"/>
  <c r="F20" i="2" s="1"/>
  <c r="O11" i="2"/>
  <c r="P11" i="2" s="1"/>
  <c r="F11" i="2" s="1"/>
  <c r="O249" i="2"/>
  <c r="P249" i="2" s="1"/>
  <c r="F249" i="2" s="1"/>
  <c r="O241" i="2"/>
  <c r="P241" i="2" s="1"/>
  <c r="F241" i="2" s="1"/>
  <c r="O233" i="2"/>
  <c r="P233" i="2" s="1"/>
  <c r="F233" i="2" s="1"/>
  <c r="O225" i="2"/>
  <c r="P225" i="2" s="1"/>
  <c r="F225" i="2" s="1"/>
  <c r="O217" i="2"/>
  <c r="P217" i="2" s="1"/>
  <c r="F217" i="2" s="1"/>
  <c r="O209" i="2"/>
  <c r="P209" i="2" s="1"/>
  <c r="F209" i="2" s="1"/>
  <c r="O201" i="2"/>
  <c r="P201" i="2" s="1"/>
  <c r="F201" i="2" s="1"/>
  <c r="O167" i="2"/>
  <c r="P167" i="2" s="1"/>
  <c r="F167" i="2" s="1"/>
  <c r="O109" i="2"/>
  <c r="P109" i="2" s="1"/>
  <c r="F109" i="2" s="1"/>
  <c r="O101" i="2"/>
  <c r="P101" i="2" s="1"/>
  <c r="F101" i="2" s="1"/>
  <c r="O93" i="2"/>
  <c r="P93" i="2" s="1"/>
  <c r="F93" i="2" s="1"/>
  <c r="O85" i="2"/>
  <c r="P85" i="2" s="1"/>
  <c r="F85" i="2" s="1"/>
  <c r="O77" i="2"/>
  <c r="P77" i="2" s="1"/>
  <c r="F77" i="2" s="1"/>
  <c r="O58" i="2"/>
  <c r="P58" i="2" s="1"/>
  <c r="O28" i="2"/>
  <c r="P28" i="2" s="1"/>
  <c r="F28" i="2" s="1"/>
  <c r="O66" i="2"/>
  <c r="P66" i="2" s="1"/>
  <c r="O62" i="2"/>
  <c r="P62" i="2" s="1"/>
  <c r="F62" i="2" s="1"/>
  <c r="O36" i="2"/>
  <c r="P36" i="2" s="1"/>
  <c r="F36" i="2" s="1"/>
  <c r="O32" i="2"/>
  <c r="P32" i="2" s="1"/>
  <c r="F32" i="2" s="1"/>
  <c r="O322" i="2"/>
  <c r="P322" i="2" s="1"/>
  <c r="F322" i="2" s="1"/>
  <c r="O314" i="2"/>
  <c r="P314" i="2" s="1"/>
  <c r="F314" i="2" s="1"/>
  <c r="O306" i="2"/>
  <c r="P306" i="2" s="1"/>
  <c r="F306" i="2" s="1"/>
  <c r="O248" i="2"/>
  <c r="P248" i="2" s="1"/>
  <c r="F248" i="2" s="1"/>
  <c r="O240" i="2"/>
  <c r="P240" i="2" s="1"/>
  <c r="F240" i="2" s="1"/>
  <c r="O232" i="2"/>
  <c r="P232" i="2" s="1"/>
  <c r="F232" i="2" s="1"/>
  <c r="O224" i="2"/>
  <c r="P224" i="2" s="1"/>
  <c r="F224" i="2" s="1"/>
  <c r="O216" i="2"/>
  <c r="P216" i="2" s="1"/>
  <c r="F216" i="2" s="1"/>
  <c r="O208" i="2"/>
  <c r="P208" i="2" s="1"/>
  <c r="F208" i="2" s="1"/>
  <c r="O200" i="2"/>
  <c r="P200" i="2" s="1"/>
  <c r="F200" i="2" s="1"/>
  <c r="O174" i="2"/>
  <c r="P174" i="2" s="1"/>
  <c r="F174" i="2" s="1"/>
  <c r="O166" i="2"/>
  <c r="P166" i="2" s="1"/>
  <c r="F166" i="2" s="1"/>
  <c r="O108" i="2"/>
  <c r="P108" i="2" s="1"/>
  <c r="F108" i="2" s="1"/>
  <c r="O100" i="2"/>
  <c r="P100" i="2" s="1"/>
  <c r="F100" i="2" s="1"/>
  <c r="O92" i="2"/>
  <c r="P92" i="2" s="1"/>
  <c r="F92" i="2" s="1"/>
  <c r="O84" i="2"/>
  <c r="P84" i="2" s="1"/>
  <c r="F84" i="2" s="1"/>
  <c r="O76" i="2"/>
  <c r="P76" i="2" s="1"/>
  <c r="F76" i="2" s="1"/>
  <c r="O40" i="2"/>
  <c r="P40" i="2" s="1"/>
  <c r="F40" i="2" s="1"/>
  <c r="O15" i="2"/>
  <c r="P15" i="2" s="1"/>
  <c r="F15" i="2" s="1"/>
  <c r="O10" i="2"/>
  <c r="P10" i="2" s="1"/>
  <c r="F10" i="2" s="1"/>
  <c r="O48" i="2"/>
  <c r="P48" i="2" s="1"/>
  <c r="F48" i="2" s="1"/>
  <c r="O44" i="2"/>
  <c r="P44" i="2" s="1"/>
  <c r="F44" i="2" s="1"/>
  <c r="O23" i="2"/>
  <c r="P23" i="2" s="1"/>
  <c r="F23" i="2" s="1"/>
  <c r="O19" i="2"/>
  <c r="P19" i="2" s="1"/>
  <c r="F19" i="2" s="1"/>
  <c r="O321" i="2"/>
  <c r="P321" i="2" s="1"/>
  <c r="F321" i="2" s="1"/>
  <c r="O313" i="2"/>
  <c r="P313" i="2" s="1"/>
  <c r="F313" i="2" s="1"/>
  <c r="O305" i="2"/>
  <c r="P305" i="2" s="1"/>
  <c r="F305" i="2" s="1"/>
  <c r="O247" i="2"/>
  <c r="P247" i="2" s="1"/>
  <c r="F247" i="2" s="1"/>
  <c r="O239" i="2"/>
  <c r="P239" i="2" s="1"/>
  <c r="F239" i="2" s="1"/>
  <c r="O231" i="2"/>
  <c r="P231" i="2" s="1"/>
  <c r="F231" i="2" s="1"/>
  <c r="O223" i="2"/>
  <c r="P223" i="2" s="1"/>
  <c r="F223" i="2" s="1"/>
  <c r="O215" i="2"/>
  <c r="P215" i="2" s="1"/>
  <c r="F215" i="2" s="1"/>
  <c r="O207" i="2"/>
  <c r="P207" i="2" s="1"/>
  <c r="F207" i="2" s="1"/>
  <c r="O199" i="2"/>
  <c r="P199" i="2" s="1"/>
  <c r="F199" i="2" s="1"/>
  <c r="O173" i="2"/>
  <c r="P173" i="2" s="1"/>
  <c r="F173" i="2" s="1"/>
  <c r="O165" i="2"/>
  <c r="P165" i="2" s="1"/>
  <c r="F165" i="2" s="1"/>
  <c r="O107" i="2"/>
  <c r="P107" i="2" s="1"/>
  <c r="F107" i="2" s="1"/>
  <c r="O99" i="2"/>
  <c r="P99" i="2" s="1"/>
  <c r="F99" i="2" s="1"/>
  <c r="O91" i="2"/>
  <c r="P91" i="2" s="1"/>
  <c r="F91" i="2" s="1"/>
  <c r="O83" i="2"/>
  <c r="P83" i="2" s="1"/>
  <c r="F83" i="2" s="1"/>
  <c r="O75" i="2"/>
  <c r="P75" i="2" s="1"/>
  <c r="F75" i="2" s="1"/>
  <c r="O57" i="2"/>
  <c r="P57" i="2" s="1"/>
  <c r="O27" i="2"/>
  <c r="P27" i="2" s="1"/>
  <c r="F27" i="2" s="1"/>
  <c r="G337" i="2"/>
  <c r="F253" i="2" l="1"/>
  <c r="G253" i="2" s="1"/>
  <c r="G341" i="2"/>
  <c r="G340" i="2"/>
  <c r="G339" i="2"/>
  <c r="G338" i="2"/>
  <c r="G336" i="2"/>
  <c r="G335" i="2"/>
  <c r="G334" i="2"/>
  <c r="G333" i="2"/>
  <c r="G332" i="2"/>
  <c r="G331" i="2"/>
  <c r="G33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89" i="2"/>
  <c r="G188" i="2"/>
  <c r="G187" i="2"/>
  <c r="G186" i="2"/>
  <c r="G185" i="2"/>
  <c r="G184" i="2"/>
  <c r="G183" i="2"/>
  <c r="G182" i="2"/>
  <c r="G181" i="2"/>
  <c r="G180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23" i="2"/>
  <c r="G122" i="2"/>
  <c r="G121" i="2"/>
  <c r="G120" i="2"/>
  <c r="G119" i="2"/>
  <c r="G118" i="2"/>
  <c r="G117" i="2"/>
  <c r="G116" i="2"/>
  <c r="G300" i="2" l="1"/>
  <c r="G301" i="2" s="1"/>
  <c r="G254" i="2"/>
  <c r="G342" i="2"/>
  <c r="G190" i="2"/>
  <c r="G175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156" i="2" l="1"/>
  <c r="G111" i="2"/>
  <c r="G9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 l="1"/>
  <c r="G69" i="2" l="1"/>
  <c r="G68" i="2"/>
  <c r="G67" i="2"/>
  <c r="G48" i="2" l="1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324" i="2" l="1"/>
  <c r="G323" i="2"/>
  <c r="G322" i="2"/>
  <c r="G321" i="2"/>
  <c r="G320" i="2" l="1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25" i="2" l="1"/>
  <c r="G343" i="2" l="1"/>
  <c r="G326" i="2"/>
  <c r="G112" i="2" l="1"/>
  <c r="G157" i="2"/>
  <c r="G66" i="2" l="1"/>
  <c r="G65" i="2" l="1"/>
  <c r="G64" i="2"/>
  <c r="G63" i="2"/>
  <c r="G62" i="2"/>
  <c r="G61" i="2"/>
  <c r="G60" i="2"/>
  <c r="G59" i="2"/>
  <c r="G58" i="2"/>
  <c r="G57" i="2"/>
  <c r="G56" i="2"/>
  <c r="G55" i="2"/>
  <c r="G54" i="2"/>
  <c r="G49" i="2"/>
  <c r="G70" i="2" l="1"/>
  <c r="G255" i="2"/>
  <c r="E9" i="1"/>
  <c r="E10" i="1" l="1"/>
  <c r="G71" i="2"/>
  <c r="G191" i="2"/>
  <c r="G176" i="2"/>
  <c r="G50" i="2"/>
  <c r="E16" i="1" l="1"/>
  <c r="E11" i="1"/>
  <c r="E12" i="1" l="1"/>
  <c r="E17" i="1" s="1"/>
  <c r="D15" i="1"/>
  <c r="E15" i="1" s="1"/>
</calcChain>
</file>

<file path=xl/sharedStrings.xml><?xml version="1.0" encoding="utf-8"?>
<sst xmlns="http://schemas.openxmlformats.org/spreadsheetml/2006/main" count="907" uniqueCount="526">
  <si>
    <t>Celkem</t>
  </si>
  <si>
    <t>Celkem bez DPH</t>
  </si>
  <si>
    <t>Daň z přidané hodnoty (DPH)</t>
  </si>
  <si>
    <t>DPH Celkem</t>
  </si>
  <si>
    <t>Celkem s DPH</t>
  </si>
  <si>
    <t>No.</t>
  </si>
  <si>
    <t>Číslo položky</t>
  </si>
  <si>
    <t>Popis položky</t>
  </si>
  <si>
    <t>Počet</t>
  </si>
  <si>
    <t>Jedn. cena</t>
  </si>
  <si>
    <t>Rekapitulace rozpočtu</t>
  </si>
  <si>
    <t>HLAVA III.</t>
  </si>
  <si>
    <t>Základní rozpočtové náklady</t>
  </si>
  <si>
    <t>Dodávky celkem</t>
  </si>
  <si>
    <t>Montážní práce a služby celkem</t>
  </si>
  <si>
    <t>Sazba 21 proc.</t>
  </si>
  <si>
    <t>21% z</t>
  </si>
  <si>
    <t>Příprava kabelových tras, montáž + dodávka</t>
  </si>
  <si>
    <t>220 111761</t>
  </si>
  <si>
    <t>Svorka uzemňovací (mont. vč. materiálu)</t>
  </si>
  <si>
    <t>ks</t>
  </si>
  <si>
    <t>220 111765</t>
  </si>
  <si>
    <t>Změření zemního odporu</t>
  </si>
  <si>
    <t>KEV.000.8940</t>
  </si>
  <si>
    <t>m</t>
  </si>
  <si>
    <t>220 270329</t>
  </si>
  <si>
    <t>220 260021</t>
  </si>
  <si>
    <t>Krabice KO 68 pod omítku vč. vysekání lůžka  (mont. vč. materiálu)</t>
  </si>
  <si>
    <t>220 260024</t>
  </si>
  <si>
    <t>Krabice KO 97 pod omítku vč. vysekání lůžka (mont. vč. materiálu)</t>
  </si>
  <si>
    <t>220 260027</t>
  </si>
  <si>
    <t>Krabice KO 125 pod omítku vč. vysekání lůžka (mont. vč. materiálu)</t>
  </si>
  <si>
    <t>220 260028</t>
  </si>
  <si>
    <t>Krabice KT 250 pod omítku vč. vysekání lůžka (mont. vč. materiálu)</t>
  </si>
  <si>
    <t>220 260103</t>
  </si>
  <si>
    <t>220 260106</t>
  </si>
  <si>
    <t>Vyhledání vývodu, krabice</t>
  </si>
  <si>
    <t>220 260111</t>
  </si>
  <si>
    <t>Odvíčkování a zavíčkování krabice na závit</t>
  </si>
  <si>
    <t>220 260113</t>
  </si>
  <si>
    <t>Odvíčkování a zavíčkování krabice na 4 šrouby</t>
  </si>
  <si>
    <t>220 260552</t>
  </si>
  <si>
    <t>Trubka plastová ohebná pod omítkou nebo v podlaze 23 mm (mont. vč. materiálu)</t>
  </si>
  <si>
    <t>220 260554</t>
  </si>
  <si>
    <t>Trubka plastová ohebná pod omítkou nebo v podlaze 36 mm (mont. vč. materiálu)</t>
  </si>
  <si>
    <t>220 260542</t>
  </si>
  <si>
    <t>Trubka  plastová pevná na povrchu 23 mm (mont. vč. materiálu)</t>
  </si>
  <si>
    <t>220 260544</t>
  </si>
  <si>
    <t>Trubka  plastová pevná na povrchu 36 mm (mont. vč. materiálu)</t>
  </si>
  <si>
    <t>KEV.050.0400</t>
  </si>
  <si>
    <t>AY 2,5 B</t>
  </si>
  <si>
    <t>220 261661</t>
  </si>
  <si>
    <t>Značení trasy vedení</t>
  </si>
  <si>
    <t>220 270301</t>
  </si>
  <si>
    <t>Vodič v trubkovodu AY 2,5</t>
  </si>
  <si>
    <t>220 260924</t>
  </si>
  <si>
    <t>Kabelový rošt šíře 40cm  (mont. vč. základního i instalačního materiálu)</t>
  </si>
  <si>
    <t>220 261101</t>
  </si>
  <si>
    <t>Konstrukce ocelová do 5 kg na m (mont. vč. materiálu)</t>
  </si>
  <si>
    <t>220 261102</t>
  </si>
  <si>
    <t>Konstrukce ocelová do 10 kg na m (mont. vč. materiálu)</t>
  </si>
  <si>
    <t>220 261653</t>
  </si>
  <si>
    <t>Uchycení ocelové konstrukce beton</t>
  </si>
  <si>
    <t>220 261641</t>
  </si>
  <si>
    <t>Osazení hmoždinky 6 mm beton (mont. vč. materiálu)</t>
  </si>
  <si>
    <t>220 261642</t>
  </si>
  <si>
    <t>Osazení hmoždinky 8 mm beton (mont. vč. materiálu)</t>
  </si>
  <si>
    <t>220 261643</t>
  </si>
  <si>
    <t>Osazení hmoždinky 10 mm beton (mont. vč. materiálu)</t>
  </si>
  <si>
    <t>220 261644</t>
  </si>
  <si>
    <t>Osazení hmoždinky 12 mm beton (mont. vč. materiálu)</t>
  </si>
  <si>
    <t>220 730032</t>
  </si>
  <si>
    <t>Vyzvednutí stožáru na plochou střechu</t>
  </si>
  <si>
    <t>220 730033</t>
  </si>
  <si>
    <t>Vyzvednutí soupravy beton. bloků AT</t>
  </si>
  <si>
    <t>220 730051</t>
  </si>
  <si>
    <t>Stožár AT 1 do kotevní konstrukce (mont. vč. materiálu)</t>
  </si>
  <si>
    <t>220 730075</t>
  </si>
  <si>
    <t>Kotvení AT 3 do zdi-beton rovná střecha (mont. vč. materiálu)</t>
  </si>
  <si>
    <t>m2</t>
  </si>
  <si>
    <t>210 020922</t>
  </si>
  <si>
    <t>Protipož.ucpávka průch.stěnou  t= do 30 cm (mont. vč. materiálu)</t>
  </si>
  <si>
    <t>Koordinace zařízení v zárubních či dveřích</t>
  </si>
  <si>
    <t>hod</t>
  </si>
  <si>
    <t>Značení kabeláží, tras a rozvaděčů</t>
  </si>
  <si>
    <t>kpl</t>
  </si>
  <si>
    <t>Pomocné montážní práce</t>
  </si>
  <si>
    <t>Nezměřitelné pracovní výkony</t>
  </si>
  <si>
    <t>Drobný elektroinstalační materiál (montáž vč. mat.)</t>
  </si>
  <si>
    <t>Koordinace podlahových krabic (podl.krabice dodávkou NN)</t>
  </si>
  <si>
    <t>Povrchová úprava prvku do daného odstínu - podrobnisti viz.tech.zpráva</t>
  </si>
  <si>
    <t>Zemní práce při montážích, montáž + dodávka</t>
  </si>
  <si>
    <t>460 010024</t>
  </si>
  <si>
    <t>Vytyčení trati kabel.ved.v zast.prostoru</t>
  </si>
  <si>
    <t>km</t>
  </si>
  <si>
    <t>460 080001</t>
  </si>
  <si>
    <t>Betonový základ do rostlé zeminy bez bednění</t>
  </si>
  <si>
    <t>m3</t>
  </si>
  <si>
    <t>460 120061</t>
  </si>
  <si>
    <t>Odvoz zeminy</t>
  </si>
  <si>
    <t>460 120082</t>
  </si>
  <si>
    <t>Skladování zeminy do 14 dnů</t>
  </si>
  <si>
    <t>460 300006</t>
  </si>
  <si>
    <t>Hutnění zeminy,vrstva zeminy do 20 cm</t>
  </si>
  <si>
    <t>460 200164</t>
  </si>
  <si>
    <t>Hloubení kabelové rýhy 35cm šir.,80cm hlub.,zem.tř.4</t>
  </si>
  <si>
    <t>460 420372</t>
  </si>
  <si>
    <t>Zř.kab.lože,kop.pís.,tl.zás.vrst.10cm,cih.napříč,š.35cm</t>
  </si>
  <si>
    <t>460 420501</t>
  </si>
  <si>
    <t>Křižovatka se silovým kabelem</t>
  </si>
  <si>
    <t>460 490012</t>
  </si>
  <si>
    <t>Krytí kab.fólie výstražné z PVC, šířka 33 cm</t>
  </si>
  <si>
    <t>220 060391</t>
  </si>
  <si>
    <t>Zaslepení neobsazeného otvoru kabelovodu</t>
  </si>
  <si>
    <t>220 060411</t>
  </si>
  <si>
    <t>Tlakové utěsnění konce- kabelovod z plastu</t>
  </si>
  <si>
    <t>460 560164</t>
  </si>
  <si>
    <t>Ruční zához kab.rýhy,šíř.35cm,hloub.80cm,zemina třídy 4</t>
  </si>
  <si>
    <t>460 620014</t>
  </si>
  <si>
    <t>Provizorní úprava terénu v přírodní zemině, zem.třídy 4</t>
  </si>
  <si>
    <t>220 280222</t>
  </si>
  <si>
    <t>220 300002</t>
  </si>
  <si>
    <t>220 110643</t>
  </si>
  <si>
    <t>220 300911</t>
  </si>
  <si>
    <t>220 111502</t>
  </si>
  <si>
    <t>220 111501</t>
  </si>
  <si>
    <t>220 110341</t>
  </si>
  <si>
    <t>Objímka kabelová značkovací</t>
  </si>
  <si>
    <t>220 110346</t>
  </si>
  <si>
    <t>Štítek kabelový</t>
  </si>
  <si>
    <t>220 111431</t>
  </si>
  <si>
    <t>Stejnosměrná měření na míst.kabelu</t>
  </si>
  <si>
    <t>pa</t>
  </si>
  <si>
    <t>Závěrečné práce ve skříni RACK</t>
  </si>
  <si>
    <t>Rozvod univ.kabelové sítě - montáž</t>
  </si>
  <si>
    <t>Montáž 19" pomocného panelu do 4U</t>
  </si>
  <si>
    <t>Sestavení a montáž zásuvky do 2 modulů RJ 45</t>
  </si>
  <si>
    <t>Kompletace a vyhotovení měřícího protokolu</t>
  </si>
  <si>
    <t>PC0066660</t>
  </si>
  <si>
    <t>Montáž stojanové 19" skříně (RACKu) nad 40U</t>
  </si>
  <si>
    <t>Montáž 19" police pro nestandardní komponenty</t>
  </si>
  <si>
    <t>PC0066600</t>
  </si>
  <si>
    <t>Montáž kompletního panelu přívodu NN</t>
  </si>
  <si>
    <t>PC0066610</t>
  </si>
  <si>
    <t>Montáž ventilační jednotky do RACKu</t>
  </si>
  <si>
    <t>KEV.000.8730</t>
  </si>
  <si>
    <t>CY 4 H</t>
  </si>
  <si>
    <t>220 111876</t>
  </si>
  <si>
    <t>Uzem.rozvaděče (mont. vč. materiálu)</t>
  </si>
  <si>
    <t>220 270324</t>
  </si>
  <si>
    <t>Vodič v trubkovodu CY 4</t>
  </si>
  <si>
    <t>Rozvod univ.kabelové sítě - dodávka</t>
  </si>
  <si>
    <t>Rozvod uzavř.televizního okruhu - montáž</t>
  </si>
  <si>
    <t>220 731004</t>
  </si>
  <si>
    <t>Montáž konzole na zeď do 3 m/15 kg</t>
  </si>
  <si>
    <t>220 731022</t>
  </si>
  <si>
    <t>Montáž kamery v krytu</t>
  </si>
  <si>
    <t>220 731061</t>
  </si>
  <si>
    <t>Zprovoznění kamery v krytu</t>
  </si>
  <si>
    <t>220 731041</t>
  </si>
  <si>
    <t>Nastavení kamery v krytu</t>
  </si>
  <si>
    <t>220 731146</t>
  </si>
  <si>
    <t>Montáž  objektivu ke kameře</t>
  </si>
  <si>
    <t>220 731161</t>
  </si>
  <si>
    <t>Montáž videoústředny digitální + nastavení</t>
  </si>
  <si>
    <t>220 731126</t>
  </si>
  <si>
    <t>Nastavení systému</t>
  </si>
  <si>
    <t>Instalace SOFTWARE (kompletní)</t>
  </si>
  <si>
    <t>Instalace drobného materiálu</t>
  </si>
  <si>
    <t>PC0066820</t>
  </si>
  <si>
    <t>MONTÁŽ UPS DO 1000VA DO RACKU</t>
  </si>
  <si>
    <t>PC0066790</t>
  </si>
  <si>
    <t>MONTAZ SWITCHE 100/1000Mbps + nastavení</t>
  </si>
  <si>
    <t>KUS</t>
  </si>
  <si>
    <t>Rozvod uzavř.televizního okruhu - dodávka</t>
  </si>
  <si>
    <t>SUA750RMI1U</t>
  </si>
  <si>
    <t>APC Smart-UPS 750I RM 1U black/USB</t>
  </si>
  <si>
    <t>Rozvod e.zabezpečovací signalizace - montáž</t>
  </si>
  <si>
    <t>220 321703/S1</t>
  </si>
  <si>
    <t>Montáž kompletní ústředny EZS</t>
  </si>
  <si>
    <t>220 330723</t>
  </si>
  <si>
    <t>Montáž jednoduchého modulu do ústředny EZS</t>
  </si>
  <si>
    <t>220 330722</t>
  </si>
  <si>
    <t>Montáž systémového modulu vně ústředny EZS</t>
  </si>
  <si>
    <t>220 410533</t>
  </si>
  <si>
    <t>Montáž akumulátoru do ústředny EZS</t>
  </si>
  <si>
    <t>Měření akumulátoru pro ústřednu EZS</t>
  </si>
  <si>
    <t>220 330731</t>
  </si>
  <si>
    <t>Uvedení ústředny EZS vč.ost.stav.prvků do provozu (funkční odzkoušení)</t>
  </si>
  <si>
    <t>220 330342</t>
  </si>
  <si>
    <t>Montáž ovládací klávesnice s LCD displejem</t>
  </si>
  <si>
    <t>220 321711/S1</t>
  </si>
  <si>
    <t>Montáž koncentrátoru nebo jiného adresného modulu na sběrnici</t>
  </si>
  <si>
    <t>220 410166</t>
  </si>
  <si>
    <t>Montáž zálohovaného napaječe</t>
  </si>
  <si>
    <t>Montáž akumulátoru do externího napaječe</t>
  </si>
  <si>
    <t>Měření akumulátoru pro externí napaječ</t>
  </si>
  <si>
    <t>Montáž duálního čidla - stropní</t>
  </si>
  <si>
    <t>220 321751</t>
  </si>
  <si>
    <t>Montáž infrapasivního čidla - nástěnný</t>
  </si>
  <si>
    <t>Montáž infrapasivního čidla do venkovního prostředí</t>
  </si>
  <si>
    <t>220 321736</t>
  </si>
  <si>
    <t>Montáž držáku infrapasivního nebo duálního čidla</t>
  </si>
  <si>
    <t>220 320722</t>
  </si>
  <si>
    <t>Koordinace montáže záp.magnetu při výrobě oken či dveří</t>
  </si>
  <si>
    <t>Pancéřovaná plastová hadice vč. koncovek pro kab. k mag.kontaktům (montáž+dod.)</t>
  </si>
  <si>
    <t>Montáž infrazávory (kompletní) venkovní + nastavení</t>
  </si>
  <si>
    <t>Montáž přijímače bezdrátového</t>
  </si>
  <si>
    <t>Měření pro určení vhodné polohy přijímače bezdr.tísňového hlásiče</t>
  </si>
  <si>
    <t>220 330206</t>
  </si>
  <si>
    <t>Kontrola funkce čidla</t>
  </si>
  <si>
    <t>220 330741</t>
  </si>
  <si>
    <t>Uvedení čidla do trvalého provozu</t>
  </si>
  <si>
    <t>220 330791</t>
  </si>
  <si>
    <t>Programování zobrazovaného textu pro čidlo</t>
  </si>
  <si>
    <t>220 330121</t>
  </si>
  <si>
    <t>Popis čidla štítkem</t>
  </si>
  <si>
    <t>220 330166</t>
  </si>
  <si>
    <t>Montáž vnitřní nezálohované sirény</t>
  </si>
  <si>
    <t>Montáž venkovní zálohované sirény vč. akku</t>
  </si>
  <si>
    <t>Montáž optické signalizace s LED diodou</t>
  </si>
  <si>
    <t>220 330191</t>
  </si>
  <si>
    <t>Měření kontin.,izol.,odporu 1 úseku smyčky</t>
  </si>
  <si>
    <t>220 300913</t>
  </si>
  <si>
    <t>Svorkovnice se šrouby bakelitová 10 dílná (montáž vč. dodávky)</t>
  </si>
  <si>
    <t>220 300924</t>
  </si>
  <si>
    <t>Svorkovnice do krabic svorka 4 pólová (montáž vč. dodávky)</t>
  </si>
  <si>
    <t>Montáž svorkovnic zařezových 10x2</t>
  </si>
  <si>
    <t>Číslování svorek v rozvaděči</t>
  </si>
  <si>
    <t>Číslování rozvodné skříně, krabice</t>
  </si>
  <si>
    <t>Montáž povrchové propojovací krabice do 24 svorek - plastové (montáž + dodávka)</t>
  </si>
  <si>
    <t>Montáž tamper kontaktu</t>
  </si>
  <si>
    <t>220 280221</t>
  </si>
  <si>
    <t>Kabel SYKFY do 5x2x0,5 (nebo podob.)  v trubkách, žlabech, lištách</t>
  </si>
  <si>
    <t>Kabel datový pro sběrnici systému v trubce, žlabu, na roštu</t>
  </si>
  <si>
    <t>220 281303</t>
  </si>
  <si>
    <t>Kabel 1až 2,5 mm v trubkách, žlabech, na roštu do 4 žil</t>
  </si>
  <si>
    <t>220 300601</t>
  </si>
  <si>
    <t>Ukončení kabelů návěstních do 5x1 až 2.5</t>
  </si>
  <si>
    <t>220 300001</t>
  </si>
  <si>
    <t>Forma kabelová do délky 0,5 m na kabelu do 5x2</t>
  </si>
  <si>
    <t>Forma kabelová do délky 0,5 m na kabelu datovém</t>
  </si>
  <si>
    <t>210 800109</t>
  </si>
  <si>
    <t>210 100503</t>
  </si>
  <si>
    <t>Ukončení CYKY kabelu  2 x 2.5 mm2</t>
  </si>
  <si>
    <t>Zaškolení obsluhy</t>
  </si>
  <si>
    <t>Zkušební provoz s dohledem</t>
  </si>
  <si>
    <t>den</t>
  </si>
  <si>
    <t>Výchozí revize</t>
  </si>
  <si>
    <t>Montáž rozhraní přenosu na PCO</t>
  </si>
  <si>
    <t>220 060301</t>
  </si>
  <si>
    <t>Přistavení a příprava kabel.bubnu do 100 žil</t>
  </si>
  <si>
    <t>220 060312</t>
  </si>
  <si>
    <t>Přeměření izolačního stavu kabel závlačný 20žil</t>
  </si>
  <si>
    <t>220 061151</t>
  </si>
  <si>
    <t>Rozvod e.zabezpečovací signalizace - dodávka</t>
  </si>
  <si>
    <t>GALAXYGD-520</t>
  </si>
  <si>
    <t>Ústředna až 520 zón a 32 grup v krytu bez klávesnice s komunikátorem a zdrojem</t>
  </si>
  <si>
    <t>G8P</t>
  </si>
  <si>
    <t>Koncentrátor v plastovém krytu pro 8 zón a 4 PGM výstupy</t>
  </si>
  <si>
    <t>GRM4</t>
  </si>
  <si>
    <t>Reléový modul se 4-mi relé</t>
  </si>
  <si>
    <t>OS365</t>
  </si>
  <si>
    <t>Zálohovaná plastová siréna venkovní 110dB/1m s majákem a akumulátorem</t>
  </si>
  <si>
    <t>SA913</t>
  </si>
  <si>
    <t>Nezálohovaná plastová vnitřní siréna 110dB/1m</t>
  </si>
  <si>
    <t>JS25 COMBO</t>
  </si>
  <si>
    <t>Kombinace PIR detektoru s dosahem 12m a detektoru tříštění skla s dosahem 9m</t>
  </si>
  <si>
    <t>KSK 100</t>
  </si>
  <si>
    <t>krabice v uzavřeném provedení (plastová) s IP krytím 66</t>
  </si>
  <si>
    <t>Kabelové průchodky do krabice IP66</t>
  </si>
  <si>
    <t>MAS333</t>
  </si>
  <si>
    <t>Mag. kontakt závrtný čtyřdrátový s pracovní mezerou 16 mm</t>
  </si>
  <si>
    <t>UNIPOWER MINI/K</t>
  </si>
  <si>
    <t>Spínaný zdroj v kovovém krytu 13,8 Vss / 3A s výstupy a odpojovačem</t>
  </si>
  <si>
    <t>Univerzální bezdrátový přijímač v krytu se třemi výstupy</t>
  </si>
  <si>
    <t>MICROSWITCH</t>
  </si>
  <si>
    <t>Mechanický mikrospínač jako tamper kontakt</t>
  </si>
  <si>
    <t>PC0097360</t>
  </si>
  <si>
    <t>SYKFY (3x2x0,5 )</t>
  </si>
  <si>
    <t>KEV.050.9530</t>
  </si>
  <si>
    <t>JYTY 4BX1,0</t>
  </si>
  <si>
    <t>Kabel FTP, PowerCat kat.5E, PVC plášť šedý, 4 páry, krabice 305m</t>
  </si>
  <si>
    <t>KAD.080.0020</t>
  </si>
  <si>
    <t>TCEPKPFLE - 3 x 4 x 0,8</t>
  </si>
  <si>
    <t>KEV.000.1150</t>
  </si>
  <si>
    <t>CYKY 2AX2,5</t>
  </si>
  <si>
    <t>Krabice instalační IP66  (mont. vč. materiálu)</t>
  </si>
  <si>
    <t>WD40PURX</t>
  </si>
  <si>
    <t>Přídavný HDD k rekordérům, 4TB</t>
  </si>
  <si>
    <t>Jednostranný sloup pro IR závory Optex &amp; Takex, montáž na patku, výška 1,5 m</t>
  </si>
  <si>
    <t>Patka betonová typová pro sloupek</t>
  </si>
  <si>
    <t>Montáž sloupku pro infrazávoru vč. Patky</t>
  </si>
  <si>
    <t>CYKY 750V 2 x 2.5 uložený v zemi, kotvený pevně na stěně</t>
  </si>
  <si>
    <t>Kabel volně uložený v zemi, kotvený pevně na stěně</t>
  </si>
  <si>
    <t>Montáž dveřního kontaktu závrtného (okna, dveře)</t>
  </si>
  <si>
    <t xml:space="preserve">4-paprsková IR závora, dosah 100 m, synchronizace - 4 kanály </t>
  </si>
  <si>
    <t xml:space="preserve">SL-350QDP  </t>
  </si>
  <si>
    <t xml:space="preserve">SL-650QDP  </t>
  </si>
  <si>
    <t xml:space="preserve">4-paprsková IR závora, dosah 200 m, synchronizace - 4 kanály </t>
  </si>
  <si>
    <t>Rozvod místního rozhlasu - montáž</t>
  </si>
  <si>
    <t>CYKY (nebo pod.) 750V 4 x 1.5 uložený pod omítkou</t>
  </si>
  <si>
    <t>210 100502</t>
  </si>
  <si>
    <t>Ukončení CYKY (nebo pod.)  3 x 1.5 nebo 2.5 mm2</t>
  </si>
  <si>
    <t>Číslování svorek v rozvaděči (montáž vč. dodávky)</t>
  </si>
  <si>
    <t>Číslování rozvodné skříně, krabice (montáž vč. dodávky)</t>
  </si>
  <si>
    <t>Zakomponování nestandardního prvku do rozvaděče</t>
  </si>
  <si>
    <t>220 370422</t>
  </si>
  <si>
    <t>Montáž systémového zesilovače nebo předzesilovače</t>
  </si>
  <si>
    <t>220 370063</t>
  </si>
  <si>
    <t>220 370471</t>
  </si>
  <si>
    <t>Zkoušení reproduktorů při 1 prog.ústř.</t>
  </si>
  <si>
    <t>220 370536</t>
  </si>
  <si>
    <t>Montáž kompletního reproduktoru do 10W nástěnný/stropní</t>
  </si>
  <si>
    <t>220 370531</t>
  </si>
  <si>
    <t>Montáž kompletního reproduktoru do 30W závěsný</t>
  </si>
  <si>
    <t>Rozvod místního rozhlasu - dodávka</t>
  </si>
  <si>
    <t>KEV.000.1100</t>
  </si>
  <si>
    <t>CYKY 4BX1,5</t>
  </si>
  <si>
    <t>Systémová kabeláž</t>
  </si>
  <si>
    <t>Systémové konektory</t>
  </si>
  <si>
    <t>Pomocný instalační materiál</t>
  </si>
  <si>
    <t>Ostatní drobný instlalační materiál</t>
  </si>
  <si>
    <t>Další drobné kabeláže</t>
  </si>
  <si>
    <t>Instalace kabelu koaxiálního do trubky, žlabu</t>
  </si>
  <si>
    <t>Ukončení kabelu JACK 3,5 stereo konektorem</t>
  </si>
  <si>
    <t>Přezkoušení a měření JACK 3,5 stereo spoje</t>
  </si>
  <si>
    <t>Zásuvka JACK 3,5 stereo - design dle zásuvek rozvodu NN</t>
  </si>
  <si>
    <t>Koaxiální kabel</t>
  </si>
  <si>
    <t>LX402</t>
  </si>
  <si>
    <t>Venkovní PIR detektor, det. char. 12 m / 120°, mont. výška 2,5 m / 1,2 - 1,5 m</t>
  </si>
  <si>
    <t>Naprogramování systému EZS do 96 hlásičů</t>
  </si>
  <si>
    <t>CY 6 ZZ</t>
  </si>
  <si>
    <t>Vodič v trubkovodu CY 6</t>
  </si>
  <si>
    <t xml:space="preserve">Konektor JACK 3,5 stereo </t>
  </si>
  <si>
    <t>Montáž zásuvky/konektoru JACK 3,5 stereo (typiské či atypické, viz. tech.zpráva)</t>
  </si>
  <si>
    <t>136811-1</t>
  </si>
  <si>
    <t>ABB,modul zásuvkový, 22,5x45, Profil 45</t>
  </si>
  <si>
    <t>GVM16P</t>
  </si>
  <si>
    <t xml:space="preserve">Výstupní modul v krytu s 16-ti tranzistorovými PGM výstupy </t>
  </si>
  <si>
    <t xml:space="preserve">Plastový box IP66 s kabel.průchodkami pro přijímač a diody </t>
  </si>
  <si>
    <t>460 200534</t>
  </si>
  <si>
    <t>Hloubení kabelové rýhy 60cm šir.,120cm hlub.,zem.tř.4</t>
  </si>
  <si>
    <t>460 560534</t>
  </si>
  <si>
    <t>Ruční zához kab.rýhy,šíř.60cm,hloub.120cm,zem.třídy 4</t>
  </si>
  <si>
    <t>460 510021</t>
  </si>
  <si>
    <t>220 061805</t>
  </si>
  <si>
    <t>220 061831</t>
  </si>
  <si>
    <t>220 061835</t>
  </si>
  <si>
    <t>220 061845</t>
  </si>
  <si>
    <t>220 061910</t>
  </si>
  <si>
    <t>Montáž panelu 19" pro ukončení opt.kab. do 24 portů prázdný</t>
  </si>
  <si>
    <t>220 062330</t>
  </si>
  <si>
    <t>220 062370</t>
  </si>
  <si>
    <t>220 062450</t>
  </si>
  <si>
    <t>220 062470</t>
  </si>
  <si>
    <t>220 062510</t>
  </si>
  <si>
    <t>220 062700</t>
  </si>
  <si>
    <t>SC450RMI1U</t>
  </si>
  <si>
    <t>APC Smart-UPS SC450RMI1U</t>
  </si>
  <si>
    <t>RK700PR</t>
  </si>
  <si>
    <t>Odchodový PIR detektor</t>
  </si>
  <si>
    <t>CP045-00</t>
  </si>
  <si>
    <t xml:space="preserve">Klávesnice s dotykovým displejem, zápustná montáž, pokročilé uživatelské menu </t>
  </si>
  <si>
    <t>A045</t>
  </si>
  <si>
    <t>Plastová krabice na povrchovou montáž klávesnic CP045/CP046</t>
  </si>
  <si>
    <t>220 260722</t>
  </si>
  <si>
    <t>Žlab MARS 125/ 50 mm  (mont. vč. základního i instalačního materiálu)</t>
  </si>
  <si>
    <t>Kabelový prostup z KOPOFLEX rour, světlost do 150mm</t>
  </si>
  <si>
    <t>Montáž 19" panelu do 24 portů RJ 45 - nestín/stín..</t>
  </si>
  <si>
    <t>Uložení kabelu 5.-6.kat. nestín/stín.. do trubky, žlabu, na rošt</t>
  </si>
  <si>
    <t>Ukončení - forma na kabelu 5.-6.kat. nestín/stín..</t>
  </si>
  <si>
    <t>Měření 1 segmentu kabelu 5.-6.kat. nestín/stín..</t>
  </si>
  <si>
    <t>Montáž modulu zásuvky RJ 45 - nestín/stín..</t>
  </si>
  <si>
    <t>Údaj do měř. protokolu pro 1 segment sítě 5.-6. kat. nestín/stín..</t>
  </si>
  <si>
    <t>Montáž venkovní termoizolované 19" skříně (RACKu) nad 15U</t>
  </si>
  <si>
    <t>Montáž modulu vyhřívání/chlazení s termostatem</t>
  </si>
  <si>
    <t>Zatažení svetlovod.kabelu 4-12vl. ručně - vlákna MM/SM</t>
  </si>
  <si>
    <t>Svaření 1 vl. svetlovod.kabelu  - vlákna MM/SM</t>
  </si>
  <si>
    <t>Příprava svetlovod.kab. k ukonč., spojk.  4-12vl.  - vlákna MM/SM</t>
  </si>
  <si>
    <t>Uložení konce (spoj) svetlovod kab. 4-12vl. v kab. rozv.  - vlákna MM/SM</t>
  </si>
  <si>
    <t>Montáž adaptéru dvojitého (MT-RJ, SC, ST)  pro vlákna MM/SM</t>
  </si>
  <si>
    <t>Montáž pigtailu pro vlákna MM/SM</t>
  </si>
  <si>
    <t>Montáž kazety pro sváry na kabelu  - vlákna MM/SM</t>
  </si>
  <si>
    <t>Ochrana sváru vlákna MM/SM</t>
  </si>
  <si>
    <t>Uložení délkové rezervy opt.kabelu do 50m  - vlákna MM/SM</t>
  </si>
  <si>
    <t>Měření na jednom vlákně MM/SM opt.kabelu</t>
  </si>
  <si>
    <t>220 060810</t>
  </si>
  <si>
    <t>Mikrotrubička do pr. 15mm volně uložená / zatažená</t>
  </si>
  <si>
    <t>220 060840</t>
  </si>
  <si>
    <t>Tlaková zkouška mikrotrubičky do pr. 12mm, vč. protokolu</t>
  </si>
  <si>
    <t>7035 EH-400W-G</t>
  </si>
  <si>
    <t>Jednotka elektrického vytápění pro LC-07 RAL 7035</t>
  </si>
  <si>
    <t>BTR-10-C-G</t>
  </si>
  <si>
    <t xml:space="preserve">Termostatická jednotka 1U pro chlazení </t>
  </si>
  <si>
    <t xml:space="preserve">BTR-10-H-G </t>
  </si>
  <si>
    <t xml:space="preserve">Termostatická jednotka 1U pro topení </t>
  </si>
  <si>
    <t>LC-07-24U-76-25002-02-G</t>
  </si>
  <si>
    <t>Rozvaděč termoizolovaný LC-07 24U 700x600 RAL7035 ventilace v obou bočnicích</t>
  </si>
  <si>
    <t>LC-50</t>
  </si>
  <si>
    <t>VJ19-3-T-B</t>
  </si>
  <si>
    <t xml:space="preserve">Chladící jednotka 19" 1U 3 ventilátory s bimetalovým termostatem BK </t>
  </si>
  <si>
    <t>Univerzální sada rohů podstavců výšky 100MM/SM vč. montážní sady RAL7035</t>
  </si>
  <si>
    <t xml:space="preserve"> LU-LED-ALU</t>
  </si>
  <si>
    <t>Osvětlovací jednotka LED diodová</t>
  </si>
  <si>
    <t>ACAR-S8-FA</t>
  </si>
  <si>
    <t>Napajeci panel + přep.ochrana, 3m 8 pozic BK včetně držáků do 19" lišt</t>
  </si>
  <si>
    <t>UP-14-B</t>
  </si>
  <si>
    <t>Police 19" 1U 450MM/SM pevná BK</t>
  </si>
  <si>
    <t>RAB-VP-R01-A
(Triton)</t>
  </si>
  <si>
    <t>Police do 19" rozvaděče pro uložení kabelové rezervy, h. 440MM/SM, černá</t>
  </si>
  <si>
    <t>POD-07-76-80-G</t>
  </si>
  <si>
    <t>Podstavec rozvaděče LC-07+ 800x700x600, RAL 7035</t>
  </si>
  <si>
    <t>DURA-LINE</t>
  </si>
  <si>
    <t>Mikrotrubička HDPE zemní tlustostěnná 12/8mm, modrá, pro přímou pokládku do země, vnitřní lubrikační vrstva SILICORE</t>
  </si>
  <si>
    <t>BK FOS2-1U-B</t>
  </si>
  <si>
    <t>Optická vana s výsuvnou policí uzavíratelná klapkami 1U</t>
  </si>
  <si>
    <t>FP2-1U-12SCS-B</t>
  </si>
  <si>
    <t>Čelo optické vany 1U pro 12 SC simplex/LC duplex/E2000 BK s montážními otvory v2</t>
  </si>
  <si>
    <t>SXOS-60</t>
  </si>
  <si>
    <t>Ochrana sváru Solarix 2.2 x 60mm</t>
  </si>
  <si>
    <t>SXOK-24</t>
  </si>
  <si>
    <t>Optická kazeta pro 24 svárů</t>
  </si>
  <si>
    <t>SXAD-LC-PC-OS-D</t>
  </si>
  <si>
    <t>Adaptér LC SM OS duplex</t>
  </si>
  <si>
    <t>SXPI-LC-UPC-OS-1,5M</t>
  </si>
  <si>
    <t>Pigtail 9/125 LCupc SM OS 1,5m</t>
  </si>
  <si>
    <t>SXPC-LC/LC-UPC-OS-1M-D</t>
  </si>
  <si>
    <t>Patch kabel 9/125 LCupc/LCupc SM OS 1m duplex</t>
  </si>
  <si>
    <t>SXPC-LC/LC-UPC-OS-2M-D</t>
  </si>
  <si>
    <t>Patch kabel 9/125 LCupc/LCupc SM OS 2m duplex</t>
  </si>
  <si>
    <t>SXKO-MINI-4-OS-HDPE</t>
  </si>
  <si>
    <t xml:space="preserve">Zafukovací kabel 4vl 9/125 </t>
  </si>
  <si>
    <t>SXKJ-6-UTP-BK-NA</t>
  </si>
  <si>
    <t>Rychlozařezávací keystone CAT6 UTP Component Level a 4PPoE certifikace</t>
  </si>
  <si>
    <t> SXKJ-6-STP-BK-NA</t>
  </si>
  <si>
    <t>Rychlozařezávací keystone CAT6 STP</t>
  </si>
  <si>
    <t>SX24-6-UTP-BK</t>
  </si>
  <si>
    <t>19" patch panel Solarix 24 x RJ45 CAT6 UTP 350 MHz černý 1U</t>
  </si>
  <si>
    <t>SX24-6-STP-BK</t>
  </si>
  <si>
    <t>19" patch panel Solarix 24 x RJ45 CAT6 STP černý 1U</t>
  </si>
  <si>
    <t>VP-08-1-00-B</t>
  </si>
  <si>
    <t>Solarix:  Vyvazovací panel 19" 1U BK ocelový</t>
  </si>
  <si>
    <t>SXKD-6-UTP-PVC</t>
  </si>
  <si>
    <t>Instalační kabel Solarix CAT6 UTP PVC 450MHz</t>
  </si>
  <si>
    <t>SXKD-6-FTP-PE</t>
  </si>
  <si>
    <t>Instalační kabel Solarix CAT6 FTP PE Fca venkovní 500m/cívka</t>
  </si>
  <si>
    <t>C6-114GY-0,5MB</t>
  </si>
  <si>
    <t>Patch kabel CAT6 UTP PVC 0,5m šedý snag-proof</t>
  </si>
  <si>
    <t>C6-315GY-1MB</t>
  </si>
  <si>
    <t xml:space="preserve">Patch kabel CAT6 SFTP PVC 1m šedý snag-proof </t>
  </si>
  <si>
    <t>Hager 454202</t>
  </si>
  <si>
    <t>Nosná deska s černým uložením, 2xRJ pro modulární konektory Jack</t>
  </si>
  <si>
    <t>Hager 5310118989</t>
  </si>
  <si>
    <t>Rámeček, 1-násobný, S.1, bílá lesk</t>
  </si>
  <si>
    <t>Hager 11818989</t>
  </si>
  <si>
    <t>Centrální díl pro nosnou desku 2-nás., s krytkami, S.1/B.x, bílá l.</t>
  </si>
  <si>
    <t>Hager 	10116099</t>
  </si>
  <si>
    <t>Rámeček 1-násobný, Berker Q.3, bílá, sametová</t>
  </si>
  <si>
    <t>Hager 11816089</t>
  </si>
  <si>
    <t>Centrální díl pro nosnou desku 2-nás., s krytkami, Q.x, bílá sam.</t>
  </si>
  <si>
    <t>Hager 10116096</t>
  </si>
  <si>
    <t>Rámeček 1-násobný, Berker Q.3, antracit, sametová</t>
  </si>
  <si>
    <t>Hager 11816086</t>
  </si>
  <si>
    <t>Centrální díl pro nosnou desku 2-nás., s krytkami, Q.x, antr. sam.</t>
  </si>
  <si>
    <t>DS-2CD3646G2-IZS</t>
  </si>
  <si>
    <t>IP bullet kamera, 4MP, WDR, VCA, IR 80m, IP66</t>
  </si>
  <si>
    <t>DS-2CD3686G2-IZS</t>
  </si>
  <si>
    <t xml:space="preserve">
IP bullet kamera, 8MP, WDR, VCA, IR 60m, IP67</t>
  </si>
  <si>
    <t>DS-2CD3346G2-ISU/SL</t>
  </si>
  <si>
    <t>IP ball kamera, 4MP, f=2.8mm, IR 40m, strobe light, WDR, VA, IP67</t>
  </si>
  <si>
    <t>DS-9664NI-M8</t>
  </si>
  <si>
    <t>NVR pro 64 IP kamer, až 32MP, HDMI, bez HDD, podpora RAID, redundantní PSU</t>
  </si>
  <si>
    <t>HPE JL809A</t>
  </si>
  <si>
    <t>HPE JL681A</t>
  </si>
  <si>
    <t>E080-10</t>
  </si>
  <si>
    <t>TCP/IP komunikátor bez krytu pro GALAXYGD, verze dle EN norem. ISOM protokol</t>
  </si>
  <si>
    <t>AKC-0001</t>
  </si>
  <si>
    <t>Capture Q20 - PIR detektor, Quad pyroelement, dosah 20m, PET odolnost</t>
  </si>
  <si>
    <t>PRESTIGE DRZAK</t>
  </si>
  <si>
    <t>Kombinovaný kloubový držák na strop nebo na stěnu, balení 10ks</t>
  </si>
  <si>
    <t>SL-200QDP</t>
  </si>
  <si>
    <t>4-paprsková IR závora, dosah 60 m, synchronizace - 4 kanály</t>
  </si>
  <si>
    <t>TAKH</t>
  </si>
  <si>
    <t>Sada držáků (2 ks) pro montáž IR závor řady SL do sloupů MB/PB/TAx</t>
  </si>
  <si>
    <t>TWH24V</t>
  </si>
  <si>
    <t>Vyhřívací prvek pro sloupy TAS / TAW / TAD</t>
  </si>
  <si>
    <t>PTS</t>
  </si>
  <si>
    <t>Termostat pro řízení vyhřívacích prvků PTH24V, TWH24V a MAH24V</t>
  </si>
  <si>
    <t>TAD150</t>
  </si>
  <si>
    <t>Oboustranný sloup pro IR závory Optex &amp; Takex, montáž na patku, výška 1,5 m</t>
  </si>
  <si>
    <t>TAS-150</t>
  </si>
  <si>
    <t>J241</t>
  </si>
  <si>
    <t>Plastová propojovací krabice, 24+2 šroubovací svorky, s větší výškou</t>
  </si>
  <si>
    <t>AWZG2-24V3A-C</t>
  </si>
  <si>
    <t>Lineární napájecí zdroj 27,6 V ss / max. 3 A v krytu, aku max. 2 x 17 Ah</t>
  </si>
  <si>
    <t>PS12170 VdS</t>
  </si>
  <si>
    <t>Akumulátor 12V/17Ah se šroubovými svorkami M5 a životností až 5 let, VdS</t>
  </si>
  <si>
    <t>G2405NU</t>
  </si>
  <si>
    <t>Modul spínaného zdroje 27,6 V ss / 5+0,5 A, indikační LED, bez sign. výstupů</t>
  </si>
  <si>
    <t>ART1490CR</t>
  </si>
  <si>
    <t>Signalizační velká LED dioda bez bzučáku v krytu barva červená</t>
  </si>
  <si>
    <t>ART1490CG</t>
  </si>
  <si>
    <t>Signalizační velká LED dioda bez bzučáku v krytu barva zelená</t>
  </si>
  <si>
    <t>RPT 83Z 
(Dexon)</t>
  </si>
  <si>
    <t>Závěsná reprosoustava 10 W / 100 V, 150 – 15 000 Hz, 92 dB, Ø 194 × 170 mm</t>
  </si>
  <si>
    <t>JPA 1504</t>
  </si>
  <si>
    <t>Rozhlasová ústředna s internetovým rádiem
1 mic + 3 mic/line + 2 line + 1 emg vstupy, 6 zón, 500 W, priorita, přehrávač MP3, SD + USB čtečka, FM tuner, Bluetooth, IR dálkové ovládání, směrovatelné hlášení pomocí mikrofonu PA 115, technologie Smart Audio: WiFi, LAN, internetová rádia, přehrávání z lokální sítě, z internetu, smartphonu, tabletu, počítače, DLNA, AirPlay, UpnP, Spotify, Tune-In, I-Heart Radio, Napster, Deezer, streamovací aplikace jakékoliv a zdarma, vysoká účinnost, kvalitní . 6 zón i internetové rá­dio</t>
  </si>
  <si>
    <t>RPT 94 
(Dexon)</t>
  </si>
  <si>
    <t>Podhledový reproduktor, plastový koš, kovová mřížka, 6 W / 100 V, 90 dB, 90 – 20 000 Hz, Ø 187 mm</t>
  </si>
  <si>
    <t>Měření rozhlasového zařízení nad 240 W</t>
  </si>
  <si>
    <t>19" rozvaděč 600x600, 42U RAL 7035, skleněné dveře</t>
  </si>
  <si>
    <t>Panel podstavce s kartáčovou lištou 600, výška 100mm, RAL7035</t>
  </si>
  <si>
    <t xml:space="preserve">   Tato revize 2 ruší a plně nahrazuje v celém rozsahu původní výýkaz výměr v projektovou dokumentaci ve stupni pro provedení stavby z 9/2018 (včetně přípočtů odpočtů v revizi 1 z 11/2021), jelikož  jsou investorem stanoveny nové uživatelské i technické požadavky na slaboproudé rozvody.</t>
  </si>
  <si>
    <r>
      <t xml:space="preserve">LITVÍNOV, ULICE LOMSKÁ, PRODEJNA PRO DŮM A ZAHRADU
SO 01 - ADMINISTRATIVNÍ A SKLADOVACÍ OBJEKT
SO 02 - NAKLÁDACÍ HALA - TERMINÁL
D1.4.4 - Slaboproudé elektroinstalace 
DOKUMENTACE PRO PROVEDENÍ STAVBY </t>
    </r>
    <r>
      <rPr>
        <b/>
        <i/>
        <sz val="14"/>
        <color rgb="FFFF0000"/>
        <rFont val="Arial CE"/>
        <charset val="238"/>
      </rPr>
      <t>– REVIZE 2</t>
    </r>
  </si>
  <si>
    <r>
      <t>LITVÍNOV, ULICE LOMSKÁ, PRODEJNA PRO DŮM A ZAHRADU
SO 01 - ADMINISTRATIVNÍ A SKLADOVACÍ OBJEKT
SO 02 - NAKLÁDACÍ HALA - TERMINÁL
D1.4.4 - Slaboproudé elektroinstalace 
DOKUMENTACE PRO PROVEDENÍ STAVBY</t>
    </r>
    <r>
      <rPr>
        <b/>
        <i/>
        <sz val="14"/>
        <color rgb="FFFF0000"/>
        <rFont val="Arial CE"/>
        <charset val="238"/>
      </rPr>
      <t xml:space="preserve"> – REVIZE 2</t>
    </r>
  </si>
  <si>
    <t>S0G20A</t>
  </si>
  <si>
    <t xml:space="preserve">HPE Networking Instant On 1G LX SFP LC 10km SMF Transceiver        </t>
  </si>
  <si>
    <t>HPE Networking Instant On Switch 40p Gigabit CL4 8p Gigabit CL6 PoE 2p 10GBT 2p SFP+ 600W 1960</t>
  </si>
  <si>
    <t>HPE Networking Instant On Switch 8p Gigabit CL4 PoE 2p SFP 124W 1930</t>
  </si>
  <si>
    <t>Dodávka "A"</t>
  </si>
  <si>
    <t>Koeficient</t>
  </si>
  <si>
    <t>Dodávka "C"</t>
  </si>
  <si>
    <t>Montáž "A"</t>
  </si>
  <si>
    <t>Montáž "C"</t>
  </si>
  <si>
    <t>Už se nevyrábí, je potřeba nahradit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</si>
</sst>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č&quot;_-;\-* #,##0.00\ &quot;Kč&quot;_-;_-* &quot;-&quot;??\ &quot;Kč&quot;_-;_-@_-"/>
    <numFmt numFmtId="164" formatCode="#,##0.00\ &quot;Kč&quot;"/>
    <numFmt numFmtId="165" formatCode="0.0"/>
  </numFmts>
  <fonts count="20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i/>
      <sz val="10"/>
      <name val="Times New Roman CE"/>
      <charset val="238"/>
    </font>
    <font>
      <b/>
      <i/>
      <sz val="14"/>
      <name val="Arial CE"/>
      <family val="2"/>
      <charset val="238"/>
    </font>
    <font>
      <b/>
      <sz val="12"/>
      <name val="Arial CE"/>
      <family val="2"/>
      <charset val="238"/>
    </font>
    <font>
      <i/>
      <sz val="10"/>
      <name val="Times New Roman CE"/>
      <family val="1"/>
      <charset val="238"/>
    </font>
    <font>
      <sz val="10"/>
      <name val="Arial CE"/>
      <family val="2"/>
      <charset val="238"/>
    </font>
    <font>
      <b/>
      <sz val="10"/>
      <name val="Arial CE"/>
      <family val="2"/>
      <charset val="238"/>
    </font>
    <font>
      <sz val="9"/>
      <name val="Arial CE"/>
      <family val="2"/>
      <charset val="238"/>
    </font>
    <font>
      <b/>
      <sz val="11"/>
      <name val="Arial CE"/>
      <family val="2"/>
      <charset val="238"/>
    </font>
    <font>
      <sz val="11"/>
      <name val="Arial CE"/>
      <family val="2"/>
      <charset val="238"/>
    </font>
    <font>
      <sz val="9"/>
      <name val="Arial CE"/>
      <charset val="238"/>
    </font>
    <font>
      <b/>
      <sz val="10"/>
      <color rgb="FFFF0000"/>
      <name val="Arial CE"/>
      <charset val="238"/>
    </font>
    <font>
      <b/>
      <sz val="10"/>
      <color rgb="FF0070C0"/>
      <name val="Arial CE"/>
      <charset val="238"/>
    </font>
    <font>
      <b/>
      <i/>
      <sz val="14"/>
      <color rgb="FFFF0000"/>
      <name val="Arial CE"/>
      <charset val="238"/>
    </font>
    <font>
      <sz val="10"/>
      <name val="Arial CE"/>
    </font>
    <font>
      <sz val="10"/>
      <color rgb="FFFF0000"/>
      <name val="Arial CE"/>
    </font>
    <font>
      <sz val="10"/>
      <color rgb="FFFF0000"/>
      <name val="Arial CE"/>
      <charset val="238"/>
    </font>
    <font>
      <sz val="9"/>
      <color rgb="FFFF0000"/>
      <name val="Arial CE"/>
      <charset val="238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" fillId="0" borderId="0"/>
  </cellStyleXfs>
  <cellXfs count="11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Continuous"/>
    </xf>
    <xf numFmtId="0" fontId="3" fillId="0" borderId="1" xfId="0" applyFont="1" applyBorder="1"/>
    <xf numFmtId="0" fontId="0" fillId="0" borderId="1" xfId="0" applyBorder="1"/>
    <xf numFmtId="0" fontId="5" fillId="0" borderId="0" xfId="0" applyFont="1"/>
    <xf numFmtId="164" fontId="0" fillId="0" borderId="0" xfId="0" applyNumberFormat="1"/>
    <xf numFmtId="0" fontId="6" fillId="0" borderId="0" xfId="0" applyFont="1"/>
    <xf numFmtId="0" fontId="0" fillId="0" borderId="2" xfId="0" applyBorder="1"/>
    <xf numFmtId="164" fontId="5" fillId="0" borderId="0" xfId="0" applyNumberFormat="1" applyFont="1"/>
    <xf numFmtId="164" fontId="0" fillId="0" borderId="1" xfId="0" applyNumberFormat="1" applyBorder="1"/>
    <xf numFmtId="0" fontId="2" fillId="0" borderId="0" xfId="0" applyFont="1" applyAlignment="1">
      <alignment horizontal="centerContinuous"/>
    </xf>
    <xf numFmtId="0" fontId="6" fillId="0" borderId="1" xfId="0" applyFont="1" applyBorder="1"/>
    <xf numFmtId="0" fontId="8" fillId="0" borderId="0" xfId="0" applyFont="1"/>
    <xf numFmtId="0" fontId="0" fillId="0" borderId="3" xfId="0" applyBorder="1"/>
    <xf numFmtId="164" fontId="8" fillId="0" borderId="0" xfId="0" applyNumberFormat="1" applyFont="1"/>
    <xf numFmtId="0" fontId="7" fillId="0" borderId="0" xfId="0" applyFont="1"/>
    <xf numFmtId="164" fontId="0" fillId="0" borderId="0" xfId="0" applyNumberFormat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9" fillId="0" borderId="0" xfId="0" applyFont="1"/>
    <xf numFmtId="164" fontId="9" fillId="0" borderId="0" xfId="0" applyNumberFormat="1" applyFont="1"/>
    <xf numFmtId="0" fontId="10" fillId="0" borderId="3" xfId="0" applyFont="1" applyBorder="1"/>
    <xf numFmtId="0" fontId="11" fillId="0" borderId="3" xfId="0" applyFont="1" applyBorder="1"/>
    <xf numFmtId="164" fontId="10" fillId="0" borderId="3" xfId="0" applyNumberFormat="1" applyFont="1" applyBorder="1"/>
    <xf numFmtId="0" fontId="10" fillId="0" borderId="2" xfId="0" applyFont="1" applyBorder="1"/>
    <xf numFmtId="164" fontId="10" fillId="0" borderId="2" xfId="0" applyNumberFormat="1" applyFont="1" applyBorder="1"/>
    <xf numFmtId="0" fontId="10" fillId="0" borderId="0" xfId="0" applyFont="1"/>
    <xf numFmtId="0" fontId="10" fillId="0" borderId="1" xfId="0" applyFont="1" applyBorder="1"/>
    <xf numFmtId="0" fontId="10" fillId="0" borderId="4" xfId="0" applyFont="1" applyBorder="1"/>
    <xf numFmtId="0" fontId="11" fillId="0" borderId="4" xfId="0" applyFont="1" applyBorder="1"/>
    <xf numFmtId="164" fontId="10" fillId="0" borderId="4" xfId="0" applyNumberFormat="1" applyFont="1" applyBorder="1"/>
    <xf numFmtId="0" fontId="11" fillId="0" borderId="2" xfId="0" applyFont="1" applyBorder="1"/>
    <xf numFmtId="3" fontId="9" fillId="0" borderId="0" xfId="0" applyNumberFormat="1" applyFont="1" applyAlignment="1">
      <alignment horizontal="left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12" fillId="0" borderId="0" xfId="0" applyFont="1"/>
    <xf numFmtId="0" fontId="9" fillId="2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3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/>
    </xf>
    <xf numFmtId="0" fontId="9" fillId="5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2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vertical="center"/>
    </xf>
    <xf numFmtId="2" fontId="12" fillId="3" borderId="0" xfId="0" applyNumberFormat="1" applyFont="1" applyFill="1" applyAlignment="1">
      <alignment vertical="center" wrapText="1"/>
    </xf>
    <xf numFmtId="2" fontId="0" fillId="0" borderId="0" xfId="0" applyNumberFormat="1" applyAlignment="1">
      <alignment vertical="center"/>
    </xf>
    <xf numFmtId="2" fontId="12" fillId="5" borderId="0" xfId="0" applyNumberFormat="1" applyFont="1" applyFill="1" applyAlignment="1">
      <alignment vertical="center" wrapText="1"/>
    </xf>
    <xf numFmtId="0" fontId="12" fillId="6" borderId="0" xfId="0" applyFont="1" applyFill="1" applyAlignment="1">
      <alignment vertical="center"/>
    </xf>
    <xf numFmtId="1" fontId="9" fillId="0" borderId="0" xfId="0" applyNumberFormat="1" applyFont="1" applyAlignment="1">
      <alignment vertical="center"/>
    </xf>
    <xf numFmtId="2" fontId="12" fillId="6" borderId="0" xfId="0" applyNumberFormat="1" applyFont="1" applyFill="1" applyAlignment="1">
      <alignment vertical="center" wrapText="1"/>
    </xf>
    <xf numFmtId="2" fontId="9" fillId="0" borderId="0" xfId="0" applyNumberFormat="1" applyFont="1" applyAlignment="1">
      <alignment vertical="center"/>
    </xf>
    <xf numFmtId="2" fontId="12" fillId="2" borderId="0" xfId="0" applyNumberFormat="1" applyFont="1" applyFill="1" applyAlignment="1">
      <alignment vertical="center" wrapText="1"/>
    </xf>
    <xf numFmtId="2" fontId="12" fillId="7" borderId="0" xfId="0" applyNumberFormat="1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2" fillId="2" borderId="0" xfId="0" applyFont="1" applyFill="1" applyAlignment="1">
      <alignment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vertical="center" wrapText="1"/>
    </xf>
    <xf numFmtId="0" fontId="9" fillId="5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4" fillId="0" borderId="0" xfId="0" applyFont="1" applyAlignment="1">
      <alignment vertical="center"/>
    </xf>
    <xf numFmtId="0" fontId="12" fillId="8" borderId="0" xfId="0" applyFont="1" applyFill="1" applyAlignment="1">
      <alignment vertical="center"/>
    </xf>
    <xf numFmtId="0" fontId="12" fillId="9" borderId="0" xfId="0" applyFont="1" applyFill="1" applyAlignment="1">
      <alignment vertical="center" wrapText="1"/>
    </xf>
    <xf numFmtId="3" fontId="12" fillId="0" borderId="0" xfId="0" applyNumberFormat="1" applyFont="1" applyAlignment="1">
      <alignment vertical="center"/>
    </xf>
    <xf numFmtId="0" fontId="12" fillId="5" borderId="0" xfId="0" applyFont="1" applyFill="1" applyAlignment="1">
      <alignment vertical="center"/>
    </xf>
    <xf numFmtId="0" fontId="12" fillId="5" borderId="0" xfId="0" applyFont="1" applyFill="1" applyAlignment="1">
      <alignment vertical="center" wrapText="1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2" fillId="0" borderId="1" xfId="0" applyFont="1" applyBorder="1" applyAlignment="1">
      <alignment vertical="center"/>
    </xf>
    <xf numFmtId="44" fontId="16" fillId="0" borderId="0" xfId="1" applyFont="1"/>
    <xf numFmtId="0" fontId="16" fillId="0" borderId="0" xfId="4" applyFont="1"/>
    <xf numFmtId="0" fontId="17" fillId="0" borderId="0" xfId="4" applyFont="1"/>
    <xf numFmtId="44" fontId="0" fillId="11" borderId="0" xfId="3" applyNumberFormat="1" applyFont="1"/>
    <xf numFmtId="0" fontId="0" fillId="11" borderId="0" xfId="3" applyFont="1"/>
    <xf numFmtId="44" fontId="0" fillId="10" borderId="0" xfId="2" applyNumberFormat="1" applyFont="1"/>
    <xf numFmtId="0" fontId="0" fillId="10" borderId="0" xfId="2" applyFon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vertical="center"/>
    </xf>
    <xf numFmtId="164" fontId="19" fillId="0" borderId="0" xfId="0" applyNumberFormat="1" applyFont="1"/>
    <xf numFmtId="3" fontId="19" fillId="0" borderId="0" xfId="0" applyNumberFormat="1" applyFont="1" applyAlignment="1">
      <alignment horizontal="left"/>
    </xf>
    <xf numFmtId="0" fontId="18" fillId="0" borderId="0" xfId="0" applyFont="1" applyAlignment="1">
      <alignment vertical="center"/>
    </xf>
    <xf numFmtId="165" fontId="12" fillId="0" borderId="1" xfId="0" applyNumberFormat="1" applyFont="1" applyBorder="1"/>
    <xf numFmtId="165" fontId="0" fillId="0" borderId="0" xfId="0" applyNumberFormat="1"/>
    <xf numFmtId="165" fontId="12" fillId="0" borderId="0" xfId="0" applyNumberFormat="1" applyFont="1"/>
    <xf numFmtId="165" fontId="12" fillId="0" borderId="1" xfId="0" applyNumberFormat="1" applyFont="1" applyBorder="1" applyAlignment="1">
      <alignment horizontal="right"/>
    </xf>
    <xf numFmtId="165" fontId="12" fillId="0" borderId="0" xfId="0" applyNumberFormat="1" applyFont="1" applyAlignment="1">
      <alignment vertical="center"/>
    </xf>
    <xf numFmtId="165" fontId="12" fillId="0" borderId="3" xfId="0" applyNumberFormat="1" applyFont="1" applyBorder="1"/>
    <xf numFmtId="165" fontId="19" fillId="0" borderId="0" xfId="0" applyNumberFormat="1" applyFont="1" applyAlignment="1">
      <alignment vertical="center"/>
    </xf>
    <xf numFmtId="0" fontId="0" fillId="12" borderId="0" xfId="3" applyFont="1" applyFill="1"/>
    <xf numFmtId="0" fontId="4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0" xfId="0"/>
  </cellXfs>
  <cellStyles count="5">
    <cellStyle name="40 % – Zvýraznění 5" xfId="2" builtinId="47"/>
    <cellStyle name="40 % – Zvýraznění 6" xfId="3" builtinId="51"/>
    <cellStyle name="Měna" xfId="1" builtinId="4"/>
    <cellStyle name="Normální" xfId="0" builtinId="0"/>
    <cellStyle name="Normální 2" xfId="4" xr:uid="{A52D162E-09EB-4B2B-B4B5-8060C9E73191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view="pageLayout" zoomScaleNormal="100" workbookViewId="0">
      <selection activeCell="E26" sqref="E26"/>
    </sheetView>
  </sheetViews>
  <sheetFormatPr defaultRowHeight="12.45" x14ac:dyDescent="0.3"/>
  <cols>
    <col min="1" max="1" width="12.3046875" customWidth="1"/>
    <col min="2" max="2" width="29.3046875" customWidth="1"/>
    <col min="3" max="3" width="8" customWidth="1"/>
    <col min="4" max="4" width="16" customWidth="1"/>
    <col min="5" max="5" width="19.53515625" customWidth="1"/>
  </cols>
  <sheetData>
    <row r="1" spans="1:5" ht="12.9" x14ac:dyDescent="0.35">
      <c r="A1" s="3"/>
      <c r="B1" s="18"/>
      <c r="C1" s="4"/>
      <c r="D1" s="4"/>
      <c r="E1" s="4"/>
    </row>
    <row r="2" spans="1:5" ht="13.3" customHeight="1" x14ac:dyDescent="0.3">
      <c r="A2" s="102" t="s">
        <v>515</v>
      </c>
      <c r="B2" s="102"/>
      <c r="C2" s="102"/>
      <c r="D2" s="102"/>
      <c r="E2" s="102"/>
    </row>
    <row r="3" spans="1:5" ht="81" customHeight="1" x14ac:dyDescent="0.3">
      <c r="A3" s="103"/>
      <c r="B3" s="103"/>
      <c r="C3" s="103"/>
      <c r="D3" s="103"/>
      <c r="E3" s="103"/>
    </row>
    <row r="4" spans="1:5" ht="13.3" customHeight="1" x14ac:dyDescent="0.3">
      <c r="A4" s="104" t="s">
        <v>513</v>
      </c>
      <c r="B4" s="104"/>
      <c r="C4" s="104"/>
      <c r="D4" s="104"/>
      <c r="E4" s="104"/>
    </row>
    <row r="5" spans="1:5" ht="42.75" customHeight="1" x14ac:dyDescent="0.3">
      <c r="A5" s="105"/>
      <c r="B5" s="105"/>
      <c r="C5" s="105"/>
      <c r="D5" s="105"/>
      <c r="E5" s="105"/>
    </row>
    <row r="6" spans="1:5" x14ac:dyDescent="0.3">
      <c r="A6" s="11"/>
      <c r="B6" s="2"/>
      <c r="C6" s="2"/>
      <c r="D6" s="2"/>
      <c r="E6" s="2"/>
    </row>
    <row r="7" spans="1:5" ht="14.15" x14ac:dyDescent="0.35">
      <c r="A7" s="4"/>
      <c r="B7" s="30" t="s">
        <v>10</v>
      </c>
      <c r="C7" s="4"/>
      <c r="D7" s="4"/>
      <c r="E7" s="4"/>
    </row>
    <row r="8" spans="1:5" ht="14.15" x14ac:dyDescent="0.35">
      <c r="A8" s="29" t="s">
        <v>11</v>
      </c>
      <c r="B8" s="29" t="s">
        <v>12</v>
      </c>
    </row>
    <row r="9" spans="1:5" x14ac:dyDescent="0.3">
      <c r="B9" t="s">
        <v>13</v>
      </c>
      <c r="E9" s="6">
        <f>Položkově!G156+Položkově!G190+Položkově!G300+Položkově!G342</f>
        <v>1304406.0645000001</v>
      </c>
    </row>
    <row r="10" spans="1:5" x14ac:dyDescent="0.3">
      <c r="B10" t="s">
        <v>14</v>
      </c>
      <c r="E10" s="6">
        <f>Položkově!G49+Položkově!G70+Položkově!G111+Položkově!G175+Položkově!G254+Položkově!G325</f>
        <v>1035184.5819</v>
      </c>
    </row>
    <row r="11" spans="1:5" ht="14.6" thickBot="1" x14ac:dyDescent="0.4">
      <c r="A11" s="27" t="s">
        <v>11</v>
      </c>
      <c r="B11" s="27" t="s">
        <v>0</v>
      </c>
      <c r="C11" s="27"/>
      <c r="D11" s="27"/>
      <c r="E11" s="28">
        <f>E9+E10</f>
        <v>2339590.6464</v>
      </c>
    </row>
    <row r="12" spans="1:5" ht="14.6" thickBot="1" x14ac:dyDescent="0.4">
      <c r="A12" s="8"/>
      <c r="B12" s="27" t="s">
        <v>1</v>
      </c>
      <c r="C12" s="27"/>
      <c r="D12" s="27"/>
      <c r="E12" s="28">
        <f>E11</f>
        <v>2339590.6464</v>
      </c>
    </row>
    <row r="13" spans="1:5" ht="15.45" x14ac:dyDescent="0.4">
      <c r="B13" s="5"/>
      <c r="C13" s="5"/>
      <c r="D13" s="5"/>
      <c r="E13" s="9"/>
    </row>
    <row r="14" spans="1:5" ht="14.15" x14ac:dyDescent="0.35">
      <c r="A14" s="4"/>
      <c r="B14" s="30" t="s">
        <v>2</v>
      </c>
      <c r="C14" s="4"/>
      <c r="D14" s="4"/>
      <c r="E14" s="10"/>
    </row>
    <row r="15" spans="1:5" x14ac:dyDescent="0.3">
      <c r="B15" t="s">
        <v>15</v>
      </c>
      <c r="C15" s="1" t="s">
        <v>16</v>
      </c>
      <c r="D15" s="17">
        <f>E12</f>
        <v>2339590.6464</v>
      </c>
      <c r="E15" s="6">
        <f>0.21*D15</f>
        <v>491314.03574399999</v>
      </c>
    </row>
    <row r="16" spans="1:5" ht="14.15" x14ac:dyDescent="0.35">
      <c r="A16" s="4"/>
      <c r="B16" s="31" t="s">
        <v>3</v>
      </c>
      <c r="C16" s="32"/>
      <c r="D16" s="32"/>
      <c r="E16" s="33">
        <f>Položkově!G50+Položkově!G71+Položkově!G112+Položkově!G157+Položkově!G176+Položkově!G191+Položkově!G255+Položkově!G301+Položkově!G326+Položkově!G343</f>
        <v>491314.03574399994</v>
      </c>
    </row>
    <row r="17" spans="1:5" ht="14.6" thickBot="1" x14ac:dyDescent="0.4">
      <c r="A17" s="8"/>
      <c r="B17" s="27" t="s">
        <v>4</v>
      </c>
      <c r="C17" s="34"/>
      <c r="D17" s="34"/>
      <c r="E17" s="28">
        <f>E12+E16</f>
        <v>2830904.6821439997</v>
      </c>
    </row>
    <row r="19" spans="1:5" ht="12.9" x14ac:dyDescent="0.35">
      <c r="A19" s="7"/>
      <c r="B19" s="7"/>
      <c r="C19" s="7"/>
      <c r="D19" s="19"/>
      <c r="E19" s="7"/>
    </row>
    <row r="20" spans="1:5" ht="12.9" x14ac:dyDescent="0.35">
      <c r="A20" s="7"/>
      <c r="B20" s="7"/>
      <c r="C20" s="7"/>
      <c r="D20" s="7"/>
      <c r="E20" s="7"/>
    </row>
    <row r="24" spans="1:5" x14ac:dyDescent="0.3">
      <c r="E24" s="6"/>
    </row>
    <row r="27" spans="1:5" x14ac:dyDescent="0.3">
      <c r="E27" s="6"/>
    </row>
  </sheetData>
  <mergeCells count="2">
    <mergeCell ref="A2:E3"/>
    <mergeCell ref="A4:E5"/>
  </mergeCells>
  <pageMargins left="0.78740157499999996" right="0.78740157499999996" top="0.984251969" bottom="0.984251969" header="0.4921259845" footer="0.4921259845"/>
  <pageSetup paperSize="9" orientation="portrait" horizontalDpi="4294967292" verticalDpi="300" r:id="rId1"/>
  <headerFooter alignWithMargins="0">
    <oddFooter>Stránka &amp;P z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3"/>
  <sheetViews>
    <sheetView tabSelected="1" topLeftCell="C250" zoomScaleNormal="100" workbookViewId="0">
      <selection activeCell="H293" sqref="H293"/>
    </sheetView>
  </sheetViews>
  <sheetFormatPr defaultColWidth="37.765625" defaultRowHeight="12.45" outlineLevelCol="1" x14ac:dyDescent="0.3"/>
  <cols>
    <col min="1" max="1" width="3.23046875" bestFit="1" customWidth="1"/>
    <col min="2" max="2" width="21.23046875" bestFit="1" customWidth="1"/>
    <col min="3" max="3" width="60.921875" bestFit="1" customWidth="1"/>
    <col min="4" max="4" width="5.07421875" style="41" bestFit="1" customWidth="1" outlineLevel="1"/>
    <col min="5" max="5" width="4.765625" bestFit="1" customWidth="1" outlineLevel="1"/>
    <col min="6" max="6" width="8.69140625" style="96" bestFit="1" customWidth="1" outlineLevel="1"/>
    <col min="7" max="7" width="13.61328125" bestFit="1" customWidth="1" outlineLevel="1"/>
    <col min="8" max="9" width="8.23046875" customWidth="1" outlineLevel="1"/>
    <col min="10" max="10" width="12.15234375" bestFit="1" customWidth="1"/>
    <col min="11" max="11" width="8.69140625" bestFit="1" customWidth="1"/>
    <col min="12" max="12" width="12.23046875" bestFit="1" customWidth="1"/>
    <col min="13" max="13" width="8.921875" customWidth="1"/>
    <col min="14" max="14" width="10.921875" bestFit="1" customWidth="1"/>
    <col min="15" max="15" width="8.69140625" bestFit="1" customWidth="1"/>
    <col min="16" max="16" width="11.07421875" bestFit="1" customWidth="1"/>
  </cols>
  <sheetData>
    <row r="1" spans="1:16" ht="12.9" x14ac:dyDescent="0.35">
      <c r="A1" s="12"/>
      <c r="B1" s="12"/>
      <c r="C1" s="12"/>
      <c r="D1" s="76"/>
      <c r="E1" s="4"/>
      <c r="F1" s="94"/>
      <c r="G1" s="4"/>
      <c r="J1" s="81"/>
      <c r="K1" s="88">
        <v>1.19</v>
      </c>
      <c r="L1" s="81"/>
      <c r="M1" s="82"/>
      <c r="N1" s="81"/>
      <c r="O1" s="83">
        <f>SUM(K1)</f>
        <v>1.19</v>
      </c>
      <c r="P1" s="81"/>
    </row>
    <row r="2" spans="1:16" x14ac:dyDescent="0.3">
      <c r="A2" s="102" t="s">
        <v>514</v>
      </c>
      <c r="B2" s="106"/>
      <c r="C2" s="106"/>
      <c r="D2" s="106"/>
      <c r="E2" s="106"/>
      <c r="F2" s="106"/>
      <c r="G2" s="106"/>
      <c r="J2" s="84" t="s">
        <v>520</v>
      </c>
      <c r="K2" s="85" t="s">
        <v>521</v>
      </c>
      <c r="L2" s="84" t="s">
        <v>522</v>
      </c>
      <c r="N2" s="86" t="s">
        <v>523</v>
      </c>
      <c r="O2" s="87" t="s">
        <v>521</v>
      </c>
      <c r="P2" s="86" t="s">
        <v>524</v>
      </c>
    </row>
    <row r="3" spans="1:16" x14ac:dyDescent="0.3">
      <c r="A3" s="107"/>
      <c r="B3" s="107"/>
      <c r="C3" s="107"/>
      <c r="D3" s="107"/>
      <c r="E3" s="107"/>
      <c r="F3" s="107"/>
      <c r="G3" s="107"/>
      <c r="J3" s="85"/>
      <c r="K3" s="85"/>
      <c r="L3" s="85"/>
      <c r="N3" s="87"/>
      <c r="O3" s="87"/>
      <c r="P3" s="87"/>
    </row>
    <row r="4" spans="1:16" x14ac:dyDescent="0.3">
      <c r="A4" s="104" t="s">
        <v>513</v>
      </c>
      <c r="B4" s="104"/>
      <c r="C4" s="104"/>
      <c r="D4" s="104"/>
      <c r="E4" s="104"/>
      <c r="F4" s="108"/>
      <c r="G4" s="108"/>
    </row>
    <row r="5" spans="1:16" x14ac:dyDescent="0.3">
      <c r="A5" s="109"/>
      <c r="B5" s="109"/>
      <c r="C5" s="109"/>
      <c r="D5" s="109"/>
      <c r="E5" s="109"/>
      <c r="F5" s="109"/>
      <c r="G5" s="109"/>
    </row>
    <row r="6" spans="1:16" x14ac:dyDescent="0.3">
      <c r="D6"/>
      <c r="F6" s="95"/>
    </row>
    <row r="7" spans="1:16" ht="15.45" x14ac:dyDescent="0.4">
      <c r="C7" s="5" t="s">
        <v>17</v>
      </c>
    </row>
    <row r="8" spans="1:16" x14ac:dyDescent="0.3">
      <c r="A8" s="20" t="s">
        <v>5</v>
      </c>
      <c r="B8" s="20" t="s">
        <v>6</v>
      </c>
      <c r="C8" s="20" t="s">
        <v>7</v>
      </c>
      <c r="D8" s="77"/>
      <c r="E8" s="21" t="s">
        <v>8</v>
      </c>
      <c r="F8" s="97" t="s">
        <v>9</v>
      </c>
      <c r="G8" s="21" t="s">
        <v>0</v>
      </c>
    </row>
    <row r="9" spans="1:16" x14ac:dyDescent="0.3">
      <c r="A9" s="36">
        <v>1</v>
      </c>
      <c r="B9" s="36" t="s">
        <v>18</v>
      </c>
      <c r="C9" s="44" t="s">
        <v>19</v>
      </c>
      <c r="D9" s="40">
        <v>4</v>
      </c>
      <c r="E9" s="36" t="s">
        <v>20</v>
      </c>
      <c r="F9" s="98">
        <f>L9+P9</f>
        <v>66.878</v>
      </c>
      <c r="G9" s="37">
        <f>D9*F9</f>
        <v>267.512</v>
      </c>
      <c r="J9" s="85">
        <v>11.2</v>
      </c>
      <c r="K9" s="85">
        <f t="shared" ref="K9:K67" si="0">$K$1</f>
        <v>1.19</v>
      </c>
      <c r="L9" s="85">
        <f t="shared" ref="L9" si="1">K9*J9</f>
        <v>13.327999999999999</v>
      </c>
      <c r="N9" s="87">
        <v>45</v>
      </c>
      <c r="O9" s="87">
        <f t="shared" ref="O9:O67" si="2">$O$1</f>
        <v>1.19</v>
      </c>
      <c r="P9" s="87">
        <f t="shared" ref="P9" si="3">O9*N9</f>
        <v>53.55</v>
      </c>
    </row>
    <row r="10" spans="1:16" x14ac:dyDescent="0.3">
      <c r="A10" s="36">
        <v>2</v>
      </c>
      <c r="B10" s="36" t="s">
        <v>21</v>
      </c>
      <c r="C10" s="44" t="s">
        <v>22</v>
      </c>
      <c r="D10" s="40">
        <v>4</v>
      </c>
      <c r="E10" s="36" t="s">
        <v>20</v>
      </c>
      <c r="F10" s="98">
        <f t="shared" ref="F10:F48" si="4">L10+P10</f>
        <v>178.5</v>
      </c>
      <c r="G10" s="37">
        <f t="shared" ref="G10:G48" si="5">D10*F10</f>
        <v>714</v>
      </c>
      <c r="J10" s="85"/>
      <c r="K10" s="85">
        <f t="shared" si="0"/>
        <v>1.19</v>
      </c>
      <c r="L10" s="85">
        <f t="shared" ref="L10:L69" si="6">K10*J10</f>
        <v>0</v>
      </c>
      <c r="N10" s="87">
        <v>150</v>
      </c>
      <c r="O10" s="87">
        <f t="shared" si="2"/>
        <v>1.19</v>
      </c>
      <c r="P10" s="87">
        <f t="shared" ref="P10:P69" si="7">O10*N10</f>
        <v>178.5</v>
      </c>
    </row>
    <row r="11" spans="1:16" x14ac:dyDescent="0.3">
      <c r="A11" s="36">
        <v>3</v>
      </c>
      <c r="B11" s="36" t="s">
        <v>23</v>
      </c>
      <c r="C11" s="44" t="s">
        <v>332</v>
      </c>
      <c r="D11" s="40">
        <v>168</v>
      </c>
      <c r="E11" s="36" t="s">
        <v>24</v>
      </c>
      <c r="F11" s="98">
        <f t="shared" si="4"/>
        <v>17.730999999999998</v>
      </c>
      <c r="G11" s="37">
        <f t="shared" si="5"/>
        <v>2978.8079999999995</v>
      </c>
      <c r="J11" s="85">
        <v>14.9</v>
      </c>
      <c r="K11" s="85">
        <f t="shared" si="0"/>
        <v>1.19</v>
      </c>
      <c r="L11" s="85">
        <f t="shared" si="6"/>
        <v>17.730999999999998</v>
      </c>
      <c r="N11" s="87"/>
      <c r="O11" s="87">
        <f t="shared" si="2"/>
        <v>1.19</v>
      </c>
      <c r="P11" s="87">
        <f t="shared" si="7"/>
        <v>0</v>
      </c>
    </row>
    <row r="12" spans="1:16" x14ac:dyDescent="0.3">
      <c r="A12" s="36">
        <v>4</v>
      </c>
      <c r="B12" s="36" t="s">
        <v>25</v>
      </c>
      <c r="C12" s="44" t="s">
        <v>333</v>
      </c>
      <c r="D12" s="40">
        <v>168</v>
      </c>
      <c r="E12" s="36" t="s">
        <v>24</v>
      </c>
      <c r="F12" s="98">
        <f t="shared" si="4"/>
        <v>21.419999999999998</v>
      </c>
      <c r="G12" s="37">
        <f t="shared" si="5"/>
        <v>3598.5599999999995</v>
      </c>
      <c r="J12" s="85">
        <v>18</v>
      </c>
      <c r="K12" s="85">
        <f t="shared" si="0"/>
        <v>1.19</v>
      </c>
      <c r="L12" s="85">
        <f t="shared" si="6"/>
        <v>21.419999999999998</v>
      </c>
      <c r="N12" s="87"/>
      <c r="O12" s="87">
        <f t="shared" si="2"/>
        <v>1.19</v>
      </c>
      <c r="P12" s="87">
        <f t="shared" si="7"/>
        <v>0</v>
      </c>
    </row>
    <row r="13" spans="1:16" x14ac:dyDescent="0.3">
      <c r="A13" s="36">
        <v>5</v>
      </c>
      <c r="B13" s="36" t="s">
        <v>26</v>
      </c>
      <c r="C13" s="44" t="s">
        <v>27</v>
      </c>
      <c r="D13" s="40">
        <v>283</v>
      </c>
      <c r="E13" s="36" t="s">
        <v>20</v>
      </c>
      <c r="F13" s="98">
        <f t="shared" si="4"/>
        <v>5.6524999999999999</v>
      </c>
      <c r="G13" s="37">
        <f t="shared" si="5"/>
        <v>1599.6575</v>
      </c>
      <c r="J13" s="85">
        <v>4.75</v>
      </c>
      <c r="K13" s="85">
        <f t="shared" si="0"/>
        <v>1.19</v>
      </c>
      <c r="L13" s="85">
        <f t="shared" si="6"/>
        <v>5.6524999999999999</v>
      </c>
      <c r="N13" s="87"/>
      <c r="O13" s="87">
        <f t="shared" si="2"/>
        <v>1.19</v>
      </c>
      <c r="P13" s="87">
        <f t="shared" si="7"/>
        <v>0</v>
      </c>
    </row>
    <row r="14" spans="1:16" x14ac:dyDescent="0.3">
      <c r="A14" s="36">
        <v>6</v>
      </c>
      <c r="B14" s="36" t="s">
        <v>28</v>
      </c>
      <c r="C14" s="44" t="s">
        <v>29</v>
      </c>
      <c r="D14" s="40">
        <v>113</v>
      </c>
      <c r="E14" s="36" t="s">
        <v>20</v>
      </c>
      <c r="F14" s="98">
        <f t="shared" si="4"/>
        <v>30.463999999999999</v>
      </c>
      <c r="G14" s="37">
        <f t="shared" si="5"/>
        <v>3442.4319999999998</v>
      </c>
      <c r="J14" s="85">
        <v>25.6</v>
      </c>
      <c r="K14" s="85">
        <f t="shared" si="0"/>
        <v>1.19</v>
      </c>
      <c r="L14" s="85">
        <f t="shared" si="6"/>
        <v>30.463999999999999</v>
      </c>
      <c r="N14" s="87"/>
      <c r="O14" s="87">
        <f t="shared" si="2"/>
        <v>1.19</v>
      </c>
      <c r="P14" s="87">
        <f t="shared" si="7"/>
        <v>0</v>
      </c>
    </row>
    <row r="15" spans="1:16" x14ac:dyDescent="0.3">
      <c r="A15" s="36">
        <v>7</v>
      </c>
      <c r="B15" s="36" t="s">
        <v>30</v>
      </c>
      <c r="C15" s="44" t="s">
        <v>31</v>
      </c>
      <c r="D15" s="40">
        <v>16</v>
      </c>
      <c r="E15" s="36" t="s">
        <v>20</v>
      </c>
      <c r="F15" s="98">
        <f t="shared" si="4"/>
        <v>108.93260000000001</v>
      </c>
      <c r="G15" s="37">
        <f t="shared" si="5"/>
        <v>1742.9216000000001</v>
      </c>
      <c r="J15" s="85">
        <v>91.54</v>
      </c>
      <c r="K15" s="85">
        <f t="shared" si="0"/>
        <v>1.19</v>
      </c>
      <c r="L15" s="85">
        <f t="shared" si="6"/>
        <v>108.93260000000001</v>
      </c>
      <c r="N15" s="87"/>
      <c r="O15" s="87">
        <f t="shared" si="2"/>
        <v>1.19</v>
      </c>
      <c r="P15" s="87">
        <f t="shared" si="7"/>
        <v>0</v>
      </c>
    </row>
    <row r="16" spans="1:16" x14ac:dyDescent="0.3">
      <c r="A16" s="36">
        <v>8</v>
      </c>
      <c r="B16" s="36" t="s">
        <v>32</v>
      </c>
      <c r="C16" s="44" t="s">
        <v>33</v>
      </c>
      <c r="D16" s="40">
        <v>16</v>
      </c>
      <c r="E16" s="36" t="s">
        <v>20</v>
      </c>
      <c r="F16" s="98">
        <f t="shared" si="4"/>
        <v>335.93700000000001</v>
      </c>
      <c r="G16" s="37">
        <f t="shared" si="5"/>
        <v>5374.9920000000002</v>
      </c>
      <c r="J16" s="85">
        <v>282.3</v>
      </c>
      <c r="K16" s="85">
        <f t="shared" si="0"/>
        <v>1.19</v>
      </c>
      <c r="L16" s="85">
        <f t="shared" si="6"/>
        <v>335.93700000000001</v>
      </c>
      <c r="N16" s="87"/>
      <c r="O16" s="87">
        <f t="shared" si="2"/>
        <v>1.19</v>
      </c>
      <c r="P16" s="87">
        <f t="shared" si="7"/>
        <v>0</v>
      </c>
    </row>
    <row r="17" spans="1:16" x14ac:dyDescent="0.3">
      <c r="A17" s="36">
        <v>9</v>
      </c>
      <c r="B17" s="36" t="s">
        <v>34</v>
      </c>
      <c r="C17" s="44" t="s">
        <v>287</v>
      </c>
      <c r="D17" s="40">
        <v>46</v>
      </c>
      <c r="E17" s="36" t="s">
        <v>20</v>
      </c>
      <c r="F17" s="98">
        <f t="shared" si="4"/>
        <v>104.26779999999999</v>
      </c>
      <c r="G17" s="37">
        <f t="shared" si="5"/>
        <v>4796.3188</v>
      </c>
      <c r="J17" s="85">
        <v>42.62</v>
      </c>
      <c r="K17" s="85">
        <f t="shared" si="0"/>
        <v>1.19</v>
      </c>
      <c r="L17" s="85">
        <f t="shared" si="6"/>
        <v>50.717799999999997</v>
      </c>
      <c r="N17" s="87">
        <v>45</v>
      </c>
      <c r="O17" s="87">
        <f t="shared" si="2"/>
        <v>1.19</v>
      </c>
      <c r="P17" s="87">
        <f t="shared" si="7"/>
        <v>53.55</v>
      </c>
    </row>
    <row r="18" spans="1:16" x14ac:dyDescent="0.3">
      <c r="A18" s="36">
        <v>10</v>
      </c>
      <c r="B18" s="36" t="s">
        <v>35</v>
      </c>
      <c r="C18" s="44" t="s">
        <v>36</v>
      </c>
      <c r="D18" s="40">
        <v>434</v>
      </c>
      <c r="E18" s="36" t="s">
        <v>20</v>
      </c>
      <c r="F18" s="98">
        <f t="shared" si="4"/>
        <v>10.709999999999999</v>
      </c>
      <c r="G18" s="37">
        <f t="shared" si="5"/>
        <v>4648.1399999999994</v>
      </c>
      <c r="J18" s="85"/>
      <c r="K18" s="85">
        <f t="shared" si="0"/>
        <v>1.19</v>
      </c>
      <c r="L18" s="85">
        <f t="shared" si="6"/>
        <v>0</v>
      </c>
      <c r="N18" s="87">
        <v>9</v>
      </c>
      <c r="O18" s="87">
        <f t="shared" si="2"/>
        <v>1.19</v>
      </c>
      <c r="P18" s="87">
        <f t="shared" si="7"/>
        <v>10.709999999999999</v>
      </c>
    </row>
    <row r="19" spans="1:16" x14ac:dyDescent="0.3">
      <c r="A19" s="36">
        <v>11</v>
      </c>
      <c r="B19" s="36" t="s">
        <v>37</v>
      </c>
      <c r="C19" s="44" t="s">
        <v>38</v>
      </c>
      <c r="D19" s="40">
        <v>398</v>
      </c>
      <c r="E19" s="36" t="s">
        <v>20</v>
      </c>
      <c r="F19" s="98">
        <f t="shared" si="4"/>
        <v>4.76</v>
      </c>
      <c r="G19" s="37">
        <f t="shared" si="5"/>
        <v>1894.48</v>
      </c>
      <c r="J19" s="85"/>
      <c r="K19" s="85">
        <f t="shared" si="0"/>
        <v>1.19</v>
      </c>
      <c r="L19" s="85">
        <f t="shared" si="6"/>
        <v>0</v>
      </c>
      <c r="N19" s="87">
        <v>4</v>
      </c>
      <c r="O19" s="87">
        <f t="shared" si="2"/>
        <v>1.19</v>
      </c>
      <c r="P19" s="87">
        <f t="shared" si="7"/>
        <v>4.76</v>
      </c>
    </row>
    <row r="20" spans="1:16" x14ac:dyDescent="0.3">
      <c r="A20" s="36">
        <v>12</v>
      </c>
      <c r="B20" s="36" t="s">
        <v>39</v>
      </c>
      <c r="C20" s="44" t="s">
        <v>40</v>
      </c>
      <c r="D20" s="40">
        <v>36</v>
      </c>
      <c r="E20" s="36" t="s">
        <v>20</v>
      </c>
      <c r="F20" s="98">
        <f t="shared" si="4"/>
        <v>4.76</v>
      </c>
      <c r="G20" s="37">
        <f t="shared" si="5"/>
        <v>171.35999999999999</v>
      </c>
      <c r="J20" s="85"/>
      <c r="K20" s="85">
        <f t="shared" si="0"/>
        <v>1.19</v>
      </c>
      <c r="L20" s="85">
        <f t="shared" si="6"/>
        <v>0</v>
      </c>
      <c r="N20" s="87">
        <v>4</v>
      </c>
      <c r="O20" s="87">
        <f t="shared" si="2"/>
        <v>1.19</v>
      </c>
      <c r="P20" s="87">
        <f t="shared" si="7"/>
        <v>4.76</v>
      </c>
    </row>
    <row r="21" spans="1:16" x14ac:dyDescent="0.3">
      <c r="A21" s="36">
        <v>13</v>
      </c>
      <c r="B21" s="36" t="s">
        <v>41</v>
      </c>
      <c r="C21" s="44" t="s">
        <v>42</v>
      </c>
      <c r="D21" s="40">
        <v>144</v>
      </c>
      <c r="E21" s="36" t="s">
        <v>24</v>
      </c>
      <c r="F21" s="98">
        <f t="shared" si="4"/>
        <v>28.916999999999998</v>
      </c>
      <c r="G21" s="37">
        <f t="shared" si="5"/>
        <v>4164.0479999999998</v>
      </c>
      <c r="J21" s="85">
        <v>5.3</v>
      </c>
      <c r="K21" s="85">
        <f t="shared" si="0"/>
        <v>1.19</v>
      </c>
      <c r="L21" s="85">
        <f t="shared" si="6"/>
        <v>6.3069999999999995</v>
      </c>
      <c r="N21" s="87">
        <v>19</v>
      </c>
      <c r="O21" s="87">
        <f t="shared" si="2"/>
        <v>1.19</v>
      </c>
      <c r="P21" s="87">
        <f t="shared" si="7"/>
        <v>22.61</v>
      </c>
    </row>
    <row r="22" spans="1:16" x14ac:dyDescent="0.3">
      <c r="A22" s="36">
        <v>15</v>
      </c>
      <c r="B22" s="36" t="s">
        <v>43</v>
      </c>
      <c r="C22" s="44" t="s">
        <v>44</v>
      </c>
      <c r="D22" s="40">
        <v>128</v>
      </c>
      <c r="E22" s="36" t="s">
        <v>24</v>
      </c>
      <c r="F22" s="98">
        <f t="shared" si="4"/>
        <v>41.173999999999999</v>
      </c>
      <c r="G22" s="37">
        <f t="shared" si="5"/>
        <v>5270.2719999999999</v>
      </c>
      <c r="J22" s="85">
        <v>15.6</v>
      </c>
      <c r="K22" s="85">
        <f t="shared" si="0"/>
        <v>1.19</v>
      </c>
      <c r="L22" s="85">
        <f t="shared" si="6"/>
        <v>18.564</v>
      </c>
      <c r="N22" s="87">
        <v>19</v>
      </c>
      <c r="O22" s="87">
        <f t="shared" si="2"/>
        <v>1.19</v>
      </c>
      <c r="P22" s="87">
        <f t="shared" si="7"/>
        <v>22.61</v>
      </c>
    </row>
    <row r="23" spans="1:16" x14ac:dyDescent="0.3">
      <c r="A23" s="36">
        <v>16</v>
      </c>
      <c r="B23" s="36" t="s">
        <v>45</v>
      </c>
      <c r="C23" s="44" t="s">
        <v>46</v>
      </c>
      <c r="D23" s="40">
        <v>312</v>
      </c>
      <c r="E23" s="36" t="s">
        <v>24</v>
      </c>
      <c r="F23" s="98">
        <f t="shared" si="4"/>
        <v>40.697999999999993</v>
      </c>
      <c r="G23" s="37">
        <f t="shared" si="5"/>
        <v>12697.775999999998</v>
      </c>
      <c r="J23" s="85">
        <v>15.2</v>
      </c>
      <c r="K23" s="85">
        <f t="shared" si="0"/>
        <v>1.19</v>
      </c>
      <c r="L23" s="85">
        <f t="shared" si="6"/>
        <v>18.087999999999997</v>
      </c>
      <c r="N23" s="87">
        <v>19</v>
      </c>
      <c r="O23" s="87">
        <f t="shared" si="2"/>
        <v>1.19</v>
      </c>
      <c r="P23" s="87">
        <f t="shared" si="7"/>
        <v>22.61</v>
      </c>
    </row>
    <row r="24" spans="1:16" x14ac:dyDescent="0.3">
      <c r="A24" s="36">
        <v>18</v>
      </c>
      <c r="B24" s="36" t="s">
        <v>47</v>
      </c>
      <c r="C24" s="44" t="s">
        <v>48</v>
      </c>
      <c r="D24" s="40">
        <v>194</v>
      </c>
      <c r="E24" s="36" t="s">
        <v>24</v>
      </c>
      <c r="F24" s="98">
        <f t="shared" si="4"/>
        <v>56.048999999999999</v>
      </c>
      <c r="G24" s="37">
        <f t="shared" si="5"/>
        <v>10873.505999999999</v>
      </c>
      <c r="J24" s="85">
        <v>28.1</v>
      </c>
      <c r="K24" s="85">
        <f t="shared" si="0"/>
        <v>1.19</v>
      </c>
      <c r="L24" s="85">
        <f t="shared" si="6"/>
        <v>33.439</v>
      </c>
      <c r="N24" s="87">
        <v>19</v>
      </c>
      <c r="O24" s="87">
        <f t="shared" si="2"/>
        <v>1.19</v>
      </c>
      <c r="P24" s="87">
        <f t="shared" si="7"/>
        <v>22.61</v>
      </c>
    </row>
    <row r="25" spans="1:16" x14ac:dyDescent="0.3">
      <c r="A25" s="36">
        <v>19</v>
      </c>
      <c r="B25" s="36" t="s">
        <v>49</v>
      </c>
      <c r="C25" s="44" t="s">
        <v>50</v>
      </c>
      <c r="D25" s="40">
        <v>392</v>
      </c>
      <c r="E25" s="36" t="s">
        <v>24</v>
      </c>
      <c r="F25" s="98">
        <f t="shared" si="4"/>
        <v>4.76</v>
      </c>
      <c r="G25" s="37">
        <f t="shared" si="5"/>
        <v>1865.9199999999998</v>
      </c>
      <c r="J25" s="85">
        <v>4</v>
      </c>
      <c r="K25" s="85">
        <f t="shared" si="0"/>
        <v>1.19</v>
      </c>
      <c r="L25" s="85">
        <f t="shared" si="6"/>
        <v>4.76</v>
      </c>
      <c r="N25" s="87"/>
      <c r="O25" s="87">
        <f t="shared" si="2"/>
        <v>1.19</v>
      </c>
      <c r="P25" s="87">
        <f t="shared" si="7"/>
        <v>0</v>
      </c>
    </row>
    <row r="26" spans="1:16" x14ac:dyDescent="0.3">
      <c r="A26" s="36">
        <v>20</v>
      </c>
      <c r="B26" s="36" t="s">
        <v>51</v>
      </c>
      <c r="C26" s="44" t="s">
        <v>52</v>
      </c>
      <c r="D26" s="40">
        <v>392</v>
      </c>
      <c r="E26" s="36" t="s">
        <v>24</v>
      </c>
      <c r="F26" s="98">
        <f t="shared" si="4"/>
        <v>4.9980000000000002</v>
      </c>
      <c r="G26" s="37">
        <f t="shared" si="5"/>
        <v>1959.2160000000001</v>
      </c>
      <c r="J26" s="85"/>
      <c r="K26" s="85">
        <f t="shared" si="0"/>
        <v>1.19</v>
      </c>
      <c r="L26" s="85">
        <f t="shared" si="6"/>
        <v>0</v>
      </c>
      <c r="N26" s="87">
        <v>4.2</v>
      </c>
      <c r="O26" s="87">
        <f t="shared" si="2"/>
        <v>1.19</v>
      </c>
      <c r="P26" s="87">
        <f t="shared" si="7"/>
        <v>4.9980000000000002</v>
      </c>
    </row>
    <row r="27" spans="1:16" x14ac:dyDescent="0.3">
      <c r="A27" s="36">
        <v>21</v>
      </c>
      <c r="B27" s="36" t="s">
        <v>53</v>
      </c>
      <c r="C27" s="44" t="s">
        <v>54</v>
      </c>
      <c r="D27" s="40">
        <v>392</v>
      </c>
      <c r="E27" s="36" t="s">
        <v>24</v>
      </c>
      <c r="F27" s="98">
        <f t="shared" si="4"/>
        <v>4.76</v>
      </c>
      <c r="G27" s="37">
        <f t="shared" si="5"/>
        <v>1865.9199999999998</v>
      </c>
      <c r="J27" s="85"/>
      <c r="K27" s="85">
        <f t="shared" si="0"/>
        <v>1.19</v>
      </c>
      <c r="L27" s="85">
        <f t="shared" si="6"/>
        <v>0</v>
      </c>
      <c r="N27" s="87">
        <v>4</v>
      </c>
      <c r="O27" s="87">
        <f t="shared" si="2"/>
        <v>1.19</v>
      </c>
      <c r="P27" s="87">
        <f t="shared" si="7"/>
        <v>4.76</v>
      </c>
    </row>
    <row r="28" spans="1:16" x14ac:dyDescent="0.3">
      <c r="A28" s="36">
        <v>22</v>
      </c>
      <c r="B28" s="36" t="s">
        <v>366</v>
      </c>
      <c r="C28" s="44" t="s">
        <v>367</v>
      </c>
      <c r="D28" s="40">
        <v>126</v>
      </c>
      <c r="E28" s="36" t="s">
        <v>24</v>
      </c>
      <c r="F28" s="98">
        <f t="shared" si="4"/>
        <v>452.2</v>
      </c>
      <c r="G28" s="37">
        <f t="shared" si="5"/>
        <v>56977.2</v>
      </c>
      <c r="J28" s="85">
        <v>220</v>
      </c>
      <c r="K28" s="85">
        <f t="shared" si="0"/>
        <v>1.19</v>
      </c>
      <c r="L28" s="85">
        <f t="shared" si="6"/>
        <v>261.8</v>
      </c>
      <c r="N28" s="87">
        <v>160</v>
      </c>
      <c r="O28" s="87">
        <f t="shared" si="2"/>
        <v>1.19</v>
      </c>
      <c r="P28" s="87">
        <f t="shared" si="7"/>
        <v>190.39999999999998</v>
      </c>
    </row>
    <row r="29" spans="1:16" x14ac:dyDescent="0.3">
      <c r="A29" s="36">
        <v>23</v>
      </c>
      <c r="B29" s="36" t="s">
        <v>55</v>
      </c>
      <c r="C29" s="44" t="s">
        <v>56</v>
      </c>
      <c r="D29" s="40">
        <v>4</v>
      </c>
      <c r="E29" s="36" t="s">
        <v>24</v>
      </c>
      <c r="F29" s="98">
        <f t="shared" si="4"/>
        <v>916.3</v>
      </c>
      <c r="G29" s="37">
        <f t="shared" si="5"/>
        <v>3665.2</v>
      </c>
      <c r="J29" s="85">
        <v>630</v>
      </c>
      <c r="K29" s="85">
        <f t="shared" si="0"/>
        <v>1.19</v>
      </c>
      <c r="L29" s="85">
        <f t="shared" si="6"/>
        <v>749.69999999999993</v>
      </c>
      <c r="N29" s="87">
        <v>140</v>
      </c>
      <c r="O29" s="87">
        <f t="shared" si="2"/>
        <v>1.19</v>
      </c>
      <c r="P29" s="87">
        <f t="shared" si="7"/>
        <v>166.6</v>
      </c>
    </row>
    <row r="30" spans="1:16" x14ac:dyDescent="0.3">
      <c r="A30" s="36">
        <v>24</v>
      </c>
      <c r="B30" s="36" t="s">
        <v>57</v>
      </c>
      <c r="C30" s="44" t="s">
        <v>58</v>
      </c>
      <c r="D30" s="40">
        <v>0</v>
      </c>
      <c r="E30" s="36" t="s">
        <v>20</v>
      </c>
      <c r="F30" s="98">
        <f t="shared" si="4"/>
        <v>53.55</v>
      </c>
      <c r="G30" s="37">
        <f t="shared" si="5"/>
        <v>0</v>
      </c>
      <c r="J30" s="85">
        <v>45</v>
      </c>
      <c r="K30" s="85">
        <f t="shared" si="0"/>
        <v>1.19</v>
      </c>
      <c r="L30" s="85">
        <f t="shared" si="6"/>
        <v>53.55</v>
      </c>
      <c r="N30" s="87"/>
      <c r="O30" s="87">
        <f t="shared" si="2"/>
        <v>1.19</v>
      </c>
      <c r="P30" s="87">
        <f t="shared" si="7"/>
        <v>0</v>
      </c>
    </row>
    <row r="31" spans="1:16" x14ac:dyDescent="0.3">
      <c r="A31" s="36">
        <v>25</v>
      </c>
      <c r="B31" s="36" t="s">
        <v>59</v>
      </c>
      <c r="C31" s="44" t="s">
        <v>60</v>
      </c>
      <c r="D31" s="40">
        <v>126</v>
      </c>
      <c r="E31" s="36" t="s">
        <v>20</v>
      </c>
      <c r="F31" s="98">
        <f t="shared" si="4"/>
        <v>77.349999999999994</v>
      </c>
      <c r="G31" s="37">
        <f t="shared" si="5"/>
        <v>9746.0999999999985</v>
      </c>
      <c r="J31" s="85">
        <v>65</v>
      </c>
      <c r="K31" s="85">
        <f t="shared" si="0"/>
        <v>1.19</v>
      </c>
      <c r="L31" s="85">
        <f t="shared" si="6"/>
        <v>77.349999999999994</v>
      </c>
      <c r="N31" s="87"/>
      <c r="O31" s="87">
        <f t="shared" si="2"/>
        <v>1.19</v>
      </c>
      <c r="P31" s="87">
        <f t="shared" si="7"/>
        <v>0</v>
      </c>
    </row>
    <row r="32" spans="1:16" x14ac:dyDescent="0.3">
      <c r="A32" s="36">
        <v>26</v>
      </c>
      <c r="B32" s="36" t="s">
        <v>61</v>
      </c>
      <c r="C32" s="44" t="s">
        <v>62</v>
      </c>
      <c r="D32" s="40">
        <v>126</v>
      </c>
      <c r="E32" s="36" t="s">
        <v>20</v>
      </c>
      <c r="F32" s="98">
        <f t="shared" si="4"/>
        <v>77.349999999999994</v>
      </c>
      <c r="G32" s="37">
        <f t="shared" si="5"/>
        <v>9746.0999999999985</v>
      </c>
      <c r="J32" s="85"/>
      <c r="K32" s="85">
        <f t="shared" si="0"/>
        <v>1.19</v>
      </c>
      <c r="L32" s="85">
        <f t="shared" si="6"/>
        <v>0</v>
      </c>
      <c r="N32" s="87">
        <v>65</v>
      </c>
      <c r="O32" s="87">
        <f t="shared" si="2"/>
        <v>1.19</v>
      </c>
      <c r="P32" s="87">
        <f t="shared" si="7"/>
        <v>77.349999999999994</v>
      </c>
    </row>
    <row r="33" spans="1:16" x14ac:dyDescent="0.3">
      <c r="A33" s="36">
        <v>27</v>
      </c>
      <c r="B33" s="36" t="s">
        <v>63</v>
      </c>
      <c r="C33" s="44" t="s">
        <v>64</v>
      </c>
      <c r="D33" s="40">
        <v>672</v>
      </c>
      <c r="E33" s="36" t="s">
        <v>20</v>
      </c>
      <c r="F33" s="98">
        <f t="shared" si="4"/>
        <v>7.14</v>
      </c>
      <c r="G33" s="37">
        <f t="shared" si="5"/>
        <v>4798.08</v>
      </c>
      <c r="J33" s="85"/>
      <c r="K33" s="85">
        <f t="shared" si="0"/>
        <v>1.19</v>
      </c>
      <c r="L33" s="85">
        <f t="shared" si="6"/>
        <v>0</v>
      </c>
      <c r="N33" s="87">
        <v>6</v>
      </c>
      <c r="O33" s="87">
        <f t="shared" si="2"/>
        <v>1.19</v>
      </c>
      <c r="P33" s="87">
        <f t="shared" si="7"/>
        <v>7.14</v>
      </c>
    </row>
    <row r="34" spans="1:16" x14ac:dyDescent="0.3">
      <c r="A34" s="36">
        <v>28</v>
      </c>
      <c r="B34" s="36" t="s">
        <v>65</v>
      </c>
      <c r="C34" s="44" t="s">
        <v>66</v>
      </c>
      <c r="D34" s="40">
        <v>738</v>
      </c>
      <c r="E34" s="36" t="s">
        <v>20</v>
      </c>
      <c r="F34" s="98">
        <f t="shared" si="4"/>
        <v>7.14</v>
      </c>
      <c r="G34" s="37">
        <f t="shared" si="5"/>
        <v>5269.32</v>
      </c>
      <c r="J34" s="85"/>
      <c r="K34" s="85">
        <f t="shared" si="0"/>
        <v>1.19</v>
      </c>
      <c r="L34" s="85">
        <f t="shared" si="6"/>
        <v>0</v>
      </c>
      <c r="N34" s="87">
        <v>6</v>
      </c>
      <c r="O34" s="87">
        <f t="shared" si="2"/>
        <v>1.19</v>
      </c>
      <c r="P34" s="87">
        <f t="shared" si="7"/>
        <v>7.14</v>
      </c>
    </row>
    <row r="35" spans="1:16" x14ac:dyDescent="0.3">
      <c r="A35" s="36">
        <v>29</v>
      </c>
      <c r="B35" s="36" t="s">
        <v>67</v>
      </c>
      <c r="C35" s="44" t="s">
        <v>68</v>
      </c>
      <c r="D35" s="40">
        <v>234</v>
      </c>
      <c r="E35" s="36" t="s">
        <v>20</v>
      </c>
      <c r="F35" s="98">
        <f t="shared" si="4"/>
        <v>8.33</v>
      </c>
      <c r="G35" s="37">
        <f t="shared" si="5"/>
        <v>1949.22</v>
      </c>
      <c r="J35" s="85"/>
      <c r="K35" s="85">
        <f t="shared" si="0"/>
        <v>1.19</v>
      </c>
      <c r="L35" s="85">
        <f t="shared" si="6"/>
        <v>0</v>
      </c>
      <c r="N35" s="87">
        <v>7</v>
      </c>
      <c r="O35" s="87">
        <f t="shared" si="2"/>
        <v>1.19</v>
      </c>
      <c r="P35" s="87">
        <f t="shared" si="7"/>
        <v>8.33</v>
      </c>
    </row>
    <row r="36" spans="1:16" x14ac:dyDescent="0.3">
      <c r="A36" s="36">
        <v>30</v>
      </c>
      <c r="B36" s="36" t="s">
        <v>69</v>
      </c>
      <c r="C36" s="44" t="s">
        <v>70</v>
      </c>
      <c r="D36" s="40">
        <v>88</v>
      </c>
      <c r="E36" s="36" t="s">
        <v>20</v>
      </c>
      <c r="F36" s="98">
        <f t="shared" si="4"/>
        <v>8.33</v>
      </c>
      <c r="G36" s="37">
        <f t="shared" si="5"/>
        <v>733.04</v>
      </c>
      <c r="J36" s="85"/>
      <c r="K36" s="85">
        <f t="shared" si="0"/>
        <v>1.19</v>
      </c>
      <c r="L36" s="85">
        <f t="shared" si="6"/>
        <v>0</v>
      </c>
      <c r="N36" s="87">
        <v>7</v>
      </c>
      <c r="O36" s="87">
        <f t="shared" si="2"/>
        <v>1.19</v>
      </c>
      <c r="P36" s="87">
        <f t="shared" si="7"/>
        <v>8.33</v>
      </c>
    </row>
    <row r="37" spans="1:16" x14ac:dyDescent="0.3">
      <c r="A37" s="36">
        <v>31</v>
      </c>
      <c r="B37" s="36" t="s">
        <v>71</v>
      </c>
      <c r="C37" s="44" t="s">
        <v>72</v>
      </c>
      <c r="D37" s="40">
        <v>1</v>
      </c>
      <c r="E37" s="36" t="s">
        <v>20</v>
      </c>
      <c r="F37" s="98">
        <f t="shared" si="4"/>
        <v>178.5</v>
      </c>
      <c r="G37" s="37">
        <f t="shared" si="5"/>
        <v>178.5</v>
      </c>
      <c r="J37" s="85"/>
      <c r="K37" s="85">
        <f t="shared" si="0"/>
        <v>1.19</v>
      </c>
      <c r="L37" s="85">
        <f t="shared" si="6"/>
        <v>0</v>
      </c>
      <c r="N37" s="87">
        <v>150</v>
      </c>
      <c r="O37" s="87">
        <f t="shared" si="2"/>
        <v>1.19</v>
      </c>
      <c r="P37" s="87">
        <f t="shared" si="7"/>
        <v>178.5</v>
      </c>
    </row>
    <row r="38" spans="1:16" x14ac:dyDescent="0.3">
      <c r="A38" s="36">
        <v>32</v>
      </c>
      <c r="B38" s="36" t="s">
        <v>73</v>
      </c>
      <c r="C38" s="44" t="s">
        <v>74</v>
      </c>
      <c r="D38" s="40">
        <v>1</v>
      </c>
      <c r="E38" s="36" t="s">
        <v>20</v>
      </c>
      <c r="F38" s="98">
        <f t="shared" si="4"/>
        <v>357</v>
      </c>
      <c r="G38" s="37">
        <f t="shared" si="5"/>
        <v>357</v>
      </c>
      <c r="J38" s="85"/>
      <c r="K38" s="85">
        <f t="shared" si="0"/>
        <v>1.19</v>
      </c>
      <c r="L38" s="85">
        <f t="shared" si="6"/>
        <v>0</v>
      </c>
      <c r="N38" s="87">
        <v>300</v>
      </c>
      <c r="O38" s="87">
        <f t="shared" si="2"/>
        <v>1.19</v>
      </c>
      <c r="P38" s="87">
        <f t="shared" si="7"/>
        <v>357</v>
      </c>
    </row>
    <row r="39" spans="1:16" x14ac:dyDescent="0.3">
      <c r="A39" s="36">
        <v>33</v>
      </c>
      <c r="B39" s="36" t="s">
        <v>75</v>
      </c>
      <c r="C39" s="44" t="s">
        <v>76</v>
      </c>
      <c r="D39" s="40">
        <v>1</v>
      </c>
      <c r="E39" s="36" t="s">
        <v>20</v>
      </c>
      <c r="F39" s="98">
        <f t="shared" si="4"/>
        <v>178.5</v>
      </c>
      <c r="G39" s="37">
        <f t="shared" si="5"/>
        <v>178.5</v>
      </c>
      <c r="J39" s="85"/>
      <c r="K39" s="85">
        <f t="shared" si="0"/>
        <v>1.19</v>
      </c>
      <c r="L39" s="85">
        <f t="shared" si="6"/>
        <v>0</v>
      </c>
      <c r="N39" s="87">
        <v>150</v>
      </c>
      <c r="O39" s="87">
        <f t="shared" si="2"/>
        <v>1.19</v>
      </c>
      <c r="P39" s="87">
        <f t="shared" si="7"/>
        <v>178.5</v>
      </c>
    </row>
    <row r="40" spans="1:16" x14ac:dyDescent="0.3">
      <c r="A40" s="36">
        <v>34</v>
      </c>
      <c r="B40" s="36" t="s">
        <v>77</v>
      </c>
      <c r="C40" s="44" t="s">
        <v>78</v>
      </c>
      <c r="D40" s="40">
        <v>1</v>
      </c>
      <c r="E40" s="36" t="s">
        <v>20</v>
      </c>
      <c r="F40" s="98">
        <f t="shared" si="4"/>
        <v>178.5</v>
      </c>
      <c r="G40" s="37">
        <f t="shared" si="5"/>
        <v>178.5</v>
      </c>
      <c r="J40" s="85"/>
      <c r="K40" s="85">
        <f t="shared" si="0"/>
        <v>1.19</v>
      </c>
      <c r="L40" s="85">
        <f t="shared" si="6"/>
        <v>0</v>
      </c>
      <c r="N40" s="87">
        <v>150</v>
      </c>
      <c r="O40" s="87">
        <f t="shared" si="2"/>
        <v>1.19</v>
      </c>
      <c r="P40" s="87">
        <f t="shared" si="7"/>
        <v>178.5</v>
      </c>
    </row>
    <row r="41" spans="1:16" x14ac:dyDescent="0.3">
      <c r="A41" s="36">
        <v>35</v>
      </c>
      <c r="B41" s="36" t="s">
        <v>80</v>
      </c>
      <c r="C41" s="44" t="s">
        <v>81</v>
      </c>
      <c r="D41" s="40">
        <v>0.5</v>
      </c>
      <c r="E41" s="36" t="s">
        <v>79</v>
      </c>
      <c r="F41" s="98">
        <f t="shared" si="4"/>
        <v>0</v>
      </c>
      <c r="G41" s="37">
        <f t="shared" si="5"/>
        <v>0</v>
      </c>
      <c r="J41" s="85"/>
      <c r="K41" s="85">
        <f t="shared" si="0"/>
        <v>1.19</v>
      </c>
      <c r="L41" s="85">
        <f t="shared" si="6"/>
        <v>0</v>
      </c>
      <c r="N41" s="87"/>
      <c r="O41" s="87">
        <f t="shared" si="2"/>
        <v>1.19</v>
      </c>
      <c r="P41" s="87">
        <f t="shared" si="7"/>
        <v>0</v>
      </c>
    </row>
    <row r="42" spans="1:16" x14ac:dyDescent="0.3">
      <c r="A42" s="36">
        <v>37</v>
      </c>
      <c r="B42" s="36"/>
      <c r="C42" s="44" t="s">
        <v>82</v>
      </c>
      <c r="D42" s="40">
        <v>8</v>
      </c>
      <c r="E42" s="36" t="s">
        <v>83</v>
      </c>
      <c r="F42" s="98">
        <f t="shared" si="4"/>
        <v>357</v>
      </c>
      <c r="G42" s="37">
        <f t="shared" si="5"/>
        <v>2856</v>
      </c>
      <c r="J42" s="85"/>
      <c r="K42" s="85">
        <f t="shared" si="0"/>
        <v>1.19</v>
      </c>
      <c r="L42" s="85">
        <f t="shared" si="6"/>
        <v>0</v>
      </c>
      <c r="N42" s="87">
        <v>300</v>
      </c>
      <c r="O42" s="87">
        <f t="shared" si="2"/>
        <v>1.19</v>
      </c>
      <c r="P42" s="87">
        <f t="shared" si="7"/>
        <v>357</v>
      </c>
    </row>
    <row r="43" spans="1:16" x14ac:dyDescent="0.3">
      <c r="A43" s="36">
        <v>38</v>
      </c>
      <c r="B43" s="36"/>
      <c r="C43" s="44" t="s">
        <v>84</v>
      </c>
      <c r="D43" s="40">
        <v>1</v>
      </c>
      <c r="E43" s="36" t="s">
        <v>85</v>
      </c>
      <c r="F43" s="98">
        <f t="shared" si="4"/>
        <v>1785</v>
      </c>
      <c r="G43" s="37">
        <f t="shared" si="5"/>
        <v>1785</v>
      </c>
      <c r="J43" s="85"/>
      <c r="K43" s="85">
        <f t="shared" si="0"/>
        <v>1.19</v>
      </c>
      <c r="L43" s="85">
        <f t="shared" si="6"/>
        <v>0</v>
      </c>
      <c r="N43" s="87">
        <v>1500</v>
      </c>
      <c r="O43" s="87">
        <f t="shared" si="2"/>
        <v>1.19</v>
      </c>
      <c r="P43" s="87">
        <f t="shared" si="7"/>
        <v>1785</v>
      </c>
    </row>
    <row r="44" spans="1:16" x14ac:dyDescent="0.3">
      <c r="A44" s="36">
        <v>39</v>
      </c>
      <c r="B44" s="36"/>
      <c r="C44" s="44" t="s">
        <v>86</v>
      </c>
      <c r="D44" s="40">
        <v>11</v>
      </c>
      <c r="E44" s="36" t="s">
        <v>83</v>
      </c>
      <c r="F44" s="98">
        <f t="shared" si="4"/>
        <v>535.5</v>
      </c>
      <c r="G44" s="37">
        <f t="shared" si="5"/>
        <v>5890.5</v>
      </c>
      <c r="J44" s="85"/>
      <c r="K44" s="85">
        <f t="shared" si="0"/>
        <v>1.19</v>
      </c>
      <c r="L44" s="85">
        <f t="shared" si="6"/>
        <v>0</v>
      </c>
      <c r="N44" s="87">
        <v>450</v>
      </c>
      <c r="O44" s="87">
        <f t="shared" si="2"/>
        <v>1.19</v>
      </c>
      <c r="P44" s="87">
        <f t="shared" si="7"/>
        <v>535.5</v>
      </c>
    </row>
    <row r="45" spans="1:16" x14ac:dyDescent="0.3">
      <c r="A45" s="36">
        <v>40</v>
      </c>
      <c r="B45" s="36"/>
      <c r="C45" s="44" t="s">
        <v>87</v>
      </c>
      <c r="D45" s="40">
        <v>11</v>
      </c>
      <c r="E45" s="36" t="s">
        <v>83</v>
      </c>
      <c r="F45" s="98">
        <f t="shared" si="4"/>
        <v>535.5</v>
      </c>
      <c r="G45" s="37">
        <f t="shared" si="5"/>
        <v>5890.5</v>
      </c>
      <c r="J45" s="85"/>
      <c r="K45" s="85">
        <f t="shared" si="0"/>
        <v>1.19</v>
      </c>
      <c r="L45" s="85">
        <f t="shared" si="6"/>
        <v>0</v>
      </c>
      <c r="N45" s="87">
        <v>450</v>
      </c>
      <c r="O45" s="87">
        <f t="shared" si="2"/>
        <v>1.19</v>
      </c>
      <c r="P45" s="87">
        <f t="shared" si="7"/>
        <v>535.5</v>
      </c>
    </row>
    <row r="46" spans="1:16" x14ac:dyDescent="0.3">
      <c r="A46" s="36">
        <v>41</v>
      </c>
      <c r="B46" s="36"/>
      <c r="C46" s="44" t="s">
        <v>88</v>
      </c>
      <c r="D46" s="40">
        <v>1</v>
      </c>
      <c r="E46" s="36" t="s">
        <v>85</v>
      </c>
      <c r="F46" s="98">
        <f t="shared" si="4"/>
        <v>4760</v>
      </c>
      <c r="G46" s="37">
        <f t="shared" si="5"/>
        <v>4760</v>
      </c>
      <c r="J46" s="85"/>
      <c r="K46" s="85">
        <f t="shared" si="0"/>
        <v>1.19</v>
      </c>
      <c r="L46" s="85">
        <f t="shared" si="6"/>
        <v>0</v>
      </c>
      <c r="N46" s="87">
        <v>4000</v>
      </c>
      <c r="O46" s="87">
        <f t="shared" si="2"/>
        <v>1.19</v>
      </c>
      <c r="P46" s="87">
        <f t="shared" si="7"/>
        <v>4760</v>
      </c>
    </row>
    <row r="47" spans="1:16" x14ac:dyDescent="0.3">
      <c r="A47" s="36">
        <v>42</v>
      </c>
      <c r="B47" s="36"/>
      <c r="C47" s="44" t="s">
        <v>89</v>
      </c>
      <c r="D47" s="40">
        <v>6</v>
      </c>
      <c r="E47" s="36" t="s">
        <v>83</v>
      </c>
      <c r="F47" s="98">
        <f t="shared" si="4"/>
        <v>535.5</v>
      </c>
      <c r="G47" s="37">
        <f t="shared" si="5"/>
        <v>3213</v>
      </c>
      <c r="J47" s="85"/>
      <c r="K47" s="85">
        <f t="shared" si="0"/>
        <v>1.19</v>
      </c>
      <c r="L47" s="85">
        <f t="shared" si="6"/>
        <v>0</v>
      </c>
      <c r="N47" s="87">
        <v>450</v>
      </c>
      <c r="O47" s="87">
        <f t="shared" si="2"/>
        <v>1.19</v>
      </c>
      <c r="P47" s="87">
        <f t="shared" si="7"/>
        <v>535.5</v>
      </c>
    </row>
    <row r="48" spans="1:16" x14ac:dyDescent="0.3">
      <c r="A48" s="36">
        <v>43</v>
      </c>
      <c r="B48" s="36"/>
      <c r="C48" s="44" t="s">
        <v>90</v>
      </c>
      <c r="D48" s="40">
        <v>12</v>
      </c>
      <c r="E48" s="36" t="s">
        <v>85</v>
      </c>
      <c r="F48" s="98">
        <f t="shared" si="4"/>
        <v>535.5</v>
      </c>
      <c r="G48" s="37">
        <f t="shared" si="5"/>
        <v>6426</v>
      </c>
      <c r="J48" s="85"/>
      <c r="K48" s="85">
        <f t="shared" si="0"/>
        <v>1.19</v>
      </c>
      <c r="L48" s="85">
        <f t="shared" si="6"/>
        <v>0</v>
      </c>
      <c r="N48" s="87">
        <v>450</v>
      </c>
      <c r="O48" s="87">
        <f t="shared" si="2"/>
        <v>1.19</v>
      </c>
      <c r="P48" s="87">
        <f t="shared" si="7"/>
        <v>535.5</v>
      </c>
    </row>
    <row r="49" spans="1:16" ht="14.15" x14ac:dyDescent="0.35">
      <c r="A49" s="14"/>
      <c r="B49" s="14"/>
      <c r="C49" s="24" t="s">
        <v>0</v>
      </c>
      <c r="D49" s="78"/>
      <c r="E49" s="25"/>
      <c r="F49" s="99"/>
      <c r="G49" s="26">
        <f>SUM(G9:G48)</f>
        <v>194523.5999</v>
      </c>
    </row>
    <row r="50" spans="1:16" x14ac:dyDescent="0.3">
      <c r="B50" s="1"/>
      <c r="C50" s="13" t="s">
        <v>15</v>
      </c>
      <c r="D50" s="36"/>
      <c r="E50" s="16"/>
      <c r="G50" s="15">
        <f>0.21*G49</f>
        <v>40849.955978999998</v>
      </c>
    </row>
    <row r="52" spans="1:16" ht="15.45" x14ac:dyDescent="0.4">
      <c r="C52" s="5" t="s">
        <v>91</v>
      </c>
    </row>
    <row r="53" spans="1:16" x14ac:dyDescent="0.3">
      <c r="A53" s="20" t="s">
        <v>5</v>
      </c>
      <c r="B53" s="20" t="s">
        <v>6</v>
      </c>
      <c r="C53" s="20" t="s">
        <v>7</v>
      </c>
      <c r="D53" s="77"/>
      <c r="E53" s="21" t="s">
        <v>8</v>
      </c>
      <c r="F53" s="97" t="s">
        <v>9</v>
      </c>
      <c r="G53" s="21" t="s">
        <v>0</v>
      </c>
    </row>
    <row r="54" spans="1:16" x14ac:dyDescent="0.3">
      <c r="A54" s="89">
        <v>1</v>
      </c>
      <c r="B54" s="89" t="s">
        <v>92</v>
      </c>
      <c r="C54" s="89" t="s">
        <v>93</v>
      </c>
      <c r="D54" s="90">
        <v>0.8</v>
      </c>
      <c r="E54" s="89" t="s">
        <v>94</v>
      </c>
      <c r="F54" s="100">
        <v>0</v>
      </c>
      <c r="G54" s="91">
        <f t="shared" ref="G54:G69" si="8">D54*F54</f>
        <v>0</v>
      </c>
      <c r="J54" s="85"/>
      <c r="K54" s="85">
        <f t="shared" si="0"/>
        <v>1.19</v>
      </c>
      <c r="L54" s="85">
        <f t="shared" si="6"/>
        <v>0</v>
      </c>
      <c r="N54" s="87"/>
      <c r="O54" s="87">
        <f t="shared" si="2"/>
        <v>1.19</v>
      </c>
      <c r="P54" s="87">
        <f t="shared" si="7"/>
        <v>0</v>
      </c>
    </row>
    <row r="55" spans="1:16" x14ac:dyDescent="0.3">
      <c r="A55" s="89">
        <v>2</v>
      </c>
      <c r="B55" s="89" t="s">
        <v>95</v>
      </c>
      <c r="C55" s="89" t="s">
        <v>96</v>
      </c>
      <c r="D55" s="90">
        <v>2.4</v>
      </c>
      <c r="E55" s="89" t="s">
        <v>97</v>
      </c>
      <c r="F55" s="100">
        <v>0</v>
      </c>
      <c r="G55" s="91">
        <f t="shared" si="8"/>
        <v>0</v>
      </c>
      <c r="J55" s="85"/>
      <c r="K55" s="85">
        <f t="shared" si="0"/>
        <v>1.19</v>
      </c>
      <c r="L55" s="85">
        <f t="shared" si="6"/>
        <v>0</v>
      </c>
      <c r="N55" s="87"/>
      <c r="O55" s="87">
        <f t="shared" si="2"/>
        <v>1.19</v>
      </c>
      <c r="P55" s="87">
        <f t="shared" si="7"/>
        <v>0</v>
      </c>
    </row>
    <row r="56" spans="1:16" x14ac:dyDescent="0.3">
      <c r="A56" s="89">
        <v>3</v>
      </c>
      <c r="B56" s="89" t="s">
        <v>98</v>
      </c>
      <c r="C56" s="89" t="s">
        <v>99</v>
      </c>
      <c r="D56" s="90">
        <v>17.18</v>
      </c>
      <c r="E56" s="89" t="s">
        <v>97</v>
      </c>
      <c r="F56" s="100">
        <v>0</v>
      </c>
      <c r="G56" s="91">
        <f t="shared" si="8"/>
        <v>0</v>
      </c>
      <c r="J56" s="85"/>
      <c r="K56" s="85">
        <f t="shared" si="0"/>
        <v>1.19</v>
      </c>
      <c r="L56" s="85">
        <f t="shared" si="6"/>
        <v>0</v>
      </c>
      <c r="N56" s="87"/>
      <c r="O56" s="87">
        <f t="shared" si="2"/>
        <v>1.19</v>
      </c>
      <c r="P56" s="87">
        <f t="shared" si="7"/>
        <v>0</v>
      </c>
    </row>
    <row r="57" spans="1:16" x14ac:dyDescent="0.3">
      <c r="A57" s="89">
        <v>4</v>
      </c>
      <c r="B57" s="89" t="s">
        <v>100</v>
      </c>
      <c r="C57" s="89" t="s">
        <v>101</v>
      </c>
      <c r="D57" s="90">
        <v>17.18</v>
      </c>
      <c r="E57" s="89" t="s">
        <v>97</v>
      </c>
      <c r="F57" s="100">
        <v>0</v>
      </c>
      <c r="G57" s="91">
        <f t="shared" si="8"/>
        <v>0</v>
      </c>
      <c r="J57" s="85"/>
      <c r="K57" s="85">
        <f t="shared" si="0"/>
        <v>1.19</v>
      </c>
      <c r="L57" s="85">
        <f t="shared" si="6"/>
        <v>0</v>
      </c>
      <c r="N57" s="87"/>
      <c r="O57" s="87">
        <f t="shared" si="2"/>
        <v>1.19</v>
      </c>
      <c r="P57" s="87">
        <f t="shared" si="7"/>
        <v>0</v>
      </c>
    </row>
    <row r="58" spans="1:16" x14ac:dyDescent="0.3">
      <c r="A58" s="89">
        <v>5</v>
      </c>
      <c r="B58" s="89" t="s">
        <v>102</v>
      </c>
      <c r="C58" s="89" t="s">
        <v>103</v>
      </c>
      <c r="D58" s="90">
        <v>17.18</v>
      </c>
      <c r="E58" s="89" t="s">
        <v>97</v>
      </c>
      <c r="F58" s="100">
        <v>0</v>
      </c>
      <c r="G58" s="91">
        <f t="shared" si="8"/>
        <v>0</v>
      </c>
      <c r="J58" s="85"/>
      <c r="K58" s="85">
        <f t="shared" si="0"/>
        <v>1.19</v>
      </c>
      <c r="L58" s="85">
        <f t="shared" si="6"/>
        <v>0</v>
      </c>
      <c r="N58" s="87"/>
      <c r="O58" s="87">
        <f t="shared" si="2"/>
        <v>1.19</v>
      </c>
      <c r="P58" s="87">
        <f t="shared" si="7"/>
        <v>0</v>
      </c>
    </row>
    <row r="59" spans="1:16" x14ac:dyDescent="0.3">
      <c r="A59" s="89">
        <v>6</v>
      </c>
      <c r="B59" s="89" t="s">
        <v>104</v>
      </c>
      <c r="C59" s="89" t="s">
        <v>105</v>
      </c>
      <c r="D59" s="90">
        <v>229</v>
      </c>
      <c r="E59" s="89" t="s">
        <v>24</v>
      </c>
      <c r="F59" s="100">
        <v>0</v>
      </c>
      <c r="G59" s="91">
        <f t="shared" si="8"/>
        <v>0</v>
      </c>
      <c r="J59" s="85"/>
      <c r="K59" s="85">
        <f t="shared" si="0"/>
        <v>1.19</v>
      </c>
      <c r="L59" s="85">
        <f t="shared" si="6"/>
        <v>0</v>
      </c>
      <c r="N59" s="87"/>
      <c r="O59" s="87">
        <f t="shared" si="2"/>
        <v>1.19</v>
      </c>
      <c r="P59" s="87">
        <f t="shared" si="7"/>
        <v>0</v>
      </c>
    </row>
    <row r="60" spans="1:16" x14ac:dyDescent="0.3">
      <c r="A60" s="89">
        <v>8</v>
      </c>
      <c r="B60" s="89" t="s">
        <v>106</v>
      </c>
      <c r="C60" s="89" t="s">
        <v>107</v>
      </c>
      <c r="D60" s="90">
        <v>229</v>
      </c>
      <c r="E60" s="89" t="s">
        <v>24</v>
      </c>
      <c r="F60" s="100">
        <v>0</v>
      </c>
      <c r="G60" s="91">
        <f t="shared" si="8"/>
        <v>0</v>
      </c>
      <c r="J60" s="85"/>
      <c r="K60" s="85">
        <f t="shared" si="0"/>
        <v>1.19</v>
      </c>
      <c r="L60" s="85">
        <f t="shared" si="6"/>
        <v>0</v>
      </c>
      <c r="N60" s="87"/>
      <c r="O60" s="87">
        <f t="shared" si="2"/>
        <v>1.19</v>
      </c>
      <c r="P60" s="87">
        <f t="shared" si="7"/>
        <v>0</v>
      </c>
    </row>
    <row r="61" spans="1:16" x14ac:dyDescent="0.3">
      <c r="A61" s="22">
        <v>9</v>
      </c>
      <c r="B61" s="22" t="s">
        <v>108</v>
      </c>
      <c r="C61" s="22" t="s">
        <v>109</v>
      </c>
      <c r="D61" s="40">
        <v>6</v>
      </c>
      <c r="E61" s="22" t="s">
        <v>20</v>
      </c>
      <c r="F61" s="98">
        <f t="shared" ref="F61:F64" si="9">L61+P61</f>
        <v>297.5</v>
      </c>
      <c r="G61" s="23">
        <f t="shared" si="8"/>
        <v>1785</v>
      </c>
      <c r="J61" s="85">
        <v>250</v>
      </c>
      <c r="K61" s="85">
        <f t="shared" si="0"/>
        <v>1.19</v>
      </c>
      <c r="L61" s="85">
        <f t="shared" si="6"/>
        <v>297.5</v>
      </c>
      <c r="N61" s="87"/>
      <c r="O61" s="87">
        <f t="shared" si="2"/>
        <v>1.19</v>
      </c>
      <c r="P61" s="87">
        <f t="shared" si="7"/>
        <v>0</v>
      </c>
    </row>
    <row r="62" spans="1:16" x14ac:dyDescent="0.3">
      <c r="A62" s="22">
        <v>10</v>
      </c>
      <c r="B62" s="22" t="s">
        <v>110</v>
      </c>
      <c r="C62" s="22" t="s">
        <v>111</v>
      </c>
      <c r="D62" s="40">
        <v>229</v>
      </c>
      <c r="E62" s="22" t="s">
        <v>24</v>
      </c>
      <c r="F62" s="98">
        <f t="shared" si="9"/>
        <v>3.8079999999999998</v>
      </c>
      <c r="G62" s="23">
        <f t="shared" si="8"/>
        <v>872.03199999999993</v>
      </c>
      <c r="J62" s="85"/>
      <c r="K62" s="85">
        <f t="shared" si="0"/>
        <v>1.19</v>
      </c>
      <c r="L62" s="85">
        <f t="shared" si="6"/>
        <v>0</v>
      </c>
      <c r="N62" s="87">
        <v>3.2</v>
      </c>
      <c r="O62" s="87">
        <f t="shared" si="2"/>
        <v>1.19</v>
      </c>
      <c r="P62" s="87">
        <f t="shared" si="7"/>
        <v>3.8079999999999998</v>
      </c>
    </row>
    <row r="63" spans="1:16" x14ac:dyDescent="0.3">
      <c r="A63" s="22">
        <v>11</v>
      </c>
      <c r="B63" s="22" t="s">
        <v>112</v>
      </c>
      <c r="C63" s="22" t="s">
        <v>113</v>
      </c>
      <c r="D63" s="40">
        <v>12</v>
      </c>
      <c r="E63" s="22" t="s">
        <v>20</v>
      </c>
      <c r="F63" s="98">
        <f t="shared" si="9"/>
        <v>392.7</v>
      </c>
      <c r="G63" s="23">
        <f t="shared" si="8"/>
        <v>4712.3999999999996</v>
      </c>
      <c r="J63" s="85"/>
      <c r="K63" s="85">
        <f t="shared" si="0"/>
        <v>1.19</v>
      </c>
      <c r="L63" s="85">
        <f t="shared" si="6"/>
        <v>0</v>
      </c>
      <c r="N63" s="87">
        <v>330</v>
      </c>
      <c r="O63" s="87">
        <f t="shared" si="2"/>
        <v>1.19</v>
      </c>
      <c r="P63" s="87">
        <f t="shared" si="7"/>
        <v>392.7</v>
      </c>
    </row>
    <row r="64" spans="1:16" x14ac:dyDescent="0.3">
      <c r="A64" s="22">
        <v>12</v>
      </c>
      <c r="B64" s="22" t="s">
        <v>114</v>
      </c>
      <c r="C64" s="22" t="s">
        <v>115</v>
      </c>
      <c r="D64" s="40">
        <v>12</v>
      </c>
      <c r="E64" s="22" t="s">
        <v>20</v>
      </c>
      <c r="F64" s="98">
        <f t="shared" si="9"/>
        <v>357</v>
      </c>
      <c r="G64" s="23">
        <f t="shared" si="8"/>
        <v>4284</v>
      </c>
      <c r="J64" s="85"/>
      <c r="K64" s="85">
        <f t="shared" si="0"/>
        <v>1.19</v>
      </c>
      <c r="L64" s="85">
        <f t="shared" si="6"/>
        <v>0</v>
      </c>
      <c r="N64" s="87">
        <v>300</v>
      </c>
      <c r="O64" s="87">
        <f t="shared" si="2"/>
        <v>1.19</v>
      </c>
      <c r="P64" s="87">
        <f t="shared" si="7"/>
        <v>357</v>
      </c>
    </row>
    <row r="65" spans="1:16" x14ac:dyDescent="0.3">
      <c r="A65" s="89">
        <v>13</v>
      </c>
      <c r="B65" s="89" t="s">
        <v>116</v>
      </c>
      <c r="C65" s="89" t="s">
        <v>117</v>
      </c>
      <c r="D65" s="90">
        <v>229</v>
      </c>
      <c r="E65" s="89" t="s">
        <v>24</v>
      </c>
      <c r="F65" s="100">
        <v>0</v>
      </c>
      <c r="G65" s="91">
        <f t="shared" si="8"/>
        <v>0</v>
      </c>
      <c r="J65" s="85"/>
      <c r="K65" s="85">
        <f t="shared" si="0"/>
        <v>1.19</v>
      </c>
      <c r="L65" s="85">
        <f t="shared" si="6"/>
        <v>0</v>
      </c>
      <c r="N65" s="87"/>
      <c r="O65" s="87">
        <f t="shared" si="2"/>
        <v>1.19</v>
      </c>
      <c r="P65" s="87">
        <f t="shared" si="7"/>
        <v>0</v>
      </c>
    </row>
    <row r="66" spans="1:16" x14ac:dyDescent="0.3">
      <c r="A66" s="89">
        <v>15</v>
      </c>
      <c r="B66" s="89" t="s">
        <v>118</v>
      </c>
      <c r="C66" s="89" t="s">
        <v>119</v>
      </c>
      <c r="D66" s="90">
        <v>304</v>
      </c>
      <c r="E66" s="89" t="s">
        <v>79</v>
      </c>
      <c r="F66" s="100">
        <v>0</v>
      </c>
      <c r="G66" s="91">
        <f t="shared" si="8"/>
        <v>0</v>
      </c>
      <c r="J66" s="85"/>
      <c r="K66" s="85">
        <f t="shared" si="0"/>
        <v>1.19</v>
      </c>
      <c r="L66" s="85">
        <f t="shared" si="6"/>
        <v>0</v>
      </c>
      <c r="N66" s="87"/>
      <c r="O66" s="87">
        <f t="shared" si="2"/>
        <v>1.19</v>
      </c>
      <c r="P66" s="87">
        <f t="shared" si="7"/>
        <v>0</v>
      </c>
    </row>
    <row r="67" spans="1:16" x14ac:dyDescent="0.3">
      <c r="A67" s="89">
        <v>16</v>
      </c>
      <c r="B67" s="92" t="s">
        <v>341</v>
      </c>
      <c r="C67" s="89" t="s">
        <v>342</v>
      </c>
      <c r="D67" s="90">
        <v>15</v>
      </c>
      <c r="E67" s="89" t="s">
        <v>24</v>
      </c>
      <c r="F67" s="100">
        <v>0</v>
      </c>
      <c r="G67" s="91">
        <f t="shared" si="8"/>
        <v>0</v>
      </c>
      <c r="J67" s="85"/>
      <c r="K67" s="85">
        <f t="shared" si="0"/>
        <v>1.19</v>
      </c>
      <c r="L67" s="85">
        <f t="shared" si="6"/>
        <v>0</v>
      </c>
      <c r="N67" s="87"/>
      <c r="O67" s="87">
        <f t="shared" si="2"/>
        <v>1.19</v>
      </c>
      <c r="P67" s="87">
        <f t="shared" si="7"/>
        <v>0</v>
      </c>
    </row>
    <row r="68" spans="1:16" x14ac:dyDescent="0.3">
      <c r="A68" s="89">
        <v>17</v>
      </c>
      <c r="B68" s="92" t="s">
        <v>343</v>
      </c>
      <c r="C68" s="89" t="s">
        <v>344</v>
      </c>
      <c r="D68" s="90">
        <v>15</v>
      </c>
      <c r="E68" s="89" t="s">
        <v>24</v>
      </c>
      <c r="F68" s="100">
        <v>0</v>
      </c>
      <c r="G68" s="91">
        <f t="shared" si="8"/>
        <v>0</v>
      </c>
      <c r="J68" s="85"/>
      <c r="K68" s="85">
        <f t="shared" ref="K68:K131" si="10">$K$1</f>
        <v>1.19</v>
      </c>
      <c r="L68" s="85">
        <f t="shared" si="6"/>
        <v>0</v>
      </c>
      <c r="N68" s="87"/>
      <c r="O68" s="87">
        <f t="shared" ref="O68:O110" si="11">$O$1</f>
        <v>1.19</v>
      </c>
      <c r="P68" s="87">
        <f t="shared" si="7"/>
        <v>0</v>
      </c>
    </row>
    <row r="69" spans="1:16" x14ac:dyDescent="0.3">
      <c r="A69" s="22">
        <v>18</v>
      </c>
      <c r="B69" s="35" t="s">
        <v>345</v>
      </c>
      <c r="C69" s="22" t="s">
        <v>368</v>
      </c>
      <c r="D69" s="80">
        <v>104</v>
      </c>
      <c r="E69" s="22" t="s">
        <v>24</v>
      </c>
      <c r="F69" s="98">
        <f>L69+P69</f>
        <v>90.44</v>
      </c>
      <c r="G69" s="23">
        <f t="shared" si="8"/>
        <v>9405.76</v>
      </c>
      <c r="J69" s="85">
        <v>41</v>
      </c>
      <c r="K69" s="85">
        <f t="shared" si="10"/>
        <v>1.19</v>
      </c>
      <c r="L69" s="85">
        <f t="shared" si="6"/>
        <v>48.79</v>
      </c>
      <c r="N69" s="87">
        <v>35</v>
      </c>
      <c r="O69" s="87">
        <f t="shared" si="11"/>
        <v>1.19</v>
      </c>
      <c r="P69" s="87">
        <f t="shared" si="7"/>
        <v>41.65</v>
      </c>
    </row>
    <row r="70" spans="1:16" ht="14.15" x14ac:dyDescent="0.35">
      <c r="A70" s="14"/>
      <c r="B70" s="14"/>
      <c r="C70" s="24" t="s">
        <v>0</v>
      </c>
      <c r="D70" s="78"/>
      <c r="E70" s="25"/>
      <c r="F70" s="99"/>
      <c r="G70" s="26">
        <f>SUM(G54:G69)</f>
        <v>21059.192000000003</v>
      </c>
    </row>
    <row r="71" spans="1:16" x14ac:dyDescent="0.3">
      <c r="B71" s="1"/>
      <c r="C71" s="13" t="s">
        <v>15</v>
      </c>
      <c r="D71" s="36"/>
      <c r="E71" s="16"/>
      <c r="G71" s="15">
        <f>0.21*G70</f>
        <v>4422.4303200000004</v>
      </c>
    </row>
    <row r="73" spans="1:16" ht="15.45" x14ac:dyDescent="0.4">
      <c r="C73" s="5" t="s">
        <v>134</v>
      </c>
    </row>
    <row r="74" spans="1:16" x14ac:dyDescent="0.3">
      <c r="A74" s="20" t="s">
        <v>5</v>
      </c>
      <c r="B74" s="20" t="s">
        <v>6</v>
      </c>
      <c r="C74" s="20" t="s">
        <v>7</v>
      </c>
      <c r="D74" s="77"/>
      <c r="E74" s="21" t="s">
        <v>8</v>
      </c>
      <c r="F74" s="97" t="s">
        <v>9</v>
      </c>
      <c r="G74" s="21" t="s">
        <v>0</v>
      </c>
    </row>
    <row r="75" spans="1:16" s="41" customFormat="1" x14ac:dyDescent="0.3">
      <c r="A75" s="36">
        <v>1</v>
      </c>
      <c r="B75" s="39"/>
      <c r="C75" s="39" t="s">
        <v>369</v>
      </c>
      <c r="D75" s="40">
        <v>12</v>
      </c>
      <c r="E75" s="36" t="s">
        <v>20</v>
      </c>
      <c r="F75" s="98">
        <f t="shared" ref="F75:F110" si="12">L75+P75</f>
        <v>1612.4499999999998</v>
      </c>
      <c r="G75" s="37">
        <f t="shared" ref="G75:G103" si="13">D75*F75</f>
        <v>19349.399999999998</v>
      </c>
      <c r="J75"/>
      <c r="K75"/>
      <c r="L75"/>
      <c r="M75"/>
      <c r="N75" s="87">
        <v>1355</v>
      </c>
      <c r="O75" s="87">
        <f t="shared" si="11"/>
        <v>1.19</v>
      </c>
      <c r="P75" s="87">
        <f t="shared" ref="P75:P110" si="14">O75*N75</f>
        <v>1612.4499999999998</v>
      </c>
    </row>
    <row r="76" spans="1:16" s="41" customFormat="1" x14ac:dyDescent="0.3">
      <c r="A76" s="36">
        <v>2</v>
      </c>
      <c r="B76" s="42"/>
      <c r="C76" s="42" t="s">
        <v>135</v>
      </c>
      <c r="D76" s="40">
        <v>7</v>
      </c>
      <c r="E76" s="36" t="s">
        <v>20</v>
      </c>
      <c r="F76" s="98">
        <f t="shared" si="12"/>
        <v>297.5</v>
      </c>
      <c r="G76" s="37">
        <f t="shared" si="13"/>
        <v>2082.5</v>
      </c>
      <c r="J76"/>
      <c r="K76"/>
      <c r="L76"/>
      <c r="M76"/>
      <c r="N76" s="87">
        <v>250</v>
      </c>
      <c r="O76" s="87">
        <f t="shared" si="11"/>
        <v>1.19</v>
      </c>
      <c r="P76" s="87">
        <f t="shared" si="14"/>
        <v>297.5</v>
      </c>
    </row>
    <row r="77" spans="1:16" s="41" customFormat="1" x14ac:dyDescent="0.3">
      <c r="A77" s="36">
        <v>3</v>
      </c>
      <c r="B77" s="39"/>
      <c r="C77" s="39" t="s">
        <v>370</v>
      </c>
      <c r="D77" s="40">
        <v>13390</v>
      </c>
      <c r="E77" s="36" t="s">
        <v>24</v>
      </c>
      <c r="F77" s="98">
        <f t="shared" si="12"/>
        <v>21.419999999999998</v>
      </c>
      <c r="G77" s="37">
        <f t="shared" si="13"/>
        <v>286813.8</v>
      </c>
      <c r="J77"/>
      <c r="K77"/>
      <c r="L77"/>
      <c r="M77"/>
      <c r="N77" s="87">
        <v>18</v>
      </c>
      <c r="O77" s="87">
        <f t="shared" si="11"/>
        <v>1.19</v>
      </c>
      <c r="P77" s="87">
        <f t="shared" si="14"/>
        <v>21.419999999999998</v>
      </c>
    </row>
    <row r="78" spans="1:16" s="41" customFormat="1" x14ac:dyDescent="0.3">
      <c r="A78" s="36">
        <v>4</v>
      </c>
      <c r="B78" s="39"/>
      <c r="C78" s="39" t="s">
        <v>371</v>
      </c>
      <c r="D78" s="40">
        <v>412</v>
      </c>
      <c r="E78" s="36" t="s">
        <v>20</v>
      </c>
      <c r="F78" s="98">
        <f t="shared" si="12"/>
        <v>57.12</v>
      </c>
      <c r="G78" s="37">
        <f t="shared" si="13"/>
        <v>23533.439999999999</v>
      </c>
      <c r="J78"/>
      <c r="K78"/>
      <c r="L78"/>
      <c r="M78"/>
      <c r="N78" s="87">
        <v>48</v>
      </c>
      <c r="O78" s="87">
        <f t="shared" si="11"/>
        <v>1.19</v>
      </c>
      <c r="P78" s="87">
        <f t="shared" si="14"/>
        <v>57.12</v>
      </c>
    </row>
    <row r="79" spans="1:16" s="41" customFormat="1" x14ac:dyDescent="0.3">
      <c r="A79" s="36">
        <v>5</v>
      </c>
      <c r="B79" s="39"/>
      <c r="C79" s="39" t="s">
        <v>372</v>
      </c>
      <c r="D79" s="40">
        <v>206</v>
      </c>
      <c r="E79" s="36" t="s">
        <v>20</v>
      </c>
      <c r="F79" s="98">
        <f t="shared" si="12"/>
        <v>41.65</v>
      </c>
      <c r="G79" s="37">
        <f t="shared" si="13"/>
        <v>8579.9</v>
      </c>
      <c r="J79"/>
      <c r="K79"/>
      <c r="L79"/>
      <c r="M79"/>
      <c r="N79" s="87">
        <v>35</v>
      </c>
      <c r="O79" s="87">
        <f t="shared" si="11"/>
        <v>1.19</v>
      </c>
      <c r="P79" s="87">
        <f t="shared" si="14"/>
        <v>41.65</v>
      </c>
    </row>
    <row r="80" spans="1:16" s="41" customFormat="1" x14ac:dyDescent="0.3">
      <c r="A80" s="36">
        <v>6</v>
      </c>
      <c r="B80" s="43"/>
      <c r="C80" s="43" t="s">
        <v>136</v>
      </c>
      <c r="D80" s="40">
        <v>90</v>
      </c>
      <c r="E80" s="36" t="s">
        <v>20</v>
      </c>
      <c r="F80" s="98">
        <f t="shared" si="12"/>
        <v>157.07999999999998</v>
      </c>
      <c r="G80" s="37">
        <f t="shared" si="13"/>
        <v>14137.199999999999</v>
      </c>
      <c r="J80"/>
      <c r="K80"/>
      <c r="L80"/>
      <c r="M80"/>
      <c r="N80" s="87">
        <v>132</v>
      </c>
      <c r="O80" s="87">
        <f t="shared" si="11"/>
        <v>1.19</v>
      </c>
      <c r="P80" s="87">
        <f t="shared" si="14"/>
        <v>157.07999999999998</v>
      </c>
    </row>
    <row r="81" spans="1:16" s="41" customFormat="1" x14ac:dyDescent="0.3">
      <c r="A81" s="36">
        <v>7</v>
      </c>
      <c r="B81" s="39"/>
      <c r="C81" s="39" t="s">
        <v>373</v>
      </c>
      <c r="D81" s="40">
        <v>180</v>
      </c>
      <c r="E81" s="36" t="s">
        <v>20</v>
      </c>
      <c r="F81" s="98">
        <f t="shared" si="12"/>
        <v>67.83</v>
      </c>
      <c r="G81" s="37">
        <f t="shared" si="13"/>
        <v>12209.4</v>
      </c>
      <c r="J81"/>
      <c r="K81"/>
      <c r="L81"/>
      <c r="M81"/>
      <c r="N81" s="87">
        <v>57</v>
      </c>
      <c r="O81" s="87">
        <f t="shared" si="11"/>
        <v>1.19</v>
      </c>
      <c r="P81" s="87">
        <f t="shared" si="14"/>
        <v>67.83</v>
      </c>
    </row>
    <row r="82" spans="1:16" s="41" customFormat="1" x14ac:dyDescent="0.3">
      <c r="A82" s="36">
        <v>8</v>
      </c>
      <c r="B82" s="39"/>
      <c r="C82" s="39" t="s">
        <v>374</v>
      </c>
      <c r="D82" s="40">
        <v>206</v>
      </c>
      <c r="E82" s="36" t="s">
        <v>20</v>
      </c>
      <c r="F82" s="98">
        <f t="shared" si="12"/>
        <v>34.51</v>
      </c>
      <c r="G82" s="37">
        <f t="shared" si="13"/>
        <v>7109.0599999999995</v>
      </c>
      <c r="J82"/>
      <c r="K82"/>
      <c r="L82"/>
      <c r="M82"/>
      <c r="N82" s="87">
        <v>29</v>
      </c>
      <c r="O82" s="87">
        <f t="shared" si="11"/>
        <v>1.19</v>
      </c>
      <c r="P82" s="87">
        <f t="shared" si="14"/>
        <v>34.51</v>
      </c>
    </row>
    <row r="83" spans="1:16" s="41" customFormat="1" x14ac:dyDescent="0.3">
      <c r="A83" s="36">
        <v>9</v>
      </c>
      <c r="B83" s="44"/>
      <c r="C83" s="44" t="s">
        <v>137</v>
      </c>
      <c r="D83" s="40">
        <v>8</v>
      </c>
      <c r="E83" s="36" t="s">
        <v>83</v>
      </c>
      <c r="F83" s="98">
        <f t="shared" si="12"/>
        <v>654.5</v>
      </c>
      <c r="G83" s="37">
        <f t="shared" si="13"/>
        <v>5236</v>
      </c>
      <c r="J83"/>
      <c r="K83"/>
      <c r="L83"/>
      <c r="M83"/>
      <c r="N83" s="87">
        <v>550</v>
      </c>
      <c r="O83" s="87">
        <f t="shared" si="11"/>
        <v>1.19</v>
      </c>
      <c r="P83" s="87">
        <f t="shared" si="14"/>
        <v>654.5</v>
      </c>
    </row>
    <row r="84" spans="1:16" s="41" customFormat="1" x14ac:dyDescent="0.3">
      <c r="A84" s="36">
        <v>10</v>
      </c>
      <c r="B84" s="42" t="s">
        <v>138</v>
      </c>
      <c r="C84" s="42" t="s">
        <v>139</v>
      </c>
      <c r="D84" s="40">
        <v>1</v>
      </c>
      <c r="E84" s="36" t="s">
        <v>20</v>
      </c>
      <c r="F84" s="98">
        <f t="shared" si="12"/>
        <v>2213.4</v>
      </c>
      <c r="G84" s="37">
        <f t="shared" si="13"/>
        <v>2213.4</v>
      </c>
      <c r="J84"/>
      <c r="K84"/>
      <c r="L84"/>
      <c r="M84"/>
      <c r="N84" s="87">
        <v>1860</v>
      </c>
      <c r="O84" s="87">
        <f t="shared" si="11"/>
        <v>1.19</v>
      </c>
      <c r="P84" s="87">
        <f t="shared" si="14"/>
        <v>2213.4</v>
      </c>
    </row>
    <row r="85" spans="1:16" s="41" customFormat="1" x14ac:dyDescent="0.3">
      <c r="A85" s="36">
        <v>11</v>
      </c>
      <c r="B85" s="45"/>
      <c r="C85" s="46" t="s">
        <v>375</v>
      </c>
      <c r="D85" s="40">
        <v>1</v>
      </c>
      <c r="E85" s="36" t="s">
        <v>20</v>
      </c>
      <c r="F85" s="98">
        <f t="shared" si="12"/>
        <v>4165</v>
      </c>
      <c r="G85" s="37">
        <f>D85*F85</f>
        <v>4165</v>
      </c>
      <c r="J85"/>
      <c r="K85"/>
      <c r="L85"/>
      <c r="M85"/>
      <c r="N85" s="87">
        <v>3500</v>
      </c>
      <c r="O85" s="87">
        <f t="shared" si="11"/>
        <v>1.19</v>
      </c>
      <c r="P85" s="87">
        <f t="shared" si="14"/>
        <v>4165</v>
      </c>
    </row>
    <row r="86" spans="1:16" s="41" customFormat="1" x14ac:dyDescent="0.3">
      <c r="A86" s="36">
        <v>12</v>
      </c>
      <c r="B86" s="42"/>
      <c r="C86" s="42" t="s">
        <v>140</v>
      </c>
      <c r="D86" s="40">
        <v>4</v>
      </c>
      <c r="E86" s="36" t="s">
        <v>20</v>
      </c>
      <c r="F86" s="98">
        <f t="shared" si="12"/>
        <v>238</v>
      </c>
      <c r="G86" s="37">
        <f t="shared" si="13"/>
        <v>952</v>
      </c>
      <c r="J86"/>
      <c r="K86"/>
      <c r="L86"/>
      <c r="M86"/>
      <c r="N86" s="87">
        <v>200</v>
      </c>
      <c r="O86" s="87">
        <f t="shared" si="11"/>
        <v>1.19</v>
      </c>
      <c r="P86" s="87">
        <f t="shared" si="14"/>
        <v>238</v>
      </c>
    </row>
    <row r="87" spans="1:16" s="41" customFormat="1" x14ac:dyDescent="0.3">
      <c r="A87" s="36">
        <v>13</v>
      </c>
      <c r="B87" s="47" t="s">
        <v>141</v>
      </c>
      <c r="C87" s="47" t="s">
        <v>142</v>
      </c>
      <c r="D87" s="40">
        <v>3</v>
      </c>
      <c r="E87" s="36" t="s">
        <v>20</v>
      </c>
      <c r="F87" s="98">
        <f t="shared" si="12"/>
        <v>178.5</v>
      </c>
      <c r="G87" s="37">
        <f t="shared" si="13"/>
        <v>535.5</v>
      </c>
      <c r="J87"/>
      <c r="K87"/>
      <c r="L87"/>
      <c r="M87"/>
      <c r="N87" s="87">
        <v>150</v>
      </c>
      <c r="O87" s="87">
        <f t="shared" si="11"/>
        <v>1.19</v>
      </c>
      <c r="P87" s="87">
        <f t="shared" si="14"/>
        <v>178.5</v>
      </c>
    </row>
    <row r="88" spans="1:16" s="41" customFormat="1" x14ac:dyDescent="0.3">
      <c r="A88" s="36">
        <v>14</v>
      </c>
      <c r="B88" s="42" t="s">
        <v>143</v>
      </c>
      <c r="C88" s="42" t="s">
        <v>144</v>
      </c>
      <c r="D88" s="40">
        <v>2</v>
      </c>
      <c r="E88" s="36" t="s">
        <v>20</v>
      </c>
      <c r="F88" s="98">
        <f t="shared" si="12"/>
        <v>238</v>
      </c>
      <c r="G88" s="37">
        <f t="shared" si="13"/>
        <v>476</v>
      </c>
      <c r="J88"/>
      <c r="K88"/>
      <c r="L88"/>
      <c r="M88"/>
      <c r="N88" s="87">
        <v>200</v>
      </c>
      <c r="O88" s="87">
        <f t="shared" si="11"/>
        <v>1.19</v>
      </c>
      <c r="P88" s="87">
        <f t="shared" si="14"/>
        <v>238</v>
      </c>
    </row>
    <row r="89" spans="1:16" s="41" customFormat="1" x14ac:dyDescent="0.3">
      <c r="A89" s="36">
        <v>15</v>
      </c>
      <c r="B89" s="45"/>
      <c r="C89" s="46" t="s">
        <v>376</v>
      </c>
      <c r="D89" s="40">
        <v>1</v>
      </c>
      <c r="E89" s="36" t="s">
        <v>20</v>
      </c>
      <c r="F89" s="98">
        <f t="shared" si="12"/>
        <v>535.5</v>
      </c>
      <c r="G89" s="37">
        <f>D89*F89</f>
        <v>535.5</v>
      </c>
      <c r="J89"/>
      <c r="K89"/>
      <c r="L89"/>
      <c r="M89"/>
      <c r="N89" s="87">
        <v>450</v>
      </c>
      <c r="O89" s="87">
        <f t="shared" si="11"/>
        <v>1.19</v>
      </c>
      <c r="P89" s="87">
        <f t="shared" si="14"/>
        <v>535.5</v>
      </c>
    </row>
    <row r="90" spans="1:16" s="41" customFormat="1" x14ac:dyDescent="0.3">
      <c r="A90" s="36">
        <v>16</v>
      </c>
      <c r="B90" s="42" t="s">
        <v>122</v>
      </c>
      <c r="C90" s="42" t="s">
        <v>133</v>
      </c>
      <c r="D90" s="40">
        <v>2</v>
      </c>
      <c r="E90" s="36" t="s">
        <v>20</v>
      </c>
      <c r="F90" s="98">
        <f t="shared" si="12"/>
        <v>416.5</v>
      </c>
      <c r="G90" s="37">
        <f t="shared" si="13"/>
        <v>833</v>
      </c>
      <c r="J90"/>
      <c r="K90"/>
      <c r="L90"/>
      <c r="M90"/>
      <c r="N90" s="87">
        <v>350</v>
      </c>
      <c r="O90" s="87">
        <f t="shared" si="11"/>
        <v>1.19</v>
      </c>
      <c r="P90" s="87">
        <f t="shared" si="14"/>
        <v>416.5</v>
      </c>
    </row>
    <row r="91" spans="1:16" s="41" customFormat="1" x14ac:dyDescent="0.3">
      <c r="A91" s="36">
        <v>17</v>
      </c>
      <c r="B91" s="42" t="s">
        <v>18</v>
      </c>
      <c r="C91" s="42" t="s">
        <v>19</v>
      </c>
      <c r="D91" s="40">
        <v>2</v>
      </c>
      <c r="E91" s="36" t="s">
        <v>20</v>
      </c>
      <c r="F91" s="98">
        <f t="shared" si="12"/>
        <v>59.5</v>
      </c>
      <c r="G91" s="37">
        <f t="shared" si="13"/>
        <v>119</v>
      </c>
      <c r="J91"/>
      <c r="K91"/>
      <c r="L91"/>
      <c r="M91"/>
      <c r="N91" s="87">
        <v>50</v>
      </c>
      <c r="O91" s="87">
        <f t="shared" si="11"/>
        <v>1.19</v>
      </c>
      <c r="P91" s="87">
        <f t="shared" si="14"/>
        <v>59.5</v>
      </c>
    </row>
    <row r="92" spans="1:16" s="41" customFormat="1" x14ac:dyDescent="0.3">
      <c r="A92" s="36">
        <v>18</v>
      </c>
      <c r="B92" s="42" t="s">
        <v>21</v>
      </c>
      <c r="C92" s="42" t="s">
        <v>22</v>
      </c>
      <c r="D92" s="40">
        <v>2</v>
      </c>
      <c r="E92" s="36" t="s">
        <v>20</v>
      </c>
      <c r="F92" s="98">
        <f t="shared" si="12"/>
        <v>345.09999999999997</v>
      </c>
      <c r="G92" s="37">
        <f t="shared" si="13"/>
        <v>690.19999999999993</v>
      </c>
      <c r="J92"/>
      <c r="K92"/>
      <c r="L92"/>
      <c r="M92"/>
      <c r="N92" s="87">
        <v>290</v>
      </c>
      <c r="O92" s="87">
        <f t="shared" si="11"/>
        <v>1.19</v>
      </c>
      <c r="P92" s="87">
        <f t="shared" si="14"/>
        <v>345.09999999999997</v>
      </c>
    </row>
    <row r="93" spans="1:16" s="41" customFormat="1" x14ac:dyDescent="0.3">
      <c r="A93" s="36">
        <v>19</v>
      </c>
      <c r="B93" s="42" t="s">
        <v>145</v>
      </c>
      <c r="C93" s="42" t="s">
        <v>146</v>
      </c>
      <c r="D93" s="40">
        <v>80</v>
      </c>
      <c r="E93" s="36" t="s">
        <v>24</v>
      </c>
      <c r="F93" s="98">
        <f t="shared" si="12"/>
        <v>7.14</v>
      </c>
      <c r="G93" s="37">
        <f t="shared" si="13"/>
        <v>571.19999999999993</v>
      </c>
      <c r="J93"/>
      <c r="K93"/>
      <c r="L93"/>
      <c r="M93"/>
      <c r="N93" s="87">
        <v>6</v>
      </c>
      <c r="O93" s="87">
        <f t="shared" si="11"/>
        <v>1.19</v>
      </c>
      <c r="P93" s="87">
        <f t="shared" si="14"/>
        <v>7.14</v>
      </c>
    </row>
    <row r="94" spans="1:16" s="41" customFormat="1" x14ac:dyDescent="0.3">
      <c r="A94" s="36">
        <v>20</v>
      </c>
      <c r="B94" s="42" t="s">
        <v>147</v>
      </c>
      <c r="C94" s="42" t="s">
        <v>148</v>
      </c>
      <c r="D94" s="40">
        <v>2</v>
      </c>
      <c r="E94" s="36" t="s">
        <v>20</v>
      </c>
      <c r="F94" s="98">
        <f t="shared" si="12"/>
        <v>80.92</v>
      </c>
      <c r="G94" s="37">
        <f t="shared" si="13"/>
        <v>161.84</v>
      </c>
      <c r="J94"/>
      <c r="K94"/>
      <c r="L94"/>
      <c r="M94"/>
      <c r="N94" s="87">
        <v>68</v>
      </c>
      <c r="O94" s="87">
        <f t="shared" si="11"/>
        <v>1.19</v>
      </c>
      <c r="P94" s="87">
        <f t="shared" si="14"/>
        <v>80.92</v>
      </c>
    </row>
    <row r="95" spans="1:16" s="41" customFormat="1" x14ac:dyDescent="0.3">
      <c r="A95" s="36">
        <v>21</v>
      </c>
      <c r="B95" s="42" t="s">
        <v>149</v>
      </c>
      <c r="C95" s="42" t="s">
        <v>150</v>
      </c>
      <c r="D95" s="40">
        <v>80</v>
      </c>
      <c r="E95" s="36" t="s">
        <v>24</v>
      </c>
      <c r="F95" s="98">
        <f t="shared" si="12"/>
        <v>16.66</v>
      </c>
      <c r="G95" s="37">
        <f t="shared" si="13"/>
        <v>1332.8</v>
      </c>
      <c r="J95"/>
      <c r="K95"/>
      <c r="L95"/>
      <c r="M95"/>
      <c r="N95" s="87">
        <v>14</v>
      </c>
      <c r="O95" s="87">
        <f t="shared" si="11"/>
        <v>1.19</v>
      </c>
      <c r="P95" s="87">
        <f t="shared" si="14"/>
        <v>16.66</v>
      </c>
    </row>
    <row r="96" spans="1:16" s="41" customFormat="1" x14ac:dyDescent="0.3">
      <c r="A96" s="36">
        <v>22</v>
      </c>
      <c r="B96" s="44"/>
      <c r="C96" s="44" t="s">
        <v>86</v>
      </c>
      <c r="D96" s="40">
        <v>8</v>
      </c>
      <c r="E96" s="36" t="s">
        <v>83</v>
      </c>
      <c r="F96" s="98">
        <f t="shared" si="12"/>
        <v>416.5</v>
      </c>
      <c r="G96" s="37">
        <f t="shared" si="13"/>
        <v>3332</v>
      </c>
      <c r="J96"/>
      <c r="K96"/>
      <c r="L96"/>
      <c r="M96"/>
      <c r="N96" s="87">
        <v>350</v>
      </c>
      <c r="O96" s="87">
        <f t="shared" si="11"/>
        <v>1.19</v>
      </c>
      <c r="P96" s="87">
        <f t="shared" si="14"/>
        <v>416.5</v>
      </c>
    </row>
    <row r="97" spans="1:16" s="41" customFormat="1" x14ac:dyDescent="0.3">
      <c r="A97" s="36">
        <v>23</v>
      </c>
      <c r="B97" s="44"/>
      <c r="C97" s="44" t="s">
        <v>87</v>
      </c>
      <c r="D97" s="40">
        <v>8</v>
      </c>
      <c r="E97" s="36" t="s">
        <v>83</v>
      </c>
      <c r="F97" s="98">
        <f t="shared" si="12"/>
        <v>416.5</v>
      </c>
      <c r="G97" s="37">
        <f t="shared" si="13"/>
        <v>3332</v>
      </c>
      <c r="J97"/>
      <c r="K97"/>
      <c r="L97"/>
      <c r="M97"/>
      <c r="N97" s="87">
        <v>350</v>
      </c>
      <c r="O97" s="87">
        <f t="shared" si="11"/>
        <v>1.19</v>
      </c>
      <c r="P97" s="87">
        <f t="shared" si="14"/>
        <v>416.5</v>
      </c>
    </row>
    <row r="98" spans="1:16" s="41" customFormat="1" x14ac:dyDescent="0.3">
      <c r="A98" s="36">
        <v>24</v>
      </c>
      <c r="B98" s="48" t="s">
        <v>346</v>
      </c>
      <c r="C98" s="48" t="s">
        <v>377</v>
      </c>
      <c r="D98" s="40">
        <v>217</v>
      </c>
      <c r="E98" s="36" t="s">
        <v>24</v>
      </c>
      <c r="F98" s="98">
        <f t="shared" si="12"/>
        <v>28.56</v>
      </c>
      <c r="G98" s="37">
        <f t="shared" si="13"/>
        <v>6197.5199999999995</v>
      </c>
      <c r="J98"/>
      <c r="K98"/>
      <c r="L98"/>
      <c r="M98"/>
      <c r="N98" s="87">
        <v>24</v>
      </c>
      <c r="O98" s="87">
        <f t="shared" si="11"/>
        <v>1.19</v>
      </c>
      <c r="P98" s="87">
        <f t="shared" si="14"/>
        <v>28.56</v>
      </c>
    </row>
    <row r="99" spans="1:16" s="41" customFormat="1" x14ac:dyDescent="0.3">
      <c r="A99" s="36">
        <v>25</v>
      </c>
      <c r="B99" s="48" t="s">
        <v>347</v>
      </c>
      <c r="C99" s="48" t="s">
        <v>378</v>
      </c>
      <c r="D99" s="40">
        <v>8</v>
      </c>
      <c r="E99" s="36" t="s">
        <v>20</v>
      </c>
      <c r="F99" s="98">
        <f t="shared" si="12"/>
        <v>184.45</v>
      </c>
      <c r="G99" s="37">
        <f t="shared" si="13"/>
        <v>1475.6</v>
      </c>
      <c r="J99"/>
      <c r="K99"/>
      <c r="L99"/>
      <c r="M99"/>
      <c r="N99" s="87">
        <v>155</v>
      </c>
      <c r="O99" s="87">
        <f t="shared" si="11"/>
        <v>1.19</v>
      </c>
      <c r="P99" s="87">
        <f t="shared" si="14"/>
        <v>184.45</v>
      </c>
    </row>
    <row r="100" spans="1:16" s="41" customFormat="1" x14ac:dyDescent="0.3">
      <c r="A100" s="36">
        <v>26</v>
      </c>
      <c r="B100" s="48" t="s">
        <v>348</v>
      </c>
      <c r="C100" s="48" t="s">
        <v>379</v>
      </c>
      <c r="D100" s="40">
        <v>2</v>
      </c>
      <c r="E100" s="36" t="s">
        <v>20</v>
      </c>
      <c r="F100" s="98">
        <f t="shared" si="12"/>
        <v>17.849999999999998</v>
      </c>
      <c r="G100" s="37">
        <f t="shared" si="13"/>
        <v>35.699999999999996</v>
      </c>
      <c r="J100"/>
      <c r="K100"/>
      <c r="L100"/>
      <c r="M100"/>
      <c r="N100" s="87">
        <v>15</v>
      </c>
      <c r="O100" s="87">
        <f t="shared" si="11"/>
        <v>1.19</v>
      </c>
      <c r="P100" s="87">
        <f t="shared" si="14"/>
        <v>17.849999999999998</v>
      </c>
    </row>
    <row r="101" spans="1:16" s="41" customFormat="1" x14ac:dyDescent="0.3">
      <c r="A101" s="36">
        <v>27</v>
      </c>
      <c r="B101" s="48" t="s">
        <v>349</v>
      </c>
      <c r="C101" s="48" t="s">
        <v>380</v>
      </c>
      <c r="D101" s="40">
        <v>2</v>
      </c>
      <c r="E101" s="36" t="s">
        <v>20</v>
      </c>
      <c r="F101" s="98">
        <f t="shared" si="12"/>
        <v>190.39999999999998</v>
      </c>
      <c r="G101" s="37">
        <f t="shared" si="13"/>
        <v>380.79999999999995</v>
      </c>
      <c r="J101"/>
      <c r="K101"/>
      <c r="L101"/>
      <c r="M101"/>
      <c r="N101" s="87">
        <v>160</v>
      </c>
      <c r="O101" s="87">
        <f t="shared" si="11"/>
        <v>1.19</v>
      </c>
      <c r="P101" s="87">
        <f t="shared" si="14"/>
        <v>190.39999999999998</v>
      </c>
    </row>
    <row r="102" spans="1:16" s="41" customFormat="1" x14ac:dyDescent="0.3">
      <c r="A102" s="36">
        <v>28</v>
      </c>
      <c r="B102" s="48" t="s">
        <v>350</v>
      </c>
      <c r="C102" s="48" t="s">
        <v>351</v>
      </c>
      <c r="D102" s="40">
        <v>2</v>
      </c>
      <c r="E102" s="36" t="s">
        <v>20</v>
      </c>
      <c r="F102" s="98">
        <f t="shared" si="12"/>
        <v>113.05</v>
      </c>
      <c r="G102" s="37">
        <f t="shared" si="13"/>
        <v>226.1</v>
      </c>
      <c r="J102"/>
      <c r="K102"/>
      <c r="L102"/>
      <c r="M102"/>
      <c r="N102" s="87">
        <v>95</v>
      </c>
      <c r="O102" s="87">
        <f t="shared" si="11"/>
        <v>1.19</v>
      </c>
      <c r="P102" s="87">
        <f t="shared" si="14"/>
        <v>113.05</v>
      </c>
    </row>
    <row r="103" spans="1:16" s="41" customFormat="1" x14ac:dyDescent="0.3">
      <c r="A103" s="36">
        <v>29</v>
      </c>
      <c r="B103" s="48" t="s">
        <v>352</v>
      </c>
      <c r="C103" s="48" t="s">
        <v>381</v>
      </c>
      <c r="D103" s="40">
        <v>4</v>
      </c>
      <c r="E103" s="36" t="s">
        <v>20</v>
      </c>
      <c r="F103" s="98">
        <f t="shared" si="12"/>
        <v>53.55</v>
      </c>
      <c r="G103" s="37">
        <f t="shared" si="13"/>
        <v>214.2</v>
      </c>
      <c r="J103"/>
      <c r="K103"/>
      <c r="L103"/>
      <c r="M103"/>
      <c r="N103" s="87">
        <v>45</v>
      </c>
      <c r="O103" s="87">
        <f t="shared" si="11"/>
        <v>1.19</v>
      </c>
      <c r="P103" s="87">
        <f t="shared" si="14"/>
        <v>53.55</v>
      </c>
    </row>
    <row r="104" spans="1:16" s="41" customFormat="1" x14ac:dyDescent="0.3">
      <c r="A104" s="36">
        <v>30</v>
      </c>
      <c r="B104" s="48" t="s">
        <v>353</v>
      </c>
      <c r="C104" s="48" t="s">
        <v>382</v>
      </c>
      <c r="D104" s="40">
        <v>8</v>
      </c>
      <c r="E104" s="36" t="s">
        <v>20</v>
      </c>
      <c r="F104" s="98">
        <f t="shared" si="12"/>
        <v>47.599999999999994</v>
      </c>
      <c r="G104" s="37">
        <f t="shared" ref="G104:G110" si="15">D104*F104</f>
        <v>380.79999999999995</v>
      </c>
      <c r="J104"/>
      <c r="K104"/>
      <c r="L104"/>
      <c r="M104"/>
      <c r="N104" s="87">
        <v>40</v>
      </c>
      <c r="O104" s="87">
        <f t="shared" si="11"/>
        <v>1.19</v>
      </c>
      <c r="P104" s="87">
        <f t="shared" si="14"/>
        <v>47.599999999999994</v>
      </c>
    </row>
    <row r="105" spans="1:16" s="41" customFormat="1" x14ac:dyDescent="0.3">
      <c r="A105" s="36">
        <v>31</v>
      </c>
      <c r="B105" s="48" t="s">
        <v>354</v>
      </c>
      <c r="C105" s="48" t="s">
        <v>383</v>
      </c>
      <c r="D105" s="40">
        <v>2</v>
      </c>
      <c r="E105" s="36" t="s">
        <v>20</v>
      </c>
      <c r="F105" s="98">
        <f t="shared" si="12"/>
        <v>142.79999999999998</v>
      </c>
      <c r="G105" s="37">
        <f t="shared" si="15"/>
        <v>285.59999999999997</v>
      </c>
      <c r="J105"/>
      <c r="K105"/>
      <c r="L105"/>
      <c r="M105"/>
      <c r="N105" s="87">
        <v>120</v>
      </c>
      <c r="O105" s="87">
        <f t="shared" si="11"/>
        <v>1.19</v>
      </c>
      <c r="P105" s="87">
        <f t="shared" si="14"/>
        <v>142.79999999999998</v>
      </c>
    </row>
    <row r="106" spans="1:16" s="41" customFormat="1" x14ac:dyDescent="0.3">
      <c r="A106" s="36">
        <v>32</v>
      </c>
      <c r="B106" s="48" t="s">
        <v>355</v>
      </c>
      <c r="C106" s="48" t="s">
        <v>384</v>
      </c>
      <c r="D106" s="40">
        <v>8</v>
      </c>
      <c r="E106" s="36" t="s">
        <v>20</v>
      </c>
      <c r="F106" s="98">
        <f t="shared" si="12"/>
        <v>32.129999999999995</v>
      </c>
      <c r="G106" s="37">
        <f t="shared" si="15"/>
        <v>257.03999999999996</v>
      </c>
      <c r="J106"/>
      <c r="K106"/>
      <c r="L106"/>
      <c r="M106"/>
      <c r="N106" s="87">
        <v>27</v>
      </c>
      <c r="O106" s="87">
        <f t="shared" si="11"/>
        <v>1.19</v>
      </c>
      <c r="P106" s="87">
        <f t="shared" si="14"/>
        <v>32.129999999999995</v>
      </c>
    </row>
    <row r="107" spans="1:16" s="41" customFormat="1" x14ac:dyDescent="0.3">
      <c r="A107" s="36">
        <v>33</v>
      </c>
      <c r="B107" s="48" t="s">
        <v>356</v>
      </c>
      <c r="C107" s="48" t="s">
        <v>385</v>
      </c>
      <c r="D107" s="40">
        <v>2</v>
      </c>
      <c r="E107" s="36" t="s">
        <v>20</v>
      </c>
      <c r="F107" s="98">
        <f t="shared" si="12"/>
        <v>113.05</v>
      </c>
      <c r="G107" s="37">
        <f t="shared" si="15"/>
        <v>226.1</v>
      </c>
      <c r="J107"/>
      <c r="K107"/>
      <c r="L107"/>
      <c r="M107"/>
      <c r="N107" s="87">
        <v>95</v>
      </c>
      <c r="O107" s="87">
        <f t="shared" si="11"/>
        <v>1.19</v>
      </c>
      <c r="P107" s="87">
        <f t="shared" si="14"/>
        <v>113.05</v>
      </c>
    </row>
    <row r="108" spans="1:16" s="41" customFormat="1" x14ac:dyDescent="0.3">
      <c r="A108" s="36">
        <v>34</v>
      </c>
      <c r="B108" s="48" t="s">
        <v>357</v>
      </c>
      <c r="C108" s="48" t="s">
        <v>386</v>
      </c>
      <c r="D108" s="40">
        <v>4</v>
      </c>
      <c r="E108" s="36" t="s">
        <v>20</v>
      </c>
      <c r="F108" s="98">
        <f t="shared" si="12"/>
        <v>148.75</v>
      </c>
      <c r="G108" s="37">
        <f t="shared" si="15"/>
        <v>595</v>
      </c>
      <c r="J108"/>
      <c r="K108"/>
      <c r="L108"/>
      <c r="M108"/>
      <c r="N108" s="87">
        <v>125</v>
      </c>
      <c r="O108" s="87">
        <f t="shared" si="11"/>
        <v>1.19</v>
      </c>
      <c r="P108" s="87">
        <f t="shared" si="14"/>
        <v>148.75</v>
      </c>
    </row>
    <row r="109" spans="1:16" s="41" customFormat="1" x14ac:dyDescent="0.3">
      <c r="A109" s="22">
        <v>35</v>
      </c>
      <c r="B109" s="49" t="s">
        <v>387</v>
      </c>
      <c r="C109" s="38" t="s">
        <v>388</v>
      </c>
      <c r="D109" s="40">
        <v>282</v>
      </c>
      <c r="E109" s="36" t="s">
        <v>20</v>
      </c>
      <c r="F109" s="98">
        <f t="shared" si="12"/>
        <v>53.55</v>
      </c>
      <c r="G109" s="37">
        <f t="shared" si="15"/>
        <v>15101.099999999999</v>
      </c>
      <c r="J109"/>
      <c r="K109"/>
      <c r="L109"/>
      <c r="M109"/>
      <c r="N109" s="87">
        <v>45</v>
      </c>
      <c r="O109" s="87">
        <f t="shared" si="11"/>
        <v>1.19</v>
      </c>
      <c r="P109" s="87">
        <f t="shared" si="14"/>
        <v>53.55</v>
      </c>
    </row>
    <row r="110" spans="1:16" s="41" customFormat="1" x14ac:dyDescent="0.3">
      <c r="A110" s="22">
        <v>36</v>
      </c>
      <c r="B110" s="49" t="s">
        <v>389</v>
      </c>
      <c r="C110" s="38" t="s">
        <v>390</v>
      </c>
      <c r="D110" s="40">
        <v>282</v>
      </c>
      <c r="E110" s="36" t="s">
        <v>20</v>
      </c>
      <c r="F110" s="98">
        <f t="shared" si="12"/>
        <v>29.75</v>
      </c>
      <c r="G110" s="37">
        <f t="shared" si="15"/>
        <v>8389.5</v>
      </c>
      <c r="J110"/>
      <c r="K110"/>
      <c r="L110"/>
      <c r="M110"/>
      <c r="N110" s="87">
        <v>25</v>
      </c>
      <c r="O110" s="87">
        <f t="shared" si="11"/>
        <v>1.19</v>
      </c>
      <c r="P110" s="87">
        <f t="shared" si="14"/>
        <v>29.75</v>
      </c>
    </row>
    <row r="111" spans="1:16" ht="14.15" x14ac:dyDescent="0.35">
      <c r="A111" s="14"/>
      <c r="B111" s="14"/>
      <c r="C111" s="24" t="s">
        <v>0</v>
      </c>
      <c r="D111" s="78"/>
      <c r="E111" s="25"/>
      <c r="F111" s="99"/>
      <c r="G111" s="26">
        <f>SUM(G75:G110)</f>
        <v>432065.2</v>
      </c>
    </row>
    <row r="112" spans="1:16" x14ac:dyDescent="0.3">
      <c r="B112" s="1"/>
      <c r="C112" s="13" t="s">
        <v>15</v>
      </c>
      <c r="D112" s="36"/>
      <c r="E112" s="16"/>
      <c r="G112" s="15">
        <f>0.21*G111</f>
        <v>90733.691999999995</v>
      </c>
    </row>
    <row r="114" spans="1:16" ht="15.45" x14ac:dyDescent="0.4">
      <c r="C114" s="5" t="s">
        <v>151</v>
      </c>
    </row>
    <row r="115" spans="1:16" x14ac:dyDescent="0.3">
      <c r="A115" s="20" t="s">
        <v>5</v>
      </c>
      <c r="B115" s="20" t="s">
        <v>6</v>
      </c>
      <c r="C115" s="20" t="s">
        <v>7</v>
      </c>
      <c r="D115" s="77"/>
      <c r="E115" s="21" t="s">
        <v>8</v>
      </c>
      <c r="F115" s="97" t="s">
        <v>9</v>
      </c>
      <c r="G115" s="21" t="s">
        <v>0</v>
      </c>
    </row>
    <row r="116" spans="1:16" s="41" customFormat="1" x14ac:dyDescent="0.3">
      <c r="A116" s="36">
        <v>18</v>
      </c>
      <c r="B116" s="43" t="s">
        <v>451</v>
      </c>
      <c r="C116" s="43" t="s">
        <v>452</v>
      </c>
      <c r="D116" s="40">
        <v>54</v>
      </c>
      <c r="E116" s="36" t="s">
        <v>20</v>
      </c>
      <c r="F116" s="98">
        <f t="shared" ref="F116:F155" si="16">L116+P116</f>
        <v>135.66</v>
      </c>
      <c r="G116" s="37">
        <f t="shared" ref="G116:G123" si="17">D116*F116</f>
        <v>7325.6399999999994</v>
      </c>
      <c r="J116" s="85">
        <v>114</v>
      </c>
      <c r="K116" s="85">
        <f t="shared" si="10"/>
        <v>1.19</v>
      </c>
      <c r="L116" s="85">
        <f t="shared" ref="L116:L137" si="18">K116*J116</f>
        <v>135.66</v>
      </c>
      <c r="M116"/>
      <c r="N116"/>
      <c r="O116"/>
      <c r="P116"/>
    </row>
    <row r="117" spans="1:16" s="41" customFormat="1" x14ac:dyDescent="0.3">
      <c r="A117" s="36">
        <v>19</v>
      </c>
      <c r="B117" s="43" t="s">
        <v>453</v>
      </c>
      <c r="C117" s="43" t="s">
        <v>454</v>
      </c>
      <c r="D117" s="40">
        <v>49</v>
      </c>
      <c r="E117" s="36" t="s">
        <v>20</v>
      </c>
      <c r="F117" s="98">
        <f t="shared" si="16"/>
        <v>38.377499999999998</v>
      </c>
      <c r="G117" s="37">
        <f t="shared" si="17"/>
        <v>1880.4974999999999</v>
      </c>
      <c r="J117" s="85">
        <v>32.25</v>
      </c>
      <c r="K117" s="85">
        <f t="shared" si="10"/>
        <v>1.19</v>
      </c>
      <c r="L117" s="85">
        <f t="shared" si="18"/>
        <v>38.377499999999998</v>
      </c>
      <c r="M117"/>
      <c r="N117"/>
      <c r="O117"/>
      <c r="P117"/>
    </row>
    <row r="118" spans="1:16" s="41" customFormat="1" x14ac:dyDescent="0.3">
      <c r="A118" s="36">
        <v>20</v>
      </c>
      <c r="B118" s="43" t="s">
        <v>455</v>
      </c>
      <c r="C118" s="43" t="s">
        <v>456</v>
      </c>
      <c r="D118" s="40">
        <v>49</v>
      </c>
      <c r="E118" s="36" t="s">
        <v>20</v>
      </c>
      <c r="F118" s="98">
        <f t="shared" si="16"/>
        <v>251.685</v>
      </c>
      <c r="G118" s="37">
        <f t="shared" si="17"/>
        <v>12332.565000000001</v>
      </c>
      <c r="J118" s="85">
        <v>211.5</v>
      </c>
      <c r="K118" s="85">
        <f t="shared" si="10"/>
        <v>1.19</v>
      </c>
      <c r="L118" s="85">
        <f t="shared" si="18"/>
        <v>251.685</v>
      </c>
      <c r="M118"/>
      <c r="N118"/>
      <c r="O118"/>
      <c r="P118"/>
    </row>
    <row r="119" spans="1:16" s="41" customFormat="1" x14ac:dyDescent="0.3">
      <c r="A119" s="36">
        <v>21</v>
      </c>
      <c r="B119" s="43" t="s">
        <v>457</v>
      </c>
      <c r="C119" s="43" t="s">
        <v>458</v>
      </c>
      <c r="D119" s="40">
        <v>5</v>
      </c>
      <c r="E119" s="36" t="s">
        <v>20</v>
      </c>
      <c r="F119" s="98">
        <f t="shared" si="16"/>
        <v>117.80999999999999</v>
      </c>
      <c r="G119" s="37">
        <f t="shared" si="17"/>
        <v>589.04999999999995</v>
      </c>
      <c r="J119" s="85">
        <v>99</v>
      </c>
      <c r="K119" s="85">
        <f t="shared" si="10"/>
        <v>1.19</v>
      </c>
      <c r="L119" s="85">
        <f t="shared" si="18"/>
        <v>117.80999999999999</v>
      </c>
      <c r="M119"/>
      <c r="N119"/>
      <c r="O119"/>
      <c r="P119"/>
    </row>
    <row r="120" spans="1:16" s="41" customFormat="1" x14ac:dyDescent="0.3">
      <c r="A120" s="36">
        <v>22</v>
      </c>
      <c r="B120" s="43" t="s">
        <v>459</v>
      </c>
      <c r="C120" s="43" t="s">
        <v>460</v>
      </c>
      <c r="D120" s="40">
        <v>5</v>
      </c>
      <c r="E120" s="36" t="s">
        <v>20</v>
      </c>
      <c r="F120" s="98">
        <f t="shared" si="16"/>
        <v>294.52499999999998</v>
      </c>
      <c r="G120" s="37">
        <f t="shared" si="17"/>
        <v>1472.625</v>
      </c>
      <c r="J120" s="85">
        <v>247.5</v>
      </c>
      <c r="K120" s="85">
        <f t="shared" si="10"/>
        <v>1.19</v>
      </c>
      <c r="L120" s="85">
        <f t="shared" si="18"/>
        <v>294.52499999999998</v>
      </c>
      <c r="M120"/>
      <c r="N120"/>
      <c r="O120"/>
      <c r="P120"/>
    </row>
    <row r="121" spans="1:16" s="41" customFormat="1" x14ac:dyDescent="0.3">
      <c r="A121" s="36">
        <v>23</v>
      </c>
      <c r="B121" s="43" t="s">
        <v>461</v>
      </c>
      <c r="C121" s="43" t="s">
        <v>462</v>
      </c>
      <c r="D121" s="40">
        <v>0</v>
      </c>
      <c r="E121" s="36" t="s">
        <v>20</v>
      </c>
      <c r="F121" s="98">
        <f t="shared" si="16"/>
        <v>0</v>
      </c>
      <c r="G121" s="37">
        <f t="shared" si="17"/>
        <v>0</v>
      </c>
      <c r="J121" s="101"/>
      <c r="K121" s="85">
        <f t="shared" si="10"/>
        <v>1.19</v>
      </c>
      <c r="L121" s="85">
        <f t="shared" si="18"/>
        <v>0</v>
      </c>
      <c r="M121"/>
      <c r="N121"/>
      <c r="O121"/>
      <c r="P121"/>
    </row>
    <row r="122" spans="1:16" s="41" customFormat="1" x14ac:dyDescent="0.3">
      <c r="A122" s="36">
        <v>24</v>
      </c>
      <c r="B122" s="43" t="s">
        <v>463</v>
      </c>
      <c r="C122" s="43" t="s">
        <v>464</v>
      </c>
      <c r="D122" s="40">
        <v>0</v>
      </c>
      <c r="E122" s="36" t="s">
        <v>20</v>
      </c>
      <c r="F122" s="98">
        <f t="shared" si="16"/>
        <v>0</v>
      </c>
      <c r="G122" s="37">
        <f t="shared" si="17"/>
        <v>0</v>
      </c>
      <c r="J122" s="101"/>
      <c r="K122" s="85">
        <f t="shared" si="10"/>
        <v>1.19</v>
      </c>
      <c r="L122" s="85">
        <f t="shared" si="18"/>
        <v>0</v>
      </c>
      <c r="M122"/>
      <c r="N122"/>
      <c r="O122"/>
      <c r="P122"/>
    </row>
    <row r="123" spans="1:16" s="41" customFormat="1" x14ac:dyDescent="0.3">
      <c r="A123" s="36">
        <v>25</v>
      </c>
      <c r="B123" s="43" t="s">
        <v>336</v>
      </c>
      <c r="C123" s="43" t="s">
        <v>337</v>
      </c>
      <c r="D123" s="40">
        <v>72</v>
      </c>
      <c r="E123" s="36" t="s">
        <v>20</v>
      </c>
      <c r="F123" s="98">
        <f t="shared" si="16"/>
        <v>69.971999999999994</v>
      </c>
      <c r="G123" s="37">
        <f t="shared" si="17"/>
        <v>5037.9839999999995</v>
      </c>
      <c r="J123" s="85">
        <v>58.8</v>
      </c>
      <c r="K123" s="85">
        <f t="shared" si="10"/>
        <v>1.19</v>
      </c>
      <c r="L123" s="85">
        <f t="shared" si="18"/>
        <v>69.971999999999994</v>
      </c>
      <c r="M123"/>
      <c r="N123"/>
      <c r="O123"/>
      <c r="P123"/>
    </row>
    <row r="124" spans="1:16" x14ac:dyDescent="0.3">
      <c r="A124" s="50">
        <v>9</v>
      </c>
      <c r="B124" s="45" t="s">
        <v>391</v>
      </c>
      <c r="C124" s="45" t="s">
        <v>392</v>
      </c>
      <c r="D124" s="40">
        <v>1</v>
      </c>
      <c r="E124" s="36" t="s">
        <v>20</v>
      </c>
      <c r="F124" s="98">
        <f t="shared" si="16"/>
        <v>5321.6799999999994</v>
      </c>
      <c r="G124" s="37">
        <f t="shared" ref="G124:G147" si="19">D124*F124</f>
        <v>5321.6799999999994</v>
      </c>
      <c r="J124" s="85">
        <v>4472</v>
      </c>
      <c r="K124" s="85">
        <f t="shared" si="10"/>
        <v>1.19</v>
      </c>
      <c r="L124" s="85">
        <f t="shared" si="18"/>
        <v>5321.6799999999994</v>
      </c>
    </row>
    <row r="125" spans="1:16" x14ac:dyDescent="0.3">
      <c r="A125" s="50">
        <v>10</v>
      </c>
      <c r="B125" s="45" t="s">
        <v>393</v>
      </c>
      <c r="C125" s="45" t="s">
        <v>394</v>
      </c>
      <c r="D125" s="40">
        <v>1</v>
      </c>
      <c r="E125" s="36" t="s">
        <v>20</v>
      </c>
      <c r="F125" s="98">
        <f t="shared" si="16"/>
        <v>788.96999999999991</v>
      </c>
      <c r="G125" s="37">
        <f t="shared" si="19"/>
        <v>788.96999999999991</v>
      </c>
      <c r="J125" s="85">
        <v>663</v>
      </c>
      <c r="K125" s="85">
        <f t="shared" si="10"/>
        <v>1.19</v>
      </c>
      <c r="L125" s="85">
        <f t="shared" si="18"/>
        <v>788.96999999999991</v>
      </c>
    </row>
    <row r="126" spans="1:16" x14ac:dyDescent="0.3">
      <c r="A126" s="50">
        <v>11</v>
      </c>
      <c r="B126" s="45" t="s">
        <v>395</v>
      </c>
      <c r="C126" s="45" t="s">
        <v>396</v>
      </c>
      <c r="D126" s="40">
        <v>1</v>
      </c>
      <c r="E126" s="36" t="s">
        <v>20</v>
      </c>
      <c r="F126" s="98">
        <f t="shared" si="16"/>
        <v>788.96999999999991</v>
      </c>
      <c r="G126" s="37">
        <f t="shared" si="19"/>
        <v>788.96999999999991</v>
      </c>
      <c r="J126" s="85">
        <v>663</v>
      </c>
      <c r="K126" s="85">
        <f t="shared" si="10"/>
        <v>1.19</v>
      </c>
      <c r="L126" s="85">
        <f t="shared" si="18"/>
        <v>788.96999999999991</v>
      </c>
    </row>
    <row r="127" spans="1:16" ht="23.15" x14ac:dyDescent="0.3">
      <c r="A127" s="50">
        <v>12</v>
      </c>
      <c r="B127" s="45" t="s">
        <v>397</v>
      </c>
      <c r="C127" s="45" t="s">
        <v>398</v>
      </c>
      <c r="D127" s="40">
        <v>1</v>
      </c>
      <c r="E127" s="51" t="s">
        <v>20</v>
      </c>
      <c r="F127" s="98">
        <f t="shared" si="16"/>
        <v>21850.78</v>
      </c>
      <c r="G127" s="37">
        <f t="shared" si="19"/>
        <v>21850.78</v>
      </c>
      <c r="J127" s="85">
        <v>18362</v>
      </c>
      <c r="K127" s="85">
        <f t="shared" si="10"/>
        <v>1.19</v>
      </c>
      <c r="L127" s="85">
        <f t="shared" si="18"/>
        <v>21850.78</v>
      </c>
    </row>
    <row r="128" spans="1:16" s="54" customFormat="1" x14ac:dyDescent="0.3">
      <c r="A128" s="52">
        <v>13</v>
      </c>
      <c r="B128" s="53" t="s">
        <v>399</v>
      </c>
      <c r="C128" s="53" t="s">
        <v>511</v>
      </c>
      <c r="D128" s="40">
        <v>1</v>
      </c>
      <c r="E128" s="51" t="s">
        <v>20</v>
      </c>
      <c r="F128" s="98">
        <f t="shared" si="16"/>
        <v>15080.869999999999</v>
      </c>
      <c r="G128" s="37">
        <f t="shared" si="19"/>
        <v>15080.869999999999</v>
      </c>
      <c r="J128" s="85">
        <v>12673</v>
      </c>
      <c r="K128" s="85">
        <f t="shared" si="10"/>
        <v>1.19</v>
      </c>
      <c r="L128" s="85">
        <f t="shared" si="18"/>
        <v>15080.869999999999</v>
      </c>
      <c r="M128"/>
      <c r="N128"/>
      <c r="O128"/>
      <c r="P128"/>
    </row>
    <row r="129" spans="1:16" s="54" customFormat="1" x14ac:dyDescent="0.3">
      <c r="A129" s="52">
        <v>14</v>
      </c>
      <c r="B129" s="53" t="s">
        <v>400</v>
      </c>
      <c r="C129" s="53" t="s">
        <v>401</v>
      </c>
      <c r="D129" s="40">
        <v>1</v>
      </c>
      <c r="E129" s="51" t="s">
        <v>20</v>
      </c>
      <c r="F129" s="98">
        <f t="shared" si="16"/>
        <v>2738.19</v>
      </c>
      <c r="G129" s="37">
        <f t="shared" si="19"/>
        <v>2738.19</v>
      </c>
      <c r="J129" s="85">
        <v>2301</v>
      </c>
      <c r="K129" s="85">
        <f t="shared" si="10"/>
        <v>1.19</v>
      </c>
      <c r="L129" s="85">
        <f t="shared" si="18"/>
        <v>2738.19</v>
      </c>
      <c r="M129"/>
      <c r="N129"/>
      <c r="O129"/>
      <c r="P129"/>
    </row>
    <row r="130" spans="1:16" s="54" customFormat="1" x14ac:dyDescent="0.3">
      <c r="A130" s="52">
        <v>15</v>
      </c>
      <c r="B130" s="53"/>
      <c r="C130" s="53" t="s">
        <v>512</v>
      </c>
      <c r="D130" s="40">
        <v>4</v>
      </c>
      <c r="E130" s="51" t="s">
        <v>20</v>
      </c>
      <c r="F130" s="98">
        <f t="shared" si="16"/>
        <v>487.9</v>
      </c>
      <c r="G130" s="37">
        <f t="shared" si="19"/>
        <v>1951.6</v>
      </c>
      <c r="J130" s="85">
        <v>410</v>
      </c>
      <c r="K130" s="85">
        <f t="shared" si="10"/>
        <v>1.19</v>
      </c>
      <c r="L130" s="85">
        <f t="shared" si="18"/>
        <v>487.9</v>
      </c>
      <c r="M130"/>
      <c r="N130"/>
      <c r="O130"/>
      <c r="P130"/>
    </row>
    <row r="131" spans="1:16" s="54" customFormat="1" x14ac:dyDescent="0.3">
      <c r="A131" s="52">
        <v>16</v>
      </c>
      <c r="B131" s="53"/>
      <c r="C131" s="53" t="s">
        <v>402</v>
      </c>
      <c r="D131" s="40">
        <v>1</v>
      </c>
      <c r="E131" s="51" t="s">
        <v>20</v>
      </c>
      <c r="F131" s="98">
        <f t="shared" si="16"/>
        <v>530.74</v>
      </c>
      <c r="G131" s="37">
        <f t="shared" si="19"/>
        <v>530.74</v>
      </c>
      <c r="J131" s="85">
        <v>446</v>
      </c>
      <c r="K131" s="85">
        <f t="shared" si="10"/>
        <v>1.19</v>
      </c>
      <c r="L131" s="85">
        <f t="shared" si="18"/>
        <v>530.74</v>
      </c>
      <c r="M131"/>
      <c r="N131"/>
      <c r="O131"/>
      <c r="P131"/>
    </row>
    <row r="132" spans="1:16" s="54" customFormat="1" x14ac:dyDescent="0.3">
      <c r="A132" s="52">
        <v>17</v>
      </c>
      <c r="B132" s="53" t="s">
        <v>403</v>
      </c>
      <c r="C132" s="53" t="s">
        <v>404</v>
      </c>
      <c r="D132" s="40">
        <v>2</v>
      </c>
      <c r="E132" s="51" t="s">
        <v>20</v>
      </c>
      <c r="F132" s="98">
        <f t="shared" si="16"/>
        <v>495.03999999999996</v>
      </c>
      <c r="G132" s="37">
        <f t="shared" si="19"/>
        <v>990.07999999999993</v>
      </c>
      <c r="J132" s="85">
        <v>416</v>
      </c>
      <c r="K132" s="85">
        <f t="shared" ref="K132:K189" si="20">$K$1</f>
        <v>1.19</v>
      </c>
      <c r="L132" s="85">
        <f t="shared" si="18"/>
        <v>495.03999999999996</v>
      </c>
      <c r="M132"/>
      <c r="N132"/>
      <c r="O132"/>
      <c r="P132"/>
    </row>
    <row r="133" spans="1:16" s="54" customFormat="1" x14ac:dyDescent="0.3">
      <c r="A133" s="52">
        <v>18</v>
      </c>
      <c r="B133" s="55" t="s">
        <v>405</v>
      </c>
      <c r="C133" s="55" t="s">
        <v>406</v>
      </c>
      <c r="D133" s="40">
        <v>3</v>
      </c>
      <c r="E133" s="51" t="s">
        <v>20</v>
      </c>
      <c r="F133" s="98">
        <f t="shared" si="16"/>
        <v>622.37</v>
      </c>
      <c r="G133" s="37">
        <f t="shared" si="19"/>
        <v>1867.1100000000001</v>
      </c>
      <c r="J133" s="85">
        <v>523</v>
      </c>
      <c r="K133" s="85">
        <f t="shared" si="20"/>
        <v>1.19</v>
      </c>
      <c r="L133" s="85">
        <f t="shared" si="18"/>
        <v>622.37</v>
      </c>
      <c r="M133"/>
      <c r="N133"/>
      <c r="O133"/>
      <c r="P133"/>
    </row>
    <row r="134" spans="1:16" s="54" customFormat="1" x14ac:dyDescent="0.3">
      <c r="A134" s="52">
        <v>19</v>
      </c>
      <c r="B134" s="53" t="s">
        <v>407</v>
      </c>
      <c r="C134" s="53" t="s">
        <v>408</v>
      </c>
      <c r="D134" s="40">
        <v>4</v>
      </c>
      <c r="E134" s="51" t="s">
        <v>20</v>
      </c>
      <c r="F134" s="98">
        <f t="shared" si="16"/>
        <v>437.91999999999996</v>
      </c>
      <c r="G134" s="37">
        <f t="shared" si="19"/>
        <v>1751.6799999999998</v>
      </c>
      <c r="J134" s="85">
        <v>368</v>
      </c>
      <c r="K134" s="85">
        <f t="shared" si="20"/>
        <v>1.19</v>
      </c>
      <c r="L134" s="85">
        <f t="shared" si="18"/>
        <v>437.91999999999996</v>
      </c>
      <c r="M134"/>
      <c r="N134"/>
      <c r="O134"/>
      <c r="P134"/>
    </row>
    <row r="135" spans="1:16" s="54" customFormat="1" ht="23.15" x14ac:dyDescent="0.3">
      <c r="A135" s="52">
        <v>20</v>
      </c>
      <c r="B135" s="53" t="s">
        <v>409</v>
      </c>
      <c r="C135" s="53" t="s">
        <v>410</v>
      </c>
      <c r="D135" s="40">
        <v>2</v>
      </c>
      <c r="E135" s="51" t="s">
        <v>20</v>
      </c>
      <c r="F135" s="98">
        <f t="shared" si="16"/>
        <v>773.5</v>
      </c>
      <c r="G135" s="37">
        <f t="shared" si="19"/>
        <v>1547</v>
      </c>
      <c r="J135" s="85">
        <v>650</v>
      </c>
      <c r="K135" s="85">
        <f t="shared" si="20"/>
        <v>1.19</v>
      </c>
      <c r="L135" s="85">
        <f t="shared" si="18"/>
        <v>773.5</v>
      </c>
      <c r="M135"/>
      <c r="N135"/>
      <c r="O135"/>
      <c r="P135"/>
    </row>
    <row r="136" spans="1:16" s="54" customFormat="1" x14ac:dyDescent="0.3">
      <c r="A136" s="52">
        <v>21</v>
      </c>
      <c r="B136" s="53" t="s">
        <v>411</v>
      </c>
      <c r="C136" s="53" t="s">
        <v>412</v>
      </c>
      <c r="D136" s="40">
        <v>1</v>
      </c>
      <c r="E136" s="51" t="s">
        <v>20</v>
      </c>
      <c r="F136" s="98">
        <f t="shared" si="16"/>
        <v>7902.79</v>
      </c>
      <c r="G136" s="37">
        <f t="shared" si="19"/>
        <v>7902.79</v>
      </c>
      <c r="J136" s="85">
        <v>6641</v>
      </c>
      <c r="K136" s="85">
        <f t="shared" si="20"/>
        <v>1.19</v>
      </c>
      <c r="L136" s="85">
        <f t="shared" si="18"/>
        <v>7902.79</v>
      </c>
      <c r="M136"/>
      <c r="N136"/>
      <c r="O136"/>
      <c r="P136"/>
    </row>
    <row r="137" spans="1:16" ht="23.15" x14ac:dyDescent="0.3">
      <c r="A137" s="44">
        <v>22</v>
      </c>
      <c r="B137" s="50" t="s">
        <v>413</v>
      </c>
      <c r="C137" s="50" t="s">
        <v>414</v>
      </c>
      <c r="D137" s="40">
        <v>282</v>
      </c>
      <c r="E137" s="36" t="s">
        <v>24</v>
      </c>
      <c r="F137" s="98">
        <f t="shared" si="16"/>
        <v>33.32</v>
      </c>
      <c r="G137" s="37">
        <f t="shared" si="19"/>
        <v>9396.24</v>
      </c>
      <c r="J137" s="85">
        <v>28</v>
      </c>
      <c r="K137" s="85">
        <f t="shared" si="20"/>
        <v>1.19</v>
      </c>
      <c r="L137" s="85">
        <f t="shared" si="18"/>
        <v>33.32</v>
      </c>
    </row>
    <row r="138" spans="1:16" x14ac:dyDescent="0.3">
      <c r="A138" s="44">
        <v>23</v>
      </c>
      <c r="B138" s="48" t="s">
        <v>415</v>
      </c>
      <c r="C138" s="56" t="s">
        <v>416</v>
      </c>
      <c r="D138" s="40">
        <v>2</v>
      </c>
      <c r="E138" s="36" t="s">
        <v>20</v>
      </c>
      <c r="F138" s="98">
        <f t="shared" si="16"/>
        <v>718.76</v>
      </c>
      <c r="G138" s="37">
        <f t="shared" si="19"/>
        <v>1437.52</v>
      </c>
      <c r="J138" s="85">
        <v>604</v>
      </c>
      <c r="K138" s="85">
        <f t="shared" si="20"/>
        <v>1.19</v>
      </c>
      <c r="L138" s="85">
        <f t="shared" ref="L138:L189" si="21">K138*J138</f>
        <v>718.76</v>
      </c>
    </row>
    <row r="139" spans="1:16" ht="23.15" x14ac:dyDescent="0.3">
      <c r="A139" s="44">
        <v>24</v>
      </c>
      <c r="B139" s="48" t="s">
        <v>417</v>
      </c>
      <c r="C139" s="48" t="s">
        <v>418</v>
      </c>
      <c r="D139" s="40">
        <v>2</v>
      </c>
      <c r="E139" s="36" t="s">
        <v>20</v>
      </c>
      <c r="F139" s="98">
        <f t="shared" si="16"/>
        <v>96.39</v>
      </c>
      <c r="G139" s="37">
        <f t="shared" si="19"/>
        <v>192.78</v>
      </c>
      <c r="J139" s="85">
        <v>81</v>
      </c>
      <c r="K139" s="85">
        <f t="shared" si="20"/>
        <v>1.19</v>
      </c>
      <c r="L139" s="85">
        <f t="shared" si="21"/>
        <v>96.39</v>
      </c>
    </row>
    <row r="140" spans="1:16" x14ac:dyDescent="0.3">
      <c r="A140" s="44">
        <v>25</v>
      </c>
      <c r="B140" s="48" t="s">
        <v>419</v>
      </c>
      <c r="C140" s="56" t="s">
        <v>420</v>
      </c>
      <c r="D140" s="40">
        <v>8</v>
      </c>
      <c r="E140" s="36" t="s">
        <v>20</v>
      </c>
      <c r="F140" s="98">
        <f t="shared" si="16"/>
        <v>4.76</v>
      </c>
      <c r="G140" s="37">
        <f t="shared" si="19"/>
        <v>38.08</v>
      </c>
      <c r="J140" s="85">
        <v>4</v>
      </c>
      <c r="K140" s="85">
        <f t="shared" si="20"/>
        <v>1.19</v>
      </c>
      <c r="L140" s="85">
        <f t="shared" si="21"/>
        <v>4.76</v>
      </c>
    </row>
    <row r="141" spans="1:16" x14ac:dyDescent="0.3">
      <c r="A141" s="44">
        <v>26</v>
      </c>
      <c r="B141" s="48" t="s">
        <v>421</v>
      </c>
      <c r="C141" s="56" t="s">
        <v>422</v>
      </c>
      <c r="D141" s="40">
        <v>2</v>
      </c>
      <c r="E141" s="36" t="s">
        <v>20</v>
      </c>
      <c r="F141" s="98">
        <f t="shared" si="16"/>
        <v>659.26</v>
      </c>
      <c r="G141" s="37">
        <f t="shared" si="19"/>
        <v>1318.52</v>
      </c>
      <c r="J141" s="85">
        <v>554</v>
      </c>
      <c r="K141" s="85">
        <f t="shared" si="20"/>
        <v>1.19</v>
      </c>
      <c r="L141" s="85">
        <f t="shared" si="21"/>
        <v>659.26</v>
      </c>
    </row>
    <row r="142" spans="1:16" s="54" customFormat="1" x14ac:dyDescent="0.3">
      <c r="A142" s="57">
        <v>27</v>
      </c>
      <c r="B142" s="58" t="s">
        <v>423</v>
      </c>
      <c r="C142" s="58" t="s">
        <v>424</v>
      </c>
      <c r="D142" s="40">
        <v>4</v>
      </c>
      <c r="E142" s="51" t="s">
        <v>20</v>
      </c>
      <c r="F142" s="98">
        <f t="shared" si="16"/>
        <v>23.204999999999998</v>
      </c>
      <c r="G142" s="37">
        <f t="shared" si="19"/>
        <v>92.82</v>
      </c>
      <c r="J142" s="85">
        <v>19.5</v>
      </c>
      <c r="K142" s="85">
        <f t="shared" si="20"/>
        <v>1.19</v>
      </c>
      <c r="L142" s="85">
        <f t="shared" si="21"/>
        <v>23.204999999999998</v>
      </c>
      <c r="M142"/>
      <c r="N142"/>
      <c r="O142"/>
      <c r="P142"/>
    </row>
    <row r="143" spans="1:16" s="54" customFormat="1" x14ac:dyDescent="0.3">
      <c r="A143" s="57">
        <v>28</v>
      </c>
      <c r="B143" s="58" t="s">
        <v>425</v>
      </c>
      <c r="C143" s="58" t="s">
        <v>426</v>
      </c>
      <c r="D143" s="40">
        <v>8</v>
      </c>
      <c r="E143" s="51" t="s">
        <v>20</v>
      </c>
      <c r="F143" s="98">
        <f t="shared" si="16"/>
        <v>40.340999999999994</v>
      </c>
      <c r="G143" s="37">
        <f t="shared" si="19"/>
        <v>322.72799999999995</v>
      </c>
      <c r="J143" s="85">
        <v>33.9</v>
      </c>
      <c r="K143" s="85">
        <f t="shared" si="20"/>
        <v>1.19</v>
      </c>
      <c r="L143" s="85">
        <f t="shared" si="21"/>
        <v>40.340999999999994</v>
      </c>
      <c r="M143"/>
      <c r="N143"/>
      <c r="O143"/>
      <c r="P143"/>
    </row>
    <row r="144" spans="1:16" s="54" customFormat="1" ht="23.15" x14ac:dyDescent="0.3">
      <c r="A144" s="57">
        <v>29</v>
      </c>
      <c r="B144" s="58" t="s">
        <v>427</v>
      </c>
      <c r="C144" s="58" t="s">
        <v>428</v>
      </c>
      <c r="D144" s="40">
        <v>2</v>
      </c>
      <c r="E144" s="51" t="s">
        <v>20</v>
      </c>
      <c r="F144" s="98">
        <f t="shared" si="16"/>
        <v>142.79999999999998</v>
      </c>
      <c r="G144" s="37">
        <f t="shared" si="19"/>
        <v>285.59999999999997</v>
      </c>
      <c r="J144" s="85">
        <v>120</v>
      </c>
      <c r="K144" s="85">
        <f t="shared" si="20"/>
        <v>1.19</v>
      </c>
      <c r="L144" s="85">
        <f t="shared" si="21"/>
        <v>142.79999999999998</v>
      </c>
      <c r="M144"/>
      <c r="N144"/>
      <c r="O144"/>
      <c r="P144"/>
    </row>
    <row r="145" spans="1:16" s="54" customFormat="1" ht="23.15" x14ac:dyDescent="0.3">
      <c r="A145" s="57">
        <v>30</v>
      </c>
      <c r="B145" s="58" t="s">
        <v>429</v>
      </c>
      <c r="C145" s="58" t="s">
        <v>430</v>
      </c>
      <c r="D145" s="40">
        <v>2</v>
      </c>
      <c r="E145" s="51" t="s">
        <v>20</v>
      </c>
      <c r="F145" s="98">
        <f t="shared" si="16"/>
        <v>166.6</v>
      </c>
      <c r="G145" s="37">
        <f t="shared" si="19"/>
        <v>333.2</v>
      </c>
      <c r="J145" s="85">
        <v>140</v>
      </c>
      <c r="K145" s="85">
        <f t="shared" si="20"/>
        <v>1.19</v>
      </c>
      <c r="L145" s="85">
        <f t="shared" si="21"/>
        <v>166.6</v>
      </c>
      <c r="M145"/>
      <c r="N145"/>
      <c r="O145"/>
      <c r="P145"/>
    </row>
    <row r="146" spans="1:16" s="54" customFormat="1" x14ac:dyDescent="0.3">
      <c r="A146" s="57">
        <v>31</v>
      </c>
      <c r="B146" s="58" t="s">
        <v>431</v>
      </c>
      <c r="C146" s="58" t="s">
        <v>432</v>
      </c>
      <c r="D146" s="40">
        <v>217</v>
      </c>
      <c r="E146" s="59" t="s">
        <v>24</v>
      </c>
      <c r="F146" s="98">
        <f t="shared" si="16"/>
        <v>52.36</v>
      </c>
      <c r="G146" s="37">
        <f t="shared" si="19"/>
        <v>11362.119999999999</v>
      </c>
      <c r="J146" s="85">
        <v>44</v>
      </c>
      <c r="K146" s="85">
        <f t="shared" si="20"/>
        <v>1.19</v>
      </c>
      <c r="L146" s="85">
        <f t="shared" si="21"/>
        <v>52.36</v>
      </c>
      <c r="M146"/>
      <c r="N146"/>
      <c r="O146"/>
      <c r="P146"/>
    </row>
    <row r="147" spans="1:16" s="54" customFormat="1" x14ac:dyDescent="0.3">
      <c r="A147" s="57">
        <v>32</v>
      </c>
      <c r="B147" s="60" t="s">
        <v>433</v>
      </c>
      <c r="C147" s="60" t="s">
        <v>434</v>
      </c>
      <c r="D147" s="40">
        <v>205</v>
      </c>
      <c r="E147" s="59" t="s">
        <v>20</v>
      </c>
      <c r="F147" s="98">
        <f t="shared" si="16"/>
        <v>66.64</v>
      </c>
      <c r="G147" s="37">
        <f t="shared" si="19"/>
        <v>13661.2</v>
      </c>
      <c r="J147" s="85">
        <v>56</v>
      </c>
      <c r="K147" s="85">
        <f t="shared" si="20"/>
        <v>1.19</v>
      </c>
      <c r="L147" s="85">
        <f t="shared" si="21"/>
        <v>66.64</v>
      </c>
      <c r="M147"/>
      <c r="N147"/>
      <c r="O147"/>
      <c r="P147"/>
    </row>
    <row r="148" spans="1:16" s="54" customFormat="1" x14ac:dyDescent="0.3">
      <c r="A148" s="57">
        <v>33</v>
      </c>
      <c r="B148" s="61" t="s">
        <v>435</v>
      </c>
      <c r="C148" s="61" t="s">
        <v>436</v>
      </c>
      <c r="D148" s="40">
        <v>1</v>
      </c>
      <c r="E148" s="51" t="s">
        <v>20</v>
      </c>
      <c r="F148" s="98">
        <f t="shared" si="16"/>
        <v>84.846999999999994</v>
      </c>
      <c r="G148" s="37">
        <f t="shared" ref="G148:G155" si="22">D148*F148</f>
        <v>84.846999999999994</v>
      </c>
      <c r="J148" s="85">
        <v>71.3</v>
      </c>
      <c r="K148" s="85">
        <f t="shared" si="20"/>
        <v>1.19</v>
      </c>
      <c r="L148" s="85">
        <f t="shared" si="21"/>
        <v>84.846999999999994</v>
      </c>
      <c r="M148"/>
      <c r="N148"/>
      <c r="O148"/>
      <c r="P148"/>
    </row>
    <row r="149" spans="1:16" s="54" customFormat="1" x14ac:dyDescent="0.3">
      <c r="A149" s="57">
        <v>34</v>
      </c>
      <c r="B149" s="60" t="s">
        <v>437</v>
      </c>
      <c r="C149" s="60" t="s">
        <v>438</v>
      </c>
      <c r="D149" s="40">
        <v>10</v>
      </c>
      <c r="E149" s="59" t="s">
        <v>20</v>
      </c>
      <c r="F149" s="98">
        <f t="shared" si="16"/>
        <v>2784.6</v>
      </c>
      <c r="G149" s="37">
        <f t="shared" si="22"/>
        <v>27846</v>
      </c>
      <c r="J149" s="85">
        <v>2340</v>
      </c>
      <c r="K149" s="85">
        <f t="shared" si="20"/>
        <v>1.19</v>
      </c>
      <c r="L149" s="85">
        <f t="shared" si="21"/>
        <v>2784.6</v>
      </c>
      <c r="M149"/>
      <c r="N149"/>
      <c r="O149"/>
      <c r="P149"/>
    </row>
    <row r="150" spans="1:16" x14ac:dyDescent="0.3">
      <c r="A150" s="44">
        <v>35</v>
      </c>
      <c r="B150" s="62" t="s">
        <v>439</v>
      </c>
      <c r="C150" s="62" t="s">
        <v>440</v>
      </c>
      <c r="D150" s="40">
        <v>1</v>
      </c>
      <c r="E150" s="36" t="s">
        <v>20</v>
      </c>
      <c r="F150" s="98">
        <f t="shared" si="16"/>
        <v>3177.2999999999997</v>
      </c>
      <c r="G150" s="37">
        <f t="shared" si="22"/>
        <v>3177.2999999999997</v>
      </c>
      <c r="J150" s="85">
        <v>2670</v>
      </c>
      <c r="K150" s="85">
        <f t="shared" si="20"/>
        <v>1.19</v>
      </c>
      <c r="L150" s="85">
        <f t="shared" si="21"/>
        <v>3177.2999999999997</v>
      </c>
    </row>
    <row r="151" spans="1:16" s="54" customFormat="1" x14ac:dyDescent="0.3">
      <c r="A151" s="52">
        <v>36</v>
      </c>
      <c r="B151" s="53" t="s">
        <v>441</v>
      </c>
      <c r="C151" s="53" t="s">
        <v>442</v>
      </c>
      <c r="D151" s="40">
        <v>7</v>
      </c>
      <c r="E151" s="51" t="s">
        <v>20</v>
      </c>
      <c r="F151" s="98">
        <f t="shared" si="16"/>
        <v>151.13</v>
      </c>
      <c r="G151" s="37">
        <f>D151*F151</f>
        <v>1057.9099999999999</v>
      </c>
      <c r="J151" s="85">
        <v>127</v>
      </c>
      <c r="K151" s="85">
        <f t="shared" si="20"/>
        <v>1.19</v>
      </c>
      <c r="L151" s="85">
        <f t="shared" si="21"/>
        <v>151.13</v>
      </c>
      <c r="M151"/>
      <c r="N151"/>
      <c r="O151"/>
      <c r="P151"/>
    </row>
    <row r="152" spans="1:16" x14ac:dyDescent="0.3">
      <c r="A152" s="57">
        <v>37</v>
      </c>
      <c r="B152" s="63" t="s">
        <v>443</v>
      </c>
      <c r="C152" s="60" t="s">
        <v>444</v>
      </c>
      <c r="D152" s="40">
        <v>13325</v>
      </c>
      <c r="E152" s="59" t="s">
        <v>24</v>
      </c>
      <c r="F152" s="98">
        <f t="shared" si="16"/>
        <v>11.542999999999999</v>
      </c>
      <c r="G152" s="37">
        <f t="shared" si="22"/>
        <v>153810.47499999998</v>
      </c>
      <c r="J152" s="85">
        <v>9.6999999999999993</v>
      </c>
      <c r="K152" s="85">
        <f t="shared" si="20"/>
        <v>1.19</v>
      </c>
      <c r="L152" s="85">
        <f t="shared" si="21"/>
        <v>11.542999999999999</v>
      </c>
    </row>
    <row r="153" spans="1:16" x14ac:dyDescent="0.3">
      <c r="A153" s="44">
        <v>38</v>
      </c>
      <c r="B153" s="62" t="s">
        <v>445</v>
      </c>
      <c r="C153" s="62" t="s">
        <v>446</v>
      </c>
      <c r="D153" s="40">
        <v>65</v>
      </c>
      <c r="E153" s="36" t="s">
        <v>24</v>
      </c>
      <c r="F153" s="98">
        <f t="shared" si="16"/>
        <v>16.064999999999998</v>
      </c>
      <c r="G153" s="37">
        <f t="shared" si="22"/>
        <v>1044.2249999999999</v>
      </c>
      <c r="J153" s="85">
        <v>13.5</v>
      </c>
      <c r="K153" s="85">
        <f t="shared" si="20"/>
        <v>1.19</v>
      </c>
      <c r="L153" s="85">
        <f t="shared" si="21"/>
        <v>16.064999999999998</v>
      </c>
    </row>
    <row r="154" spans="1:16" s="54" customFormat="1" x14ac:dyDescent="0.3">
      <c r="A154" s="57">
        <v>39</v>
      </c>
      <c r="B154" s="60" t="s">
        <v>447</v>
      </c>
      <c r="C154" s="60" t="s">
        <v>448</v>
      </c>
      <c r="D154" s="40">
        <v>205</v>
      </c>
      <c r="E154" s="59" t="s">
        <v>20</v>
      </c>
      <c r="F154" s="98">
        <f t="shared" si="16"/>
        <v>38.08</v>
      </c>
      <c r="G154" s="37">
        <f t="shared" si="22"/>
        <v>7806.4</v>
      </c>
      <c r="J154" s="85">
        <v>32</v>
      </c>
      <c r="K154" s="85">
        <f t="shared" si="20"/>
        <v>1.19</v>
      </c>
      <c r="L154" s="85">
        <f t="shared" si="21"/>
        <v>38.08</v>
      </c>
      <c r="M154"/>
      <c r="N154"/>
      <c r="O154"/>
      <c r="P154"/>
    </row>
    <row r="155" spans="1:16" s="54" customFormat="1" x14ac:dyDescent="0.3">
      <c r="A155" s="57">
        <v>40</v>
      </c>
      <c r="B155" s="61" t="s">
        <v>449</v>
      </c>
      <c r="C155" s="61" t="s">
        <v>450</v>
      </c>
      <c r="D155" s="40">
        <v>1</v>
      </c>
      <c r="E155" s="51" t="s">
        <v>20</v>
      </c>
      <c r="F155" s="98">
        <f t="shared" si="16"/>
        <v>76.16</v>
      </c>
      <c r="G155" s="37">
        <f t="shared" si="22"/>
        <v>76.16</v>
      </c>
      <c r="J155" s="85">
        <v>64</v>
      </c>
      <c r="K155" s="85">
        <f t="shared" si="20"/>
        <v>1.19</v>
      </c>
      <c r="L155" s="85">
        <f t="shared" si="21"/>
        <v>76.16</v>
      </c>
      <c r="M155"/>
      <c r="N155"/>
      <c r="O155"/>
      <c r="P155"/>
    </row>
    <row r="156" spans="1:16" ht="14.15" x14ac:dyDescent="0.35">
      <c r="A156" s="14"/>
      <c r="B156" s="14"/>
      <c r="C156" s="24" t="s">
        <v>0</v>
      </c>
      <c r="D156" s="78"/>
      <c r="E156" s="25"/>
      <c r="F156" s="99"/>
      <c r="G156" s="26">
        <f>SUM(G116:G155)</f>
        <v>325092.94649999996</v>
      </c>
    </row>
    <row r="157" spans="1:16" x14ac:dyDescent="0.3">
      <c r="B157" s="1"/>
      <c r="C157" s="13" t="s">
        <v>15</v>
      </c>
      <c r="D157" s="36"/>
      <c r="E157" s="16"/>
      <c r="G157" s="15">
        <f>0.21*G156</f>
        <v>68269.518764999986</v>
      </c>
    </row>
    <row r="159" spans="1:16" ht="15.45" x14ac:dyDescent="0.4">
      <c r="C159" s="5" t="s">
        <v>152</v>
      </c>
    </row>
    <row r="160" spans="1:16" x14ac:dyDescent="0.3">
      <c r="A160" s="20" t="s">
        <v>5</v>
      </c>
      <c r="B160" s="20" t="s">
        <v>6</v>
      </c>
      <c r="C160" s="20" t="s">
        <v>7</v>
      </c>
      <c r="D160" s="77"/>
      <c r="E160" s="21" t="s">
        <v>8</v>
      </c>
      <c r="F160" s="97" t="s">
        <v>9</v>
      </c>
      <c r="G160" s="21" t="s">
        <v>0</v>
      </c>
    </row>
    <row r="161" spans="1:16" s="41" customFormat="1" x14ac:dyDescent="0.3">
      <c r="A161" s="36">
        <v>1</v>
      </c>
      <c r="B161" s="36"/>
      <c r="C161" s="44" t="s">
        <v>86</v>
      </c>
      <c r="D161" s="40">
        <v>12</v>
      </c>
      <c r="E161" s="40" t="s">
        <v>83</v>
      </c>
      <c r="F161" s="98">
        <f t="shared" ref="F161:F174" si="23">L161+P161</f>
        <v>535.5</v>
      </c>
      <c r="G161" s="37">
        <f t="shared" ref="G161:G174" si="24">D161*F161</f>
        <v>6426</v>
      </c>
      <c r="J161"/>
      <c r="K161"/>
      <c r="L161"/>
      <c r="M161"/>
      <c r="N161" s="87">
        <v>450</v>
      </c>
      <c r="O161" s="87">
        <f t="shared" ref="O161:O195" si="25">$O$1</f>
        <v>1.19</v>
      </c>
      <c r="P161" s="87">
        <f t="shared" ref="P161:P201" si="26">O161*N161</f>
        <v>535.5</v>
      </c>
    </row>
    <row r="162" spans="1:16" s="41" customFormat="1" x14ac:dyDescent="0.3">
      <c r="A162" s="36">
        <v>2</v>
      </c>
      <c r="B162" s="36"/>
      <c r="C162" s="44" t="s">
        <v>87</v>
      </c>
      <c r="D162" s="40">
        <v>12</v>
      </c>
      <c r="E162" s="40" t="s">
        <v>83</v>
      </c>
      <c r="F162" s="98">
        <f t="shared" si="23"/>
        <v>535.5</v>
      </c>
      <c r="G162" s="37">
        <f t="shared" si="24"/>
        <v>6426</v>
      </c>
      <c r="J162"/>
      <c r="K162"/>
      <c r="L162"/>
      <c r="M162"/>
      <c r="N162" s="87">
        <v>450</v>
      </c>
      <c r="O162" s="87">
        <f t="shared" si="25"/>
        <v>1.19</v>
      </c>
      <c r="P162" s="87">
        <f t="shared" si="26"/>
        <v>535.5</v>
      </c>
    </row>
    <row r="163" spans="1:16" s="41" customFormat="1" x14ac:dyDescent="0.3">
      <c r="A163" s="36">
        <v>3</v>
      </c>
      <c r="B163" s="64" t="s">
        <v>153</v>
      </c>
      <c r="C163" s="65" t="s">
        <v>154</v>
      </c>
      <c r="D163" s="40">
        <v>31</v>
      </c>
      <c r="E163" s="40" t="s">
        <v>20</v>
      </c>
      <c r="F163" s="98">
        <f t="shared" si="23"/>
        <v>142.79999999999998</v>
      </c>
      <c r="G163" s="37">
        <f t="shared" si="24"/>
        <v>4426.7999999999993</v>
      </c>
      <c r="J163"/>
      <c r="K163"/>
      <c r="L163"/>
      <c r="M163"/>
      <c r="N163" s="87">
        <v>120</v>
      </c>
      <c r="O163" s="87">
        <f t="shared" si="25"/>
        <v>1.19</v>
      </c>
      <c r="P163" s="87">
        <f t="shared" si="26"/>
        <v>142.79999999999998</v>
      </c>
    </row>
    <row r="164" spans="1:16" s="41" customFormat="1" x14ac:dyDescent="0.3">
      <c r="A164" s="36">
        <v>4</v>
      </c>
      <c r="B164" s="64" t="s">
        <v>155</v>
      </c>
      <c r="C164" s="65" t="s">
        <v>156</v>
      </c>
      <c r="D164" s="40">
        <v>31</v>
      </c>
      <c r="E164" s="40" t="s">
        <v>20</v>
      </c>
      <c r="F164" s="98">
        <f t="shared" si="23"/>
        <v>190.39999999999998</v>
      </c>
      <c r="G164" s="37">
        <f t="shared" si="24"/>
        <v>5902.4</v>
      </c>
      <c r="J164"/>
      <c r="K164"/>
      <c r="L164"/>
      <c r="M164"/>
      <c r="N164" s="87">
        <v>160</v>
      </c>
      <c r="O164" s="87">
        <f t="shared" si="25"/>
        <v>1.19</v>
      </c>
      <c r="P164" s="87">
        <f t="shared" si="26"/>
        <v>190.39999999999998</v>
      </c>
    </row>
    <row r="165" spans="1:16" s="41" customFormat="1" x14ac:dyDescent="0.3">
      <c r="A165" s="36">
        <v>5</v>
      </c>
      <c r="B165" s="64" t="s">
        <v>157</v>
      </c>
      <c r="C165" s="65" t="s">
        <v>158</v>
      </c>
      <c r="D165" s="40">
        <v>31</v>
      </c>
      <c r="E165" s="40" t="s">
        <v>20</v>
      </c>
      <c r="F165" s="98">
        <f t="shared" si="23"/>
        <v>261.8</v>
      </c>
      <c r="G165" s="37">
        <f t="shared" si="24"/>
        <v>8115.8</v>
      </c>
      <c r="J165"/>
      <c r="K165"/>
      <c r="L165"/>
      <c r="M165"/>
      <c r="N165" s="87">
        <v>220</v>
      </c>
      <c r="O165" s="87">
        <f t="shared" si="25"/>
        <v>1.19</v>
      </c>
      <c r="P165" s="87">
        <f t="shared" si="26"/>
        <v>261.8</v>
      </c>
    </row>
    <row r="166" spans="1:16" s="41" customFormat="1" x14ac:dyDescent="0.3">
      <c r="A166" s="36">
        <v>6</v>
      </c>
      <c r="B166" s="64" t="s">
        <v>159</v>
      </c>
      <c r="C166" s="65" t="s">
        <v>160</v>
      </c>
      <c r="D166" s="40">
        <v>31</v>
      </c>
      <c r="E166" s="40" t="s">
        <v>20</v>
      </c>
      <c r="F166" s="98">
        <f t="shared" si="23"/>
        <v>178.5</v>
      </c>
      <c r="G166" s="37">
        <f t="shared" si="24"/>
        <v>5533.5</v>
      </c>
      <c r="J166"/>
      <c r="K166"/>
      <c r="L166"/>
      <c r="M166"/>
      <c r="N166" s="87">
        <v>150</v>
      </c>
      <c r="O166" s="87">
        <f t="shared" si="25"/>
        <v>1.19</v>
      </c>
      <c r="P166" s="87">
        <f t="shared" si="26"/>
        <v>178.5</v>
      </c>
    </row>
    <row r="167" spans="1:16" s="41" customFormat="1" x14ac:dyDescent="0.3">
      <c r="A167" s="36">
        <v>7</v>
      </c>
      <c r="B167" s="64" t="s">
        <v>161</v>
      </c>
      <c r="C167" s="65" t="s">
        <v>162</v>
      </c>
      <c r="D167" s="40">
        <v>31</v>
      </c>
      <c r="E167" s="40" t="s">
        <v>20</v>
      </c>
      <c r="F167" s="98">
        <f t="shared" si="23"/>
        <v>71.399999999999991</v>
      </c>
      <c r="G167" s="37">
        <f t="shared" si="24"/>
        <v>2213.3999999999996</v>
      </c>
      <c r="J167"/>
      <c r="K167"/>
      <c r="L167"/>
      <c r="M167"/>
      <c r="N167" s="87">
        <v>60</v>
      </c>
      <c r="O167" s="87">
        <f t="shared" si="25"/>
        <v>1.19</v>
      </c>
      <c r="P167" s="87">
        <f t="shared" si="26"/>
        <v>71.399999999999991</v>
      </c>
    </row>
    <row r="168" spans="1:16" s="41" customFormat="1" x14ac:dyDescent="0.3">
      <c r="A168" s="36">
        <v>8</v>
      </c>
      <c r="B168" s="64" t="s">
        <v>163</v>
      </c>
      <c r="C168" s="65" t="s">
        <v>164</v>
      </c>
      <c r="D168" s="40">
        <v>1</v>
      </c>
      <c r="E168" s="40" t="s">
        <v>20</v>
      </c>
      <c r="F168" s="98">
        <f t="shared" si="23"/>
        <v>1023.4</v>
      </c>
      <c r="G168" s="37">
        <f t="shared" si="24"/>
        <v>1023.4</v>
      </c>
      <c r="J168"/>
      <c r="K168"/>
      <c r="L168"/>
      <c r="M168"/>
      <c r="N168" s="87">
        <v>860</v>
      </c>
      <c r="O168" s="87">
        <f t="shared" si="25"/>
        <v>1.19</v>
      </c>
      <c r="P168" s="87">
        <f t="shared" si="26"/>
        <v>1023.4</v>
      </c>
    </row>
    <row r="169" spans="1:16" s="41" customFormat="1" x14ac:dyDescent="0.3">
      <c r="A169" s="36">
        <v>9</v>
      </c>
      <c r="B169" s="64" t="s">
        <v>165</v>
      </c>
      <c r="C169" s="65" t="s">
        <v>166</v>
      </c>
      <c r="D169" s="40">
        <v>1</v>
      </c>
      <c r="E169" s="40" t="s">
        <v>20</v>
      </c>
      <c r="F169" s="98">
        <f t="shared" si="23"/>
        <v>7735</v>
      </c>
      <c r="G169" s="37">
        <f t="shared" si="24"/>
        <v>7735</v>
      </c>
      <c r="J169"/>
      <c r="K169"/>
      <c r="L169"/>
      <c r="M169"/>
      <c r="N169" s="87">
        <v>6500</v>
      </c>
      <c r="O169" s="87">
        <f t="shared" si="25"/>
        <v>1.19</v>
      </c>
      <c r="P169" s="87">
        <f t="shared" si="26"/>
        <v>7735</v>
      </c>
    </row>
    <row r="170" spans="1:16" s="41" customFormat="1" x14ac:dyDescent="0.3">
      <c r="A170" s="36">
        <v>10</v>
      </c>
      <c r="B170" s="64"/>
      <c r="C170" s="65" t="s">
        <v>167</v>
      </c>
      <c r="D170" s="40">
        <v>1</v>
      </c>
      <c r="E170" s="40" t="s">
        <v>85</v>
      </c>
      <c r="F170" s="98">
        <f t="shared" si="23"/>
        <v>1130.5</v>
      </c>
      <c r="G170" s="37">
        <f t="shared" si="24"/>
        <v>1130.5</v>
      </c>
      <c r="J170"/>
      <c r="K170"/>
      <c r="L170"/>
      <c r="M170"/>
      <c r="N170" s="87">
        <v>950</v>
      </c>
      <c r="O170" s="87">
        <f t="shared" si="25"/>
        <v>1.19</v>
      </c>
      <c r="P170" s="87">
        <f t="shared" si="26"/>
        <v>1130.5</v>
      </c>
    </row>
    <row r="171" spans="1:16" s="41" customFormat="1" x14ac:dyDescent="0.3">
      <c r="A171" s="36">
        <v>11</v>
      </c>
      <c r="B171" s="36"/>
      <c r="C171" s="44" t="s">
        <v>168</v>
      </c>
      <c r="D171" s="40">
        <v>1</v>
      </c>
      <c r="E171" s="40" t="s">
        <v>85</v>
      </c>
      <c r="F171" s="98">
        <f t="shared" si="23"/>
        <v>1975.3999999999999</v>
      </c>
      <c r="G171" s="37">
        <f t="shared" si="24"/>
        <v>1975.3999999999999</v>
      </c>
      <c r="J171"/>
      <c r="K171"/>
      <c r="L171"/>
      <c r="M171"/>
      <c r="N171" s="87">
        <v>1660</v>
      </c>
      <c r="O171" s="87">
        <f t="shared" si="25"/>
        <v>1.19</v>
      </c>
      <c r="P171" s="87">
        <f t="shared" si="26"/>
        <v>1975.3999999999999</v>
      </c>
    </row>
    <row r="172" spans="1:16" s="41" customFormat="1" x14ac:dyDescent="0.3">
      <c r="A172" s="36">
        <v>12</v>
      </c>
      <c r="B172" s="36" t="s">
        <v>122</v>
      </c>
      <c r="C172" s="44" t="s">
        <v>133</v>
      </c>
      <c r="D172" s="40">
        <v>2</v>
      </c>
      <c r="E172" s="40" t="s">
        <v>20</v>
      </c>
      <c r="F172" s="98">
        <f t="shared" si="23"/>
        <v>1011.5</v>
      </c>
      <c r="G172" s="37">
        <f t="shared" si="24"/>
        <v>2023</v>
      </c>
      <c r="J172"/>
      <c r="K172"/>
      <c r="L172"/>
      <c r="M172"/>
      <c r="N172" s="87">
        <v>850</v>
      </c>
      <c r="O172" s="87">
        <f t="shared" si="25"/>
        <v>1.19</v>
      </c>
      <c r="P172" s="87">
        <f t="shared" si="26"/>
        <v>1011.5</v>
      </c>
    </row>
    <row r="173" spans="1:16" s="41" customFormat="1" x14ac:dyDescent="0.3">
      <c r="A173" s="36">
        <v>13</v>
      </c>
      <c r="B173" s="66" t="s">
        <v>169</v>
      </c>
      <c r="C173" s="47" t="s">
        <v>170</v>
      </c>
      <c r="D173" s="40">
        <v>2</v>
      </c>
      <c r="E173" s="40" t="s">
        <v>20</v>
      </c>
      <c r="F173" s="98">
        <f t="shared" si="23"/>
        <v>535.5</v>
      </c>
      <c r="G173" s="37">
        <f t="shared" si="24"/>
        <v>1071</v>
      </c>
      <c r="J173"/>
      <c r="K173"/>
      <c r="L173"/>
      <c r="M173"/>
      <c r="N173" s="87">
        <v>450</v>
      </c>
      <c r="O173" s="87">
        <f t="shared" si="25"/>
        <v>1.19</v>
      </c>
      <c r="P173" s="87">
        <f t="shared" si="26"/>
        <v>535.5</v>
      </c>
    </row>
    <row r="174" spans="1:16" s="41" customFormat="1" x14ac:dyDescent="0.3">
      <c r="A174" s="36">
        <v>14</v>
      </c>
      <c r="B174" s="67" t="s">
        <v>171</v>
      </c>
      <c r="C174" s="68" t="s">
        <v>172</v>
      </c>
      <c r="D174" s="40">
        <v>2</v>
      </c>
      <c r="E174" s="40" t="s">
        <v>173</v>
      </c>
      <c r="F174" s="98">
        <f t="shared" si="23"/>
        <v>1309</v>
      </c>
      <c r="G174" s="37">
        <f t="shared" si="24"/>
        <v>2618</v>
      </c>
      <c r="J174"/>
      <c r="K174"/>
      <c r="L174"/>
      <c r="M174"/>
      <c r="N174" s="87">
        <v>1100</v>
      </c>
      <c r="O174" s="87">
        <f t="shared" si="25"/>
        <v>1.19</v>
      </c>
      <c r="P174" s="87">
        <f t="shared" si="26"/>
        <v>1309</v>
      </c>
    </row>
    <row r="175" spans="1:16" ht="14.15" x14ac:dyDescent="0.35">
      <c r="A175" s="14"/>
      <c r="B175" s="14"/>
      <c r="C175" s="24" t="s">
        <v>0</v>
      </c>
      <c r="D175" s="78"/>
      <c r="E175" s="25"/>
      <c r="F175" s="99"/>
      <c r="G175" s="26">
        <f>SUM(G161:G174)</f>
        <v>56620.200000000004</v>
      </c>
    </row>
    <row r="176" spans="1:16" x14ac:dyDescent="0.3">
      <c r="B176" s="1"/>
      <c r="C176" s="13" t="s">
        <v>15</v>
      </c>
      <c r="D176" s="36"/>
      <c r="E176" s="16"/>
      <c r="G176" s="15">
        <f>0.21*G175</f>
        <v>11890.242</v>
      </c>
    </row>
    <row r="178" spans="1:16" ht="15.45" x14ac:dyDescent="0.4">
      <c r="C178" s="5" t="s">
        <v>174</v>
      </c>
    </row>
    <row r="179" spans="1:16" x14ac:dyDescent="0.3">
      <c r="A179" s="20" t="s">
        <v>5</v>
      </c>
      <c r="B179" s="20" t="s">
        <v>6</v>
      </c>
      <c r="C179" s="20" t="s">
        <v>7</v>
      </c>
      <c r="D179" s="77"/>
      <c r="E179" s="21" t="s">
        <v>8</v>
      </c>
      <c r="F179" s="97" t="s">
        <v>9</v>
      </c>
      <c r="G179" s="21" t="s">
        <v>0</v>
      </c>
    </row>
    <row r="180" spans="1:16" s="41" customFormat="1" x14ac:dyDescent="0.3">
      <c r="A180" s="40">
        <v>1</v>
      </c>
      <c r="B180" s="69" t="s">
        <v>465</v>
      </c>
      <c r="C180" s="69" t="s">
        <v>466</v>
      </c>
      <c r="D180" s="40">
        <v>11</v>
      </c>
      <c r="E180" s="40" t="s">
        <v>20</v>
      </c>
      <c r="F180" s="98">
        <f t="shared" ref="F180:F189" si="27">L180+P180</f>
        <v>10570.77</v>
      </c>
      <c r="G180" s="37">
        <f t="shared" ref="G180:G182" si="28">D180*F180</f>
        <v>116278.47</v>
      </c>
      <c r="J180" s="85">
        <v>8883</v>
      </c>
      <c r="K180" s="85">
        <f t="shared" si="20"/>
        <v>1.19</v>
      </c>
      <c r="L180" s="85">
        <f t="shared" si="21"/>
        <v>10570.77</v>
      </c>
      <c r="M180"/>
      <c r="N180"/>
      <c r="O180"/>
      <c r="P180"/>
    </row>
    <row r="181" spans="1:16" s="70" customFormat="1" ht="23.15" x14ac:dyDescent="0.3">
      <c r="A181" s="40">
        <v>2</v>
      </c>
      <c r="B181" s="69" t="s">
        <v>467</v>
      </c>
      <c r="C181" s="69" t="s">
        <v>468</v>
      </c>
      <c r="D181" s="40">
        <v>1</v>
      </c>
      <c r="E181" s="40" t="s">
        <v>20</v>
      </c>
      <c r="F181" s="98">
        <f t="shared" si="27"/>
        <v>10098.34</v>
      </c>
      <c r="G181" s="37">
        <f t="shared" si="28"/>
        <v>10098.34</v>
      </c>
      <c r="J181" s="85">
        <v>8486</v>
      </c>
      <c r="K181" s="85">
        <f t="shared" si="20"/>
        <v>1.19</v>
      </c>
      <c r="L181" s="85">
        <f t="shared" si="21"/>
        <v>10098.34</v>
      </c>
      <c r="M181"/>
      <c r="N181"/>
      <c r="O181"/>
      <c r="P181"/>
    </row>
    <row r="182" spans="1:16" s="70" customFormat="1" x14ac:dyDescent="0.3">
      <c r="A182" s="40">
        <v>3</v>
      </c>
      <c r="B182" s="69" t="s">
        <v>469</v>
      </c>
      <c r="C182" s="69" t="s">
        <v>470</v>
      </c>
      <c r="D182" s="40">
        <v>19</v>
      </c>
      <c r="E182" s="40" t="s">
        <v>20</v>
      </c>
      <c r="F182" s="98">
        <f t="shared" si="27"/>
        <v>5039.6499999999996</v>
      </c>
      <c r="G182" s="37">
        <f t="shared" si="28"/>
        <v>95753.349999999991</v>
      </c>
      <c r="J182" s="85">
        <v>4235</v>
      </c>
      <c r="K182" s="85">
        <f t="shared" si="20"/>
        <v>1.19</v>
      </c>
      <c r="L182" s="85">
        <f t="shared" si="21"/>
        <v>5039.6499999999996</v>
      </c>
      <c r="M182"/>
      <c r="N182"/>
      <c r="O182"/>
      <c r="P182"/>
    </row>
    <row r="183" spans="1:16" s="70" customFormat="1" x14ac:dyDescent="0.3">
      <c r="A183" s="40">
        <v>4</v>
      </c>
      <c r="B183" s="69" t="s">
        <v>471</v>
      </c>
      <c r="C183" s="69" t="s">
        <v>472</v>
      </c>
      <c r="D183" s="40">
        <v>1</v>
      </c>
      <c r="E183" s="40" t="s">
        <v>20</v>
      </c>
      <c r="F183" s="98">
        <f t="shared" si="27"/>
        <v>43653.96</v>
      </c>
      <c r="G183" s="37">
        <f>D183*F183</f>
        <v>43653.96</v>
      </c>
      <c r="J183" s="85">
        <v>36684</v>
      </c>
      <c r="K183" s="85">
        <f t="shared" si="20"/>
        <v>1.19</v>
      </c>
      <c r="L183" s="85">
        <f t="shared" si="21"/>
        <v>43653.96</v>
      </c>
      <c r="M183"/>
      <c r="N183"/>
      <c r="O183"/>
      <c r="P183"/>
    </row>
    <row r="184" spans="1:16" s="41" customFormat="1" x14ac:dyDescent="0.3">
      <c r="A184" s="36">
        <v>5</v>
      </c>
      <c r="B184" s="71" t="s">
        <v>288</v>
      </c>
      <c r="C184" s="69" t="s">
        <v>289</v>
      </c>
      <c r="D184" s="40">
        <v>8</v>
      </c>
      <c r="E184" s="40" t="s">
        <v>20</v>
      </c>
      <c r="F184" s="98">
        <f t="shared" si="27"/>
        <v>2737</v>
      </c>
      <c r="G184" s="37">
        <f t="shared" ref="G184:G189" si="29">D184*F184</f>
        <v>21896</v>
      </c>
      <c r="J184" s="85">
        <v>2300</v>
      </c>
      <c r="K184" s="85">
        <f t="shared" si="20"/>
        <v>1.19</v>
      </c>
      <c r="L184" s="85">
        <f t="shared" si="21"/>
        <v>2737</v>
      </c>
      <c r="M184"/>
      <c r="N184"/>
      <c r="O184"/>
      <c r="P184"/>
    </row>
    <row r="185" spans="1:16" s="41" customFormat="1" ht="23.15" x14ac:dyDescent="0.3">
      <c r="A185" s="36">
        <v>7</v>
      </c>
      <c r="B185" s="72" t="s">
        <v>473</v>
      </c>
      <c r="C185" s="72" t="s">
        <v>518</v>
      </c>
      <c r="D185" s="40">
        <v>1</v>
      </c>
      <c r="E185" s="40" t="s">
        <v>20</v>
      </c>
      <c r="F185" s="98">
        <f t="shared" si="27"/>
        <v>25406.5</v>
      </c>
      <c r="G185" s="37">
        <f t="shared" si="29"/>
        <v>25406.5</v>
      </c>
      <c r="J185" s="85">
        <v>21350</v>
      </c>
      <c r="K185" s="85">
        <f t="shared" si="20"/>
        <v>1.19</v>
      </c>
      <c r="L185" s="85">
        <f t="shared" si="21"/>
        <v>25406.5</v>
      </c>
      <c r="M185"/>
      <c r="N185"/>
      <c r="O185"/>
      <c r="P185"/>
    </row>
    <row r="186" spans="1:16" s="41" customFormat="1" x14ac:dyDescent="0.3">
      <c r="A186" s="36">
        <v>8</v>
      </c>
      <c r="B186" s="72" t="s">
        <v>474</v>
      </c>
      <c r="C186" s="72" t="s">
        <v>519</v>
      </c>
      <c r="D186" s="40">
        <v>1</v>
      </c>
      <c r="E186" s="73" t="s">
        <v>20</v>
      </c>
      <c r="F186" s="98">
        <f t="shared" si="27"/>
        <v>8151.5</v>
      </c>
      <c r="G186" s="37">
        <f t="shared" si="29"/>
        <v>8151.5</v>
      </c>
      <c r="J186" s="85">
        <v>6850</v>
      </c>
      <c r="K186" s="85">
        <f t="shared" si="20"/>
        <v>1.19</v>
      </c>
      <c r="L186" s="85">
        <f t="shared" si="21"/>
        <v>8151.5</v>
      </c>
      <c r="M186"/>
      <c r="N186"/>
      <c r="O186"/>
      <c r="P186"/>
    </row>
    <row r="187" spans="1:16" s="41" customFormat="1" x14ac:dyDescent="0.3">
      <c r="A187" s="36">
        <v>10</v>
      </c>
      <c r="B187" s="72" t="s">
        <v>516</v>
      </c>
      <c r="C187" s="72" t="s">
        <v>517</v>
      </c>
      <c r="D187" s="40">
        <v>2</v>
      </c>
      <c r="E187" s="40" t="s">
        <v>20</v>
      </c>
      <c r="F187" s="98">
        <f t="shared" si="27"/>
        <v>1309</v>
      </c>
      <c r="G187" s="37">
        <f t="shared" si="29"/>
        <v>2618</v>
      </c>
      <c r="J187" s="85">
        <v>1100</v>
      </c>
      <c r="K187" s="85">
        <f t="shared" si="20"/>
        <v>1.19</v>
      </c>
      <c r="L187" s="85">
        <f t="shared" si="21"/>
        <v>1309</v>
      </c>
      <c r="M187"/>
      <c r="N187"/>
      <c r="O187"/>
      <c r="P187"/>
    </row>
    <row r="188" spans="1:16" s="41" customFormat="1" x14ac:dyDescent="0.3">
      <c r="A188" s="36">
        <v>11</v>
      </c>
      <c r="B188" s="66" t="s">
        <v>175</v>
      </c>
      <c r="C188" s="47" t="s">
        <v>176</v>
      </c>
      <c r="D188" s="40">
        <v>1</v>
      </c>
      <c r="E188" s="40" t="s">
        <v>20</v>
      </c>
      <c r="F188" s="98">
        <f t="shared" si="27"/>
        <v>17627.469999999998</v>
      </c>
      <c r="G188" s="37">
        <f t="shared" si="29"/>
        <v>17627.469999999998</v>
      </c>
      <c r="J188" s="85">
        <v>14813</v>
      </c>
      <c r="K188" s="85">
        <f t="shared" si="20"/>
        <v>1.19</v>
      </c>
      <c r="L188" s="85">
        <f t="shared" si="21"/>
        <v>17627.469999999998</v>
      </c>
      <c r="M188"/>
      <c r="N188"/>
      <c r="O188"/>
      <c r="P188"/>
    </row>
    <row r="189" spans="1:16" s="41" customFormat="1" x14ac:dyDescent="0.3">
      <c r="A189" s="36">
        <v>12</v>
      </c>
      <c r="B189" s="74" t="s">
        <v>358</v>
      </c>
      <c r="C189" s="75" t="s">
        <v>359</v>
      </c>
      <c r="D189" s="40">
        <v>1</v>
      </c>
      <c r="E189" s="40" t="s">
        <v>20</v>
      </c>
      <c r="F189" s="98">
        <f t="shared" si="27"/>
        <v>10852.8</v>
      </c>
      <c r="G189" s="37">
        <f t="shared" si="29"/>
        <v>10852.8</v>
      </c>
      <c r="J189" s="85">
        <v>9120</v>
      </c>
      <c r="K189" s="85">
        <f t="shared" si="20"/>
        <v>1.19</v>
      </c>
      <c r="L189" s="85">
        <f t="shared" si="21"/>
        <v>10852.8</v>
      </c>
      <c r="M189"/>
      <c r="N189"/>
      <c r="O189"/>
      <c r="P189"/>
    </row>
    <row r="190" spans="1:16" ht="14.15" x14ac:dyDescent="0.35">
      <c r="A190" s="14"/>
      <c r="B190" s="14"/>
      <c r="C190" s="24" t="s">
        <v>0</v>
      </c>
      <c r="D190" s="78"/>
      <c r="E190" s="25"/>
      <c r="F190" s="99"/>
      <c r="G190" s="26">
        <f>SUM(G180:G189)</f>
        <v>352336.38999999996</v>
      </c>
    </row>
    <row r="191" spans="1:16" x14ac:dyDescent="0.3">
      <c r="B191" s="1"/>
      <c r="C191" s="13" t="s">
        <v>15</v>
      </c>
      <c r="D191" s="36"/>
      <c r="E191" s="16"/>
      <c r="G191" s="15">
        <f>0.21*G190</f>
        <v>73990.641899999988</v>
      </c>
    </row>
    <row r="193" spans="1:16" ht="15.45" x14ac:dyDescent="0.4">
      <c r="C193" s="5" t="s">
        <v>177</v>
      </c>
    </row>
    <row r="194" spans="1:16" x14ac:dyDescent="0.3">
      <c r="A194" s="20" t="s">
        <v>5</v>
      </c>
      <c r="B194" s="20" t="s">
        <v>6</v>
      </c>
      <c r="C194" s="20" t="s">
        <v>7</v>
      </c>
      <c r="D194" s="77"/>
      <c r="E194" s="21" t="s">
        <v>8</v>
      </c>
      <c r="F194" s="97" t="s">
        <v>9</v>
      </c>
      <c r="G194" s="21" t="s">
        <v>0</v>
      </c>
    </row>
    <row r="195" spans="1:16" s="41" customFormat="1" x14ac:dyDescent="0.3">
      <c r="A195" s="36">
        <v>1</v>
      </c>
      <c r="B195" s="36" t="s">
        <v>178</v>
      </c>
      <c r="C195" s="44" t="s">
        <v>179</v>
      </c>
      <c r="D195" s="40">
        <v>1</v>
      </c>
      <c r="E195" s="40" t="s">
        <v>20</v>
      </c>
      <c r="F195" s="98">
        <f t="shared" ref="F195:F253" si="30">L195+P195</f>
        <v>3570</v>
      </c>
      <c r="G195" s="37">
        <f t="shared" ref="G195:G204" si="31">D195*F195</f>
        <v>3570</v>
      </c>
      <c r="I195"/>
      <c r="J195"/>
      <c r="K195"/>
      <c r="L195"/>
      <c r="M195"/>
      <c r="N195" s="87">
        <v>3000</v>
      </c>
      <c r="O195" s="87">
        <f t="shared" si="25"/>
        <v>1.19</v>
      </c>
      <c r="P195" s="87">
        <f t="shared" si="26"/>
        <v>3570</v>
      </c>
    </row>
    <row r="196" spans="1:16" s="41" customFormat="1" x14ac:dyDescent="0.3">
      <c r="A196" s="36">
        <v>2</v>
      </c>
      <c r="B196" s="36" t="s">
        <v>180</v>
      </c>
      <c r="C196" s="44" t="s">
        <v>181</v>
      </c>
      <c r="D196" s="40">
        <v>2</v>
      </c>
      <c r="E196" s="40" t="s">
        <v>20</v>
      </c>
      <c r="F196" s="98">
        <f t="shared" si="30"/>
        <v>71.399999999999991</v>
      </c>
      <c r="G196" s="37">
        <f t="shared" si="31"/>
        <v>142.79999999999998</v>
      </c>
      <c r="I196"/>
      <c r="J196"/>
      <c r="K196"/>
      <c r="L196"/>
      <c r="M196"/>
      <c r="N196" s="87">
        <v>60</v>
      </c>
      <c r="O196" s="87">
        <f t="shared" ref="O196:O253" si="32">$O$1</f>
        <v>1.19</v>
      </c>
      <c r="P196" s="87">
        <f t="shared" si="26"/>
        <v>71.399999999999991</v>
      </c>
    </row>
    <row r="197" spans="1:16" s="41" customFormat="1" x14ac:dyDescent="0.3">
      <c r="A197" s="36">
        <v>3</v>
      </c>
      <c r="B197" s="36" t="s">
        <v>182</v>
      </c>
      <c r="C197" s="44" t="s">
        <v>183</v>
      </c>
      <c r="D197" s="40">
        <v>1</v>
      </c>
      <c r="E197" s="40" t="s">
        <v>20</v>
      </c>
      <c r="F197" s="98">
        <f t="shared" si="30"/>
        <v>178.5</v>
      </c>
      <c r="G197" s="37">
        <f t="shared" si="31"/>
        <v>178.5</v>
      </c>
      <c r="I197"/>
      <c r="J197"/>
      <c r="K197"/>
      <c r="L197"/>
      <c r="M197"/>
      <c r="N197" s="87">
        <v>150</v>
      </c>
      <c r="O197" s="87">
        <f t="shared" si="32"/>
        <v>1.19</v>
      </c>
      <c r="P197" s="87">
        <f t="shared" si="26"/>
        <v>178.5</v>
      </c>
    </row>
    <row r="198" spans="1:16" s="41" customFormat="1" x14ac:dyDescent="0.3">
      <c r="A198" s="36">
        <v>4</v>
      </c>
      <c r="B198" s="36" t="s">
        <v>184</v>
      </c>
      <c r="C198" s="44" t="s">
        <v>185</v>
      </c>
      <c r="D198" s="40">
        <v>1</v>
      </c>
      <c r="E198" s="40" t="s">
        <v>20</v>
      </c>
      <c r="F198" s="98">
        <f t="shared" si="30"/>
        <v>95.199999999999989</v>
      </c>
      <c r="G198" s="37">
        <f t="shared" si="31"/>
        <v>95.199999999999989</v>
      </c>
      <c r="I198"/>
      <c r="J198"/>
      <c r="K198"/>
      <c r="L198"/>
      <c r="M198"/>
      <c r="N198" s="87">
        <v>80</v>
      </c>
      <c r="O198" s="87">
        <f t="shared" si="32"/>
        <v>1.19</v>
      </c>
      <c r="P198" s="87">
        <f t="shared" si="26"/>
        <v>95.199999999999989</v>
      </c>
    </row>
    <row r="199" spans="1:16" s="41" customFormat="1" x14ac:dyDescent="0.3">
      <c r="A199" s="36">
        <v>5</v>
      </c>
      <c r="B199" s="36"/>
      <c r="C199" s="44" t="s">
        <v>186</v>
      </c>
      <c r="D199" s="40">
        <v>1</v>
      </c>
      <c r="E199" s="40" t="s">
        <v>20</v>
      </c>
      <c r="F199" s="98">
        <f t="shared" si="30"/>
        <v>71.399999999999991</v>
      </c>
      <c r="G199" s="37">
        <f t="shared" si="31"/>
        <v>71.399999999999991</v>
      </c>
      <c r="I199"/>
      <c r="J199"/>
      <c r="K199"/>
      <c r="L199"/>
      <c r="M199"/>
      <c r="N199" s="87">
        <v>60</v>
      </c>
      <c r="O199" s="87">
        <f t="shared" si="32"/>
        <v>1.19</v>
      </c>
      <c r="P199" s="87">
        <f t="shared" si="26"/>
        <v>71.399999999999991</v>
      </c>
    </row>
    <row r="200" spans="1:16" s="41" customFormat="1" x14ac:dyDescent="0.3">
      <c r="A200" s="36">
        <v>6</v>
      </c>
      <c r="B200" s="36" t="s">
        <v>187</v>
      </c>
      <c r="C200" s="44" t="s">
        <v>188</v>
      </c>
      <c r="D200" s="40">
        <v>1</v>
      </c>
      <c r="E200" s="40" t="s">
        <v>20</v>
      </c>
      <c r="F200" s="98">
        <f t="shared" si="30"/>
        <v>5712</v>
      </c>
      <c r="G200" s="37">
        <f t="shared" si="31"/>
        <v>5712</v>
      </c>
      <c r="I200"/>
      <c r="J200"/>
      <c r="K200"/>
      <c r="L200"/>
      <c r="M200"/>
      <c r="N200" s="87">
        <v>4800</v>
      </c>
      <c r="O200" s="87">
        <f t="shared" si="32"/>
        <v>1.19</v>
      </c>
      <c r="P200" s="87">
        <f t="shared" si="26"/>
        <v>5712</v>
      </c>
    </row>
    <row r="201" spans="1:16" s="41" customFormat="1" x14ac:dyDescent="0.3">
      <c r="A201" s="36">
        <v>7</v>
      </c>
      <c r="B201" s="36" t="s">
        <v>189</v>
      </c>
      <c r="C201" s="44" t="s">
        <v>331</v>
      </c>
      <c r="D201" s="40">
        <v>1</v>
      </c>
      <c r="E201" s="40" t="s">
        <v>20</v>
      </c>
      <c r="F201" s="98">
        <f t="shared" si="30"/>
        <v>3332</v>
      </c>
      <c r="G201" s="37">
        <f t="shared" si="31"/>
        <v>3332</v>
      </c>
      <c r="I201"/>
      <c r="J201"/>
      <c r="K201"/>
      <c r="L201"/>
      <c r="M201"/>
      <c r="N201" s="87">
        <v>2800</v>
      </c>
      <c r="O201" s="87">
        <f t="shared" si="32"/>
        <v>1.19</v>
      </c>
      <c r="P201" s="87">
        <f t="shared" si="26"/>
        <v>3332</v>
      </c>
    </row>
    <row r="202" spans="1:16" s="41" customFormat="1" x14ac:dyDescent="0.3">
      <c r="A202" s="36">
        <v>8</v>
      </c>
      <c r="B202" s="36"/>
      <c r="C202" s="44" t="s">
        <v>190</v>
      </c>
      <c r="D202" s="40">
        <v>2</v>
      </c>
      <c r="E202" s="40" t="s">
        <v>20</v>
      </c>
      <c r="F202" s="98">
        <f t="shared" si="30"/>
        <v>499.79999999999995</v>
      </c>
      <c r="G202" s="37">
        <f t="shared" si="31"/>
        <v>999.59999999999991</v>
      </c>
      <c r="I202"/>
      <c r="J202"/>
      <c r="K202"/>
      <c r="L202"/>
      <c r="M202"/>
      <c r="N202" s="87">
        <v>420</v>
      </c>
      <c r="O202" s="87">
        <f t="shared" si="32"/>
        <v>1.19</v>
      </c>
      <c r="P202" s="87">
        <f t="shared" ref="P202:P253" si="33">O202*N202</f>
        <v>499.79999999999995</v>
      </c>
    </row>
    <row r="203" spans="1:16" s="41" customFormat="1" x14ac:dyDescent="0.3">
      <c r="A203" s="36">
        <v>9</v>
      </c>
      <c r="B203" s="36" t="s">
        <v>191</v>
      </c>
      <c r="C203" s="44" t="s">
        <v>192</v>
      </c>
      <c r="D203" s="40">
        <v>6</v>
      </c>
      <c r="E203" s="40" t="s">
        <v>20</v>
      </c>
      <c r="F203" s="98">
        <f t="shared" si="30"/>
        <v>547.4</v>
      </c>
      <c r="G203" s="37">
        <f t="shared" si="31"/>
        <v>3284.3999999999996</v>
      </c>
      <c r="I203"/>
      <c r="J203"/>
      <c r="K203"/>
      <c r="L203"/>
      <c r="M203"/>
      <c r="N203" s="87">
        <v>460</v>
      </c>
      <c r="O203" s="87">
        <f t="shared" si="32"/>
        <v>1.19</v>
      </c>
      <c r="P203" s="87">
        <f t="shared" si="33"/>
        <v>547.4</v>
      </c>
    </row>
    <row r="204" spans="1:16" s="41" customFormat="1" x14ac:dyDescent="0.3">
      <c r="A204" s="36">
        <v>10</v>
      </c>
      <c r="B204" s="36" t="s">
        <v>193</v>
      </c>
      <c r="C204" s="44" t="s">
        <v>194</v>
      </c>
      <c r="D204" s="40">
        <v>6</v>
      </c>
      <c r="E204" s="40" t="s">
        <v>20</v>
      </c>
      <c r="F204" s="98">
        <f t="shared" si="30"/>
        <v>357</v>
      </c>
      <c r="G204" s="37">
        <f t="shared" si="31"/>
        <v>2142</v>
      </c>
      <c r="I204"/>
      <c r="J204"/>
      <c r="K204"/>
      <c r="L204"/>
      <c r="M204"/>
      <c r="N204" s="87">
        <v>300</v>
      </c>
      <c r="O204" s="87">
        <f t="shared" si="32"/>
        <v>1.19</v>
      </c>
      <c r="P204" s="87">
        <f t="shared" si="33"/>
        <v>357</v>
      </c>
    </row>
    <row r="205" spans="1:16" s="41" customFormat="1" x14ac:dyDescent="0.3">
      <c r="A205" s="36">
        <v>11</v>
      </c>
      <c r="B205" s="36" t="s">
        <v>184</v>
      </c>
      <c r="C205" s="44" t="s">
        <v>195</v>
      </c>
      <c r="D205" s="40">
        <v>11</v>
      </c>
      <c r="E205" s="40" t="s">
        <v>20</v>
      </c>
      <c r="F205" s="98">
        <f t="shared" si="30"/>
        <v>95.199999999999989</v>
      </c>
      <c r="G205" s="37">
        <f t="shared" ref="G205:G252" si="34">D205*F205</f>
        <v>1047.1999999999998</v>
      </c>
      <c r="I205"/>
      <c r="J205"/>
      <c r="K205"/>
      <c r="L205"/>
      <c r="M205"/>
      <c r="N205" s="87">
        <v>80</v>
      </c>
      <c r="O205" s="87">
        <f t="shared" si="32"/>
        <v>1.19</v>
      </c>
      <c r="P205" s="87">
        <f t="shared" si="33"/>
        <v>95.199999999999989</v>
      </c>
    </row>
    <row r="206" spans="1:16" s="41" customFormat="1" x14ac:dyDescent="0.3">
      <c r="A206" s="36">
        <v>12</v>
      </c>
      <c r="B206" s="36"/>
      <c r="C206" s="44" t="s">
        <v>196</v>
      </c>
      <c r="D206" s="40">
        <v>11</v>
      </c>
      <c r="E206" s="40" t="s">
        <v>20</v>
      </c>
      <c r="F206" s="98">
        <f t="shared" si="30"/>
        <v>71.399999999999991</v>
      </c>
      <c r="G206" s="37">
        <f t="shared" si="34"/>
        <v>785.39999999999986</v>
      </c>
      <c r="I206"/>
      <c r="J206"/>
      <c r="K206"/>
      <c r="L206"/>
      <c r="M206"/>
      <c r="N206" s="87">
        <v>60</v>
      </c>
      <c r="O206" s="87">
        <f t="shared" si="32"/>
        <v>1.19</v>
      </c>
      <c r="P206" s="87">
        <f t="shared" si="33"/>
        <v>71.399999999999991</v>
      </c>
    </row>
    <row r="207" spans="1:16" s="41" customFormat="1" x14ac:dyDescent="0.3">
      <c r="A207" s="36">
        <v>13</v>
      </c>
      <c r="B207" s="36"/>
      <c r="C207" s="44" t="s">
        <v>197</v>
      </c>
      <c r="D207" s="40">
        <v>7</v>
      </c>
      <c r="E207" s="40" t="s">
        <v>20</v>
      </c>
      <c r="F207" s="98">
        <f t="shared" si="30"/>
        <v>178.5</v>
      </c>
      <c r="G207" s="37">
        <f t="shared" si="34"/>
        <v>1249.5</v>
      </c>
      <c r="I207"/>
      <c r="J207"/>
      <c r="K207"/>
      <c r="L207"/>
      <c r="M207"/>
      <c r="N207" s="87">
        <v>150</v>
      </c>
      <c r="O207" s="87">
        <f t="shared" si="32"/>
        <v>1.19</v>
      </c>
      <c r="P207" s="87">
        <f t="shared" si="33"/>
        <v>178.5</v>
      </c>
    </row>
    <row r="208" spans="1:16" s="41" customFormat="1" x14ac:dyDescent="0.3">
      <c r="A208" s="36">
        <v>14</v>
      </c>
      <c r="B208" s="36" t="s">
        <v>198</v>
      </c>
      <c r="C208" s="44" t="s">
        <v>199</v>
      </c>
      <c r="D208" s="40">
        <v>3</v>
      </c>
      <c r="E208" s="40" t="s">
        <v>20</v>
      </c>
      <c r="F208" s="98">
        <f t="shared" si="30"/>
        <v>178.5</v>
      </c>
      <c r="G208" s="37">
        <f t="shared" si="34"/>
        <v>535.5</v>
      </c>
      <c r="I208"/>
      <c r="J208"/>
      <c r="K208"/>
      <c r="L208"/>
      <c r="M208"/>
      <c r="N208" s="87">
        <v>150</v>
      </c>
      <c r="O208" s="87">
        <f t="shared" si="32"/>
        <v>1.19</v>
      </c>
      <c r="P208" s="87">
        <f t="shared" si="33"/>
        <v>178.5</v>
      </c>
    </row>
    <row r="209" spans="1:16" s="41" customFormat="1" x14ac:dyDescent="0.3">
      <c r="A209" s="36">
        <v>15</v>
      </c>
      <c r="B209" s="36"/>
      <c r="C209" s="44" t="s">
        <v>200</v>
      </c>
      <c r="D209" s="40">
        <v>7</v>
      </c>
      <c r="E209" s="40" t="s">
        <v>20</v>
      </c>
      <c r="F209" s="98">
        <f t="shared" si="30"/>
        <v>238</v>
      </c>
      <c r="G209" s="37">
        <f t="shared" si="34"/>
        <v>1666</v>
      </c>
      <c r="I209"/>
      <c r="J209"/>
      <c r="K209"/>
      <c r="L209"/>
      <c r="M209"/>
      <c r="N209" s="87">
        <v>200</v>
      </c>
      <c r="O209" s="87">
        <f t="shared" si="32"/>
        <v>1.19</v>
      </c>
      <c r="P209" s="87">
        <f t="shared" si="33"/>
        <v>238</v>
      </c>
    </row>
    <row r="210" spans="1:16" s="41" customFormat="1" x14ac:dyDescent="0.3">
      <c r="A210" s="36">
        <v>16</v>
      </c>
      <c r="B210" s="36" t="s">
        <v>201</v>
      </c>
      <c r="C210" s="44" t="s">
        <v>202</v>
      </c>
      <c r="D210" s="40">
        <v>3</v>
      </c>
      <c r="E210" s="40" t="s">
        <v>20</v>
      </c>
      <c r="F210" s="98">
        <f t="shared" si="30"/>
        <v>71.399999999999991</v>
      </c>
      <c r="G210" s="37">
        <f t="shared" si="34"/>
        <v>214.2</v>
      </c>
      <c r="I210"/>
      <c r="J210"/>
      <c r="K210"/>
      <c r="L210"/>
      <c r="M210"/>
      <c r="N210" s="87">
        <v>60</v>
      </c>
      <c r="O210" s="87">
        <f t="shared" si="32"/>
        <v>1.19</v>
      </c>
      <c r="P210" s="87">
        <f t="shared" si="33"/>
        <v>71.399999999999991</v>
      </c>
    </row>
    <row r="211" spans="1:16" s="41" customFormat="1" x14ac:dyDescent="0.3">
      <c r="A211" s="36">
        <v>17</v>
      </c>
      <c r="B211" s="36" t="s">
        <v>203</v>
      </c>
      <c r="C211" s="44" t="s">
        <v>295</v>
      </c>
      <c r="D211" s="40">
        <v>10</v>
      </c>
      <c r="E211" s="40" t="s">
        <v>20</v>
      </c>
      <c r="F211" s="98">
        <f t="shared" si="30"/>
        <v>238</v>
      </c>
      <c r="G211" s="37">
        <f t="shared" si="34"/>
        <v>2380</v>
      </c>
      <c r="I211"/>
      <c r="J211"/>
      <c r="K211"/>
      <c r="L211"/>
      <c r="M211"/>
      <c r="N211" s="87">
        <v>200</v>
      </c>
      <c r="O211" s="87">
        <f t="shared" si="32"/>
        <v>1.19</v>
      </c>
      <c r="P211" s="87">
        <f t="shared" si="33"/>
        <v>238</v>
      </c>
    </row>
    <row r="212" spans="1:16" s="41" customFormat="1" x14ac:dyDescent="0.3">
      <c r="A212" s="36">
        <v>18</v>
      </c>
      <c r="B212" s="36"/>
      <c r="C212" s="44" t="s">
        <v>204</v>
      </c>
      <c r="D212" s="40">
        <v>10</v>
      </c>
      <c r="E212" s="40" t="s">
        <v>83</v>
      </c>
      <c r="F212" s="98">
        <f t="shared" si="30"/>
        <v>535.5</v>
      </c>
      <c r="G212" s="37">
        <f t="shared" si="34"/>
        <v>5355</v>
      </c>
      <c r="I212"/>
      <c r="J212"/>
      <c r="K212"/>
      <c r="L212"/>
      <c r="M212"/>
      <c r="N212" s="87">
        <v>450</v>
      </c>
      <c r="O212" s="87">
        <f t="shared" si="32"/>
        <v>1.19</v>
      </c>
      <c r="P212" s="87">
        <f t="shared" si="33"/>
        <v>535.5</v>
      </c>
    </row>
    <row r="213" spans="1:16" s="41" customFormat="1" ht="23.15" x14ac:dyDescent="0.3">
      <c r="A213" s="36">
        <v>19</v>
      </c>
      <c r="B213" s="36"/>
      <c r="C213" s="44" t="s">
        <v>205</v>
      </c>
      <c r="D213" s="40">
        <v>10</v>
      </c>
      <c r="E213" s="40" t="s">
        <v>24</v>
      </c>
      <c r="F213" s="98">
        <f t="shared" si="30"/>
        <v>29.75</v>
      </c>
      <c r="G213" s="37">
        <f t="shared" si="34"/>
        <v>297.5</v>
      </c>
      <c r="I213"/>
      <c r="J213"/>
      <c r="K213"/>
      <c r="L213"/>
      <c r="M213"/>
      <c r="N213" s="87">
        <v>25</v>
      </c>
      <c r="O213" s="87">
        <f t="shared" si="32"/>
        <v>1.19</v>
      </c>
      <c r="P213" s="87">
        <f t="shared" si="33"/>
        <v>29.75</v>
      </c>
    </row>
    <row r="214" spans="1:16" s="41" customFormat="1" x14ac:dyDescent="0.3">
      <c r="A214" s="36">
        <v>20</v>
      </c>
      <c r="B214" s="36"/>
      <c r="C214" s="44" t="s">
        <v>206</v>
      </c>
      <c r="D214" s="40">
        <v>13</v>
      </c>
      <c r="E214" s="40" t="s">
        <v>20</v>
      </c>
      <c r="F214" s="98">
        <f t="shared" si="30"/>
        <v>547.4</v>
      </c>
      <c r="G214" s="37">
        <f t="shared" si="34"/>
        <v>7116.2</v>
      </c>
      <c r="I214"/>
      <c r="J214"/>
      <c r="K214"/>
      <c r="L214"/>
      <c r="M214"/>
      <c r="N214" s="87">
        <v>460</v>
      </c>
      <c r="O214" s="87">
        <f t="shared" si="32"/>
        <v>1.19</v>
      </c>
      <c r="P214" s="87">
        <f t="shared" si="33"/>
        <v>547.4</v>
      </c>
    </row>
    <row r="215" spans="1:16" s="41" customFormat="1" x14ac:dyDescent="0.3">
      <c r="A215" s="36">
        <v>21</v>
      </c>
      <c r="B215" s="36"/>
      <c r="C215" s="44" t="s">
        <v>292</v>
      </c>
      <c r="D215" s="40">
        <v>26</v>
      </c>
      <c r="E215" s="40" t="s">
        <v>20</v>
      </c>
      <c r="F215" s="98">
        <f t="shared" si="30"/>
        <v>595</v>
      </c>
      <c r="G215" s="37">
        <f t="shared" si="34"/>
        <v>15470</v>
      </c>
      <c r="I215"/>
      <c r="J215"/>
      <c r="K215"/>
      <c r="L215"/>
      <c r="M215"/>
      <c r="N215" s="87">
        <v>500</v>
      </c>
      <c r="O215" s="87">
        <f t="shared" si="32"/>
        <v>1.19</v>
      </c>
      <c r="P215" s="87">
        <f t="shared" si="33"/>
        <v>595</v>
      </c>
    </row>
    <row r="216" spans="1:16" s="41" customFormat="1" x14ac:dyDescent="0.3">
      <c r="A216" s="36">
        <v>22</v>
      </c>
      <c r="B216" s="36"/>
      <c r="C216" s="44" t="s">
        <v>207</v>
      </c>
      <c r="D216" s="40">
        <v>1</v>
      </c>
      <c r="E216" s="40" t="s">
        <v>20</v>
      </c>
      <c r="F216" s="98">
        <f t="shared" si="30"/>
        <v>416.5</v>
      </c>
      <c r="G216" s="37">
        <f t="shared" si="34"/>
        <v>416.5</v>
      </c>
      <c r="I216"/>
      <c r="J216"/>
      <c r="K216"/>
      <c r="L216"/>
      <c r="M216"/>
      <c r="N216" s="87">
        <v>350</v>
      </c>
      <c r="O216" s="87">
        <f t="shared" si="32"/>
        <v>1.19</v>
      </c>
      <c r="P216" s="87">
        <f t="shared" si="33"/>
        <v>416.5</v>
      </c>
    </row>
    <row r="217" spans="1:16" s="41" customFormat="1" x14ac:dyDescent="0.3">
      <c r="A217" s="36">
        <v>23</v>
      </c>
      <c r="B217" s="36"/>
      <c r="C217" s="44" t="s">
        <v>208</v>
      </c>
      <c r="D217" s="40">
        <v>1</v>
      </c>
      <c r="E217" s="40" t="s">
        <v>85</v>
      </c>
      <c r="F217" s="98">
        <f t="shared" si="30"/>
        <v>714</v>
      </c>
      <c r="G217" s="37">
        <f t="shared" si="34"/>
        <v>714</v>
      </c>
      <c r="I217"/>
      <c r="J217"/>
      <c r="K217"/>
      <c r="L217"/>
      <c r="M217"/>
      <c r="N217" s="87">
        <v>600</v>
      </c>
      <c r="O217" s="87">
        <f t="shared" si="32"/>
        <v>1.19</v>
      </c>
      <c r="P217" s="87">
        <f t="shared" si="33"/>
        <v>714</v>
      </c>
    </row>
    <row r="218" spans="1:16" s="41" customFormat="1" x14ac:dyDescent="0.3">
      <c r="A218" s="36">
        <v>24</v>
      </c>
      <c r="B218" s="36" t="s">
        <v>209</v>
      </c>
      <c r="C218" s="44" t="s">
        <v>210</v>
      </c>
      <c r="D218" s="40">
        <v>40</v>
      </c>
      <c r="E218" s="40" t="s">
        <v>20</v>
      </c>
      <c r="F218" s="98">
        <f t="shared" si="30"/>
        <v>119</v>
      </c>
      <c r="G218" s="37">
        <f t="shared" si="34"/>
        <v>4760</v>
      </c>
      <c r="I218"/>
      <c r="J218"/>
      <c r="K218"/>
      <c r="L218"/>
      <c r="M218"/>
      <c r="N218" s="87">
        <v>100</v>
      </c>
      <c r="O218" s="87">
        <f t="shared" si="32"/>
        <v>1.19</v>
      </c>
      <c r="P218" s="87">
        <f t="shared" si="33"/>
        <v>119</v>
      </c>
    </row>
    <row r="219" spans="1:16" s="41" customFormat="1" x14ac:dyDescent="0.3">
      <c r="A219" s="36">
        <v>25</v>
      </c>
      <c r="B219" s="36" t="s">
        <v>211</v>
      </c>
      <c r="C219" s="44" t="s">
        <v>212</v>
      </c>
      <c r="D219" s="40">
        <v>40</v>
      </c>
      <c r="E219" s="40" t="s">
        <v>20</v>
      </c>
      <c r="F219" s="98">
        <f t="shared" si="30"/>
        <v>71.399999999999991</v>
      </c>
      <c r="G219" s="37">
        <f t="shared" si="34"/>
        <v>2855.9999999999995</v>
      </c>
      <c r="I219"/>
      <c r="J219"/>
      <c r="K219"/>
      <c r="L219"/>
      <c r="M219"/>
      <c r="N219" s="87">
        <v>60</v>
      </c>
      <c r="O219" s="87">
        <f t="shared" si="32"/>
        <v>1.19</v>
      </c>
      <c r="P219" s="87">
        <f t="shared" si="33"/>
        <v>71.399999999999991</v>
      </c>
    </row>
    <row r="220" spans="1:16" s="41" customFormat="1" x14ac:dyDescent="0.3">
      <c r="A220" s="36">
        <v>26</v>
      </c>
      <c r="B220" s="36" t="s">
        <v>213</v>
      </c>
      <c r="C220" s="44" t="s">
        <v>214</v>
      </c>
      <c r="D220" s="40">
        <v>40</v>
      </c>
      <c r="E220" s="40" t="s">
        <v>20</v>
      </c>
      <c r="F220" s="98">
        <f t="shared" si="30"/>
        <v>51.169999999999995</v>
      </c>
      <c r="G220" s="37">
        <f t="shared" si="34"/>
        <v>2046.7999999999997</v>
      </c>
      <c r="I220"/>
      <c r="J220"/>
      <c r="K220"/>
      <c r="L220"/>
      <c r="M220"/>
      <c r="N220" s="87">
        <v>43</v>
      </c>
      <c r="O220" s="87">
        <f t="shared" si="32"/>
        <v>1.19</v>
      </c>
      <c r="P220" s="87">
        <f t="shared" si="33"/>
        <v>51.169999999999995</v>
      </c>
    </row>
    <row r="221" spans="1:16" s="41" customFormat="1" x14ac:dyDescent="0.3">
      <c r="A221" s="36">
        <v>27</v>
      </c>
      <c r="B221" s="36" t="s">
        <v>215</v>
      </c>
      <c r="C221" s="44" t="s">
        <v>216</v>
      </c>
      <c r="D221" s="40">
        <v>40</v>
      </c>
      <c r="E221" s="40" t="s">
        <v>20</v>
      </c>
      <c r="F221" s="98">
        <f t="shared" si="30"/>
        <v>23.799999999999997</v>
      </c>
      <c r="G221" s="37">
        <f t="shared" si="34"/>
        <v>951.99999999999989</v>
      </c>
      <c r="I221"/>
      <c r="J221"/>
      <c r="K221"/>
      <c r="L221"/>
      <c r="M221"/>
      <c r="N221" s="87">
        <v>20</v>
      </c>
      <c r="O221" s="87">
        <f t="shared" si="32"/>
        <v>1.19</v>
      </c>
      <c r="P221" s="87">
        <f t="shared" si="33"/>
        <v>23.799999999999997</v>
      </c>
    </row>
    <row r="222" spans="1:16" s="41" customFormat="1" x14ac:dyDescent="0.3">
      <c r="A222" s="36">
        <v>28</v>
      </c>
      <c r="B222" s="36" t="s">
        <v>217</v>
      </c>
      <c r="C222" s="44" t="s">
        <v>218</v>
      </c>
      <c r="D222" s="40">
        <v>4</v>
      </c>
      <c r="E222" s="40" t="s">
        <v>20</v>
      </c>
      <c r="F222" s="98">
        <f t="shared" si="30"/>
        <v>178.5</v>
      </c>
      <c r="G222" s="37">
        <f t="shared" si="34"/>
        <v>714</v>
      </c>
      <c r="I222"/>
      <c r="J222"/>
      <c r="K222"/>
      <c r="L222"/>
      <c r="M222"/>
      <c r="N222" s="87">
        <v>150</v>
      </c>
      <c r="O222" s="87">
        <f t="shared" si="32"/>
        <v>1.19</v>
      </c>
      <c r="P222" s="87">
        <f t="shared" si="33"/>
        <v>178.5</v>
      </c>
    </row>
    <row r="223" spans="1:16" s="41" customFormat="1" x14ac:dyDescent="0.3">
      <c r="A223" s="36">
        <v>29</v>
      </c>
      <c r="B223" s="36"/>
      <c r="C223" s="44" t="s">
        <v>219</v>
      </c>
      <c r="D223" s="40">
        <v>2</v>
      </c>
      <c r="E223" s="40" t="s">
        <v>20</v>
      </c>
      <c r="F223" s="98">
        <f t="shared" si="30"/>
        <v>297.5</v>
      </c>
      <c r="G223" s="37">
        <f t="shared" si="34"/>
        <v>595</v>
      </c>
      <c r="I223"/>
      <c r="J223"/>
      <c r="K223"/>
      <c r="L223"/>
      <c r="M223"/>
      <c r="N223" s="87">
        <v>250</v>
      </c>
      <c r="O223" s="87">
        <f t="shared" si="32"/>
        <v>1.19</v>
      </c>
      <c r="P223" s="87">
        <f t="shared" si="33"/>
        <v>297.5</v>
      </c>
    </row>
    <row r="224" spans="1:16" s="41" customFormat="1" x14ac:dyDescent="0.3">
      <c r="A224" s="36">
        <v>30</v>
      </c>
      <c r="B224" s="36"/>
      <c r="C224" s="44"/>
      <c r="D224" s="40"/>
      <c r="E224" s="40"/>
      <c r="F224" s="98">
        <f t="shared" si="30"/>
        <v>178.5</v>
      </c>
      <c r="G224" s="37"/>
      <c r="I224"/>
      <c r="J224"/>
      <c r="K224"/>
      <c r="L224"/>
      <c r="M224"/>
      <c r="N224" s="87">
        <v>150</v>
      </c>
      <c r="O224" s="87">
        <f t="shared" si="32"/>
        <v>1.19</v>
      </c>
      <c r="P224" s="87">
        <f t="shared" si="33"/>
        <v>178.5</v>
      </c>
    </row>
    <row r="225" spans="1:16" s="41" customFormat="1" x14ac:dyDescent="0.3">
      <c r="A225" s="36">
        <v>31</v>
      </c>
      <c r="B225" s="36" t="s">
        <v>130</v>
      </c>
      <c r="C225" s="44" t="s">
        <v>131</v>
      </c>
      <c r="D225" s="40">
        <v>286</v>
      </c>
      <c r="E225" s="40" t="s">
        <v>132</v>
      </c>
      <c r="F225" s="98">
        <f t="shared" si="30"/>
        <v>11.899999999999999</v>
      </c>
      <c r="G225" s="37">
        <f t="shared" si="34"/>
        <v>3403.3999999999996</v>
      </c>
      <c r="I225"/>
      <c r="J225"/>
      <c r="K225"/>
      <c r="L225"/>
      <c r="M225"/>
      <c r="N225" s="87">
        <v>10</v>
      </c>
      <c r="O225" s="87">
        <f t="shared" si="32"/>
        <v>1.19</v>
      </c>
      <c r="P225" s="87">
        <f t="shared" si="33"/>
        <v>11.899999999999999</v>
      </c>
    </row>
    <row r="226" spans="1:16" s="41" customFormat="1" x14ac:dyDescent="0.3">
      <c r="A226" s="36">
        <v>32</v>
      </c>
      <c r="B226" s="36" t="s">
        <v>221</v>
      </c>
      <c r="C226" s="44" t="s">
        <v>222</v>
      </c>
      <c r="D226" s="40">
        <v>46</v>
      </c>
      <c r="E226" s="40" t="s">
        <v>20</v>
      </c>
      <c r="F226" s="98">
        <f t="shared" si="30"/>
        <v>14.28</v>
      </c>
      <c r="G226" s="37">
        <f t="shared" si="34"/>
        <v>656.88</v>
      </c>
      <c r="I226"/>
      <c r="J226"/>
      <c r="K226"/>
      <c r="L226"/>
      <c r="M226"/>
      <c r="N226" s="87">
        <v>12</v>
      </c>
      <c r="O226" s="87">
        <f t="shared" si="32"/>
        <v>1.19</v>
      </c>
      <c r="P226" s="87">
        <f t="shared" si="33"/>
        <v>14.28</v>
      </c>
    </row>
    <row r="227" spans="1:16" s="41" customFormat="1" x14ac:dyDescent="0.3">
      <c r="A227" s="36">
        <v>33</v>
      </c>
      <c r="B227" s="36" t="s">
        <v>223</v>
      </c>
      <c r="C227" s="44" t="s">
        <v>224</v>
      </c>
      <c r="D227" s="40">
        <v>4</v>
      </c>
      <c r="E227" s="40" t="s">
        <v>20</v>
      </c>
      <c r="F227" s="98">
        <f t="shared" si="30"/>
        <v>57.12</v>
      </c>
      <c r="G227" s="37">
        <f t="shared" si="34"/>
        <v>228.48</v>
      </c>
      <c r="I227"/>
      <c r="J227"/>
      <c r="K227"/>
      <c r="L227"/>
      <c r="M227"/>
      <c r="N227" s="87">
        <v>48</v>
      </c>
      <c r="O227" s="87">
        <f t="shared" si="32"/>
        <v>1.19</v>
      </c>
      <c r="P227" s="87">
        <f t="shared" si="33"/>
        <v>57.12</v>
      </c>
    </row>
    <row r="228" spans="1:16" s="41" customFormat="1" x14ac:dyDescent="0.3">
      <c r="A228" s="36">
        <v>34</v>
      </c>
      <c r="B228" s="36" t="s">
        <v>225</v>
      </c>
      <c r="C228" s="44" t="s">
        <v>226</v>
      </c>
      <c r="D228" s="40">
        <v>12</v>
      </c>
      <c r="E228" s="40" t="s">
        <v>20</v>
      </c>
      <c r="F228" s="98">
        <f t="shared" si="30"/>
        <v>53.55</v>
      </c>
      <c r="G228" s="37">
        <f t="shared" si="34"/>
        <v>642.59999999999991</v>
      </c>
      <c r="I228"/>
      <c r="J228"/>
      <c r="K228"/>
      <c r="L228"/>
      <c r="M228"/>
      <c r="N228" s="87">
        <v>45</v>
      </c>
      <c r="O228" s="87">
        <f t="shared" si="32"/>
        <v>1.19</v>
      </c>
      <c r="P228" s="87">
        <f t="shared" si="33"/>
        <v>53.55</v>
      </c>
    </row>
    <row r="229" spans="1:16" s="41" customFormat="1" x14ac:dyDescent="0.3">
      <c r="A229" s="36">
        <v>35</v>
      </c>
      <c r="B229" s="36" t="s">
        <v>123</v>
      </c>
      <c r="C229" s="44" t="s">
        <v>227</v>
      </c>
      <c r="D229" s="40">
        <v>2</v>
      </c>
      <c r="E229" s="40" t="s">
        <v>20</v>
      </c>
      <c r="F229" s="98">
        <f t="shared" si="30"/>
        <v>71.399999999999991</v>
      </c>
      <c r="G229" s="37">
        <f t="shared" si="34"/>
        <v>142.79999999999998</v>
      </c>
      <c r="I229"/>
      <c r="J229"/>
      <c r="K229"/>
      <c r="L229"/>
      <c r="M229"/>
      <c r="N229" s="87">
        <v>60</v>
      </c>
      <c r="O229" s="87">
        <f t="shared" si="32"/>
        <v>1.19</v>
      </c>
      <c r="P229" s="87">
        <f t="shared" si="33"/>
        <v>71.399999999999991</v>
      </c>
    </row>
    <row r="230" spans="1:16" s="41" customFormat="1" x14ac:dyDescent="0.3">
      <c r="A230" s="36">
        <v>36</v>
      </c>
      <c r="B230" s="36" t="s">
        <v>124</v>
      </c>
      <c r="C230" s="44" t="s">
        <v>228</v>
      </c>
      <c r="D230" s="40">
        <v>18</v>
      </c>
      <c r="E230" s="40" t="s">
        <v>20</v>
      </c>
      <c r="F230" s="98">
        <f t="shared" si="30"/>
        <v>17.849999999999998</v>
      </c>
      <c r="G230" s="37">
        <f t="shared" si="34"/>
        <v>321.29999999999995</v>
      </c>
      <c r="I230"/>
      <c r="J230"/>
      <c r="K230"/>
      <c r="L230"/>
      <c r="M230"/>
      <c r="N230" s="87">
        <v>15</v>
      </c>
      <c r="O230" s="87">
        <f t="shared" si="32"/>
        <v>1.19</v>
      </c>
      <c r="P230" s="87">
        <f t="shared" si="33"/>
        <v>17.849999999999998</v>
      </c>
    </row>
    <row r="231" spans="1:16" s="41" customFormat="1" x14ac:dyDescent="0.3">
      <c r="A231" s="36">
        <v>37</v>
      </c>
      <c r="B231" s="36" t="s">
        <v>125</v>
      </c>
      <c r="C231" s="44" t="s">
        <v>229</v>
      </c>
      <c r="D231" s="40">
        <v>4</v>
      </c>
      <c r="E231" s="40" t="s">
        <v>20</v>
      </c>
      <c r="F231" s="98">
        <f t="shared" si="30"/>
        <v>58.309999999999995</v>
      </c>
      <c r="G231" s="37">
        <f t="shared" si="34"/>
        <v>233.23999999999998</v>
      </c>
      <c r="I231"/>
      <c r="J231"/>
      <c r="K231"/>
      <c r="L231"/>
      <c r="M231"/>
      <c r="N231" s="87">
        <v>49</v>
      </c>
      <c r="O231" s="87">
        <f t="shared" si="32"/>
        <v>1.19</v>
      </c>
      <c r="P231" s="87">
        <f t="shared" si="33"/>
        <v>58.309999999999995</v>
      </c>
    </row>
    <row r="232" spans="1:16" s="41" customFormat="1" ht="23.15" x14ac:dyDescent="0.3">
      <c r="A232" s="36">
        <v>38</v>
      </c>
      <c r="B232" s="36"/>
      <c r="C232" s="44" t="s">
        <v>230</v>
      </c>
      <c r="D232" s="40">
        <v>20</v>
      </c>
      <c r="E232" s="40" t="s">
        <v>20</v>
      </c>
      <c r="F232" s="98">
        <f t="shared" si="30"/>
        <v>178.5</v>
      </c>
      <c r="G232" s="37">
        <f t="shared" si="34"/>
        <v>3570</v>
      </c>
      <c r="I232"/>
      <c r="J232"/>
      <c r="K232"/>
      <c r="L232"/>
      <c r="M232"/>
      <c r="N232" s="87">
        <v>150</v>
      </c>
      <c r="O232" s="87">
        <f t="shared" si="32"/>
        <v>1.19</v>
      </c>
      <c r="P232" s="87">
        <f t="shared" si="33"/>
        <v>178.5</v>
      </c>
    </row>
    <row r="233" spans="1:16" s="41" customFormat="1" x14ac:dyDescent="0.3">
      <c r="A233" s="36">
        <v>39</v>
      </c>
      <c r="B233" s="36"/>
      <c r="C233" s="44" t="s">
        <v>231</v>
      </c>
      <c r="D233" s="40">
        <v>20</v>
      </c>
      <c r="E233" s="40" t="s">
        <v>20</v>
      </c>
      <c r="F233" s="98">
        <f t="shared" si="30"/>
        <v>71.399999999999991</v>
      </c>
      <c r="G233" s="37">
        <f t="shared" si="34"/>
        <v>1427.9999999999998</v>
      </c>
      <c r="I233"/>
      <c r="J233"/>
      <c r="K233"/>
      <c r="L233"/>
      <c r="M233"/>
      <c r="N233" s="87">
        <v>60</v>
      </c>
      <c r="O233" s="87">
        <f t="shared" si="32"/>
        <v>1.19</v>
      </c>
      <c r="P233" s="87">
        <f t="shared" si="33"/>
        <v>71.399999999999991</v>
      </c>
    </row>
    <row r="234" spans="1:16" s="41" customFormat="1" x14ac:dyDescent="0.3">
      <c r="A234" s="36">
        <v>40</v>
      </c>
      <c r="B234" s="36" t="s">
        <v>232</v>
      </c>
      <c r="C234" s="44" t="s">
        <v>233</v>
      </c>
      <c r="D234" s="40">
        <v>2145</v>
      </c>
      <c r="E234" s="40" t="s">
        <v>24</v>
      </c>
      <c r="F234" s="98">
        <f t="shared" si="30"/>
        <v>19.04</v>
      </c>
      <c r="G234" s="37">
        <f t="shared" si="34"/>
        <v>40840.799999999996</v>
      </c>
      <c r="I234"/>
      <c r="J234"/>
      <c r="K234"/>
      <c r="L234"/>
      <c r="M234"/>
      <c r="N234" s="87">
        <v>16</v>
      </c>
      <c r="O234" s="87">
        <f t="shared" si="32"/>
        <v>1.19</v>
      </c>
      <c r="P234" s="87">
        <f t="shared" si="33"/>
        <v>19.04</v>
      </c>
    </row>
    <row r="235" spans="1:16" s="41" customFormat="1" x14ac:dyDescent="0.3">
      <c r="A235" s="36">
        <v>41</v>
      </c>
      <c r="B235" s="36" t="s">
        <v>120</v>
      </c>
      <c r="C235" s="44" t="s">
        <v>234</v>
      </c>
      <c r="D235" s="40">
        <v>126</v>
      </c>
      <c r="E235" s="40" t="s">
        <v>24</v>
      </c>
      <c r="F235" s="98">
        <f t="shared" si="30"/>
        <v>16.66</v>
      </c>
      <c r="G235" s="37">
        <f t="shared" si="34"/>
        <v>2099.16</v>
      </c>
      <c r="I235"/>
      <c r="J235"/>
      <c r="K235"/>
      <c r="L235"/>
      <c r="M235"/>
      <c r="N235" s="87">
        <v>14</v>
      </c>
      <c r="O235" s="87">
        <f t="shared" si="32"/>
        <v>1.19</v>
      </c>
      <c r="P235" s="87">
        <f t="shared" si="33"/>
        <v>16.66</v>
      </c>
    </row>
    <row r="236" spans="1:16" s="41" customFormat="1" x14ac:dyDescent="0.3">
      <c r="A236" s="36">
        <v>42</v>
      </c>
      <c r="B236" s="36" t="s">
        <v>235</v>
      </c>
      <c r="C236" s="44" t="s">
        <v>236</v>
      </c>
      <c r="D236" s="40">
        <v>126</v>
      </c>
      <c r="E236" s="40" t="s">
        <v>24</v>
      </c>
      <c r="F236" s="98">
        <f t="shared" si="30"/>
        <v>16.66</v>
      </c>
      <c r="G236" s="37">
        <f t="shared" si="34"/>
        <v>2099.16</v>
      </c>
      <c r="I236"/>
      <c r="J236"/>
      <c r="K236"/>
      <c r="L236"/>
      <c r="M236"/>
      <c r="N236" s="87">
        <v>14</v>
      </c>
      <c r="O236" s="87">
        <f t="shared" si="32"/>
        <v>1.19</v>
      </c>
      <c r="P236" s="87">
        <f t="shared" si="33"/>
        <v>16.66</v>
      </c>
    </row>
    <row r="237" spans="1:16" s="41" customFormat="1" x14ac:dyDescent="0.3">
      <c r="A237" s="36">
        <v>43</v>
      </c>
      <c r="B237" s="36" t="s">
        <v>237</v>
      </c>
      <c r="C237" s="44" t="s">
        <v>238</v>
      </c>
      <c r="D237" s="40">
        <v>32</v>
      </c>
      <c r="E237" s="40" t="s">
        <v>20</v>
      </c>
      <c r="F237" s="98">
        <f t="shared" si="30"/>
        <v>97.58</v>
      </c>
      <c r="G237" s="37">
        <f t="shared" si="34"/>
        <v>3122.56</v>
      </c>
      <c r="I237"/>
      <c r="J237"/>
      <c r="K237"/>
      <c r="L237"/>
      <c r="M237"/>
      <c r="N237" s="87">
        <v>82</v>
      </c>
      <c r="O237" s="87">
        <f t="shared" si="32"/>
        <v>1.19</v>
      </c>
      <c r="P237" s="87">
        <f t="shared" si="33"/>
        <v>97.58</v>
      </c>
    </row>
    <row r="238" spans="1:16" s="41" customFormat="1" x14ac:dyDescent="0.3">
      <c r="A238" s="36">
        <v>44</v>
      </c>
      <c r="B238" s="36" t="s">
        <v>239</v>
      </c>
      <c r="C238" s="44" t="s">
        <v>240</v>
      </c>
      <c r="D238" s="40">
        <v>92</v>
      </c>
      <c r="E238" s="40" t="s">
        <v>20</v>
      </c>
      <c r="F238" s="98">
        <f t="shared" si="30"/>
        <v>90.44</v>
      </c>
      <c r="G238" s="37">
        <f t="shared" si="34"/>
        <v>8320.48</v>
      </c>
      <c r="I238"/>
      <c r="J238"/>
      <c r="K238"/>
      <c r="L238"/>
      <c r="M238"/>
      <c r="N238" s="87">
        <v>76</v>
      </c>
      <c r="O238" s="87">
        <f t="shared" si="32"/>
        <v>1.19</v>
      </c>
      <c r="P238" s="87">
        <f t="shared" si="33"/>
        <v>90.44</v>
      </c>
    </row>
    <row r="239" spans="1:16" s="41" customFormat="1" x14ac:dyDescent="0.3">
      <c r="A239" s="36">
        <v>45</v>
      </c>
      <c r="B239" s="36" t="s">
        <v>121</v>
      </c>
      <c r="C239" s="44" t="s">
        <v>241</v>
      </c>
      <c r="D239" s="40">
        <v>32</v>
      </c>
      <c r="E239" s="40" t="s">
        <v>20</v>
      </c>
      <c r="F239" s="98">
        <f t="shared" si="30"/>
        <v>61.879999999999995</v>
      </c>
      <c r="G239" s="37">
        <f t="shared" si="34"/>
        <v>1980.1599999999999</v>
      </c>
      <c r="I239"/>
      <c r="J239"/>
      <c r="K239"/>
      <c r="L239"/>
      <c r="M239"/>
      <c r="N239" s="87">
        <v>52</v>
      </c>
      <c r="O239" s="87">
        <f t="shared" si="32"/>
        <v>1.19</v>
      </c>
      <c r="P239" s="87">
        <f t="shared" si="33"/>
        <v>61.879999999999995</v>
      </c>
    </row>
    <row r="240" spans="1:16" s="41" customFormat="1" x14ac:dyDescent="0.3">
      <c r="A240" s="36">
        <v>46</v>
      </c>
      <c r="B240" s="36" t="s">
        <v>242</v>
      </c>
      <c r="C240" s="44" t="s">
        <v>293</v>
      </c>
      <c r="D240" s="40">
        <v>3432</v>
      </c>
      <c r="E240" s="40" t="s">
        <v>24</v>
      </c>
      <c r="F240" s="98">
        <f t="shared" si="30"/>
        <v>16.66</v>
      </c>
      <c r="G240" s="37">
        <f t="shared" si="34"/>
        <v>57177.120000000003</v>
      </c>
      <c r="I240"/>
      <c r="J240"/>
      <c r="K240"/>
      <c r="L240"/>
      <c r="M240"/>
      <c r="N240" s="87">
        <v>14</v>
      </c>
      <c r="O240" s="87">
        <f t="shared" si="32"/>
        <v>1.19</v>
      </c>
      <c r="P240" s="87">
        <f t="shared" si="33"/>
        <v>16.66</v>
      </c>
    </row>
    <row r="241" spans="1:16" s="41" customFormat="1" x14ac:dyDescent="0.3">
      <c r="A241" s="36">
        <v>47</v>
      </c>
      <c r="B241" s="36" t="s">
        <v>243</v>
      </c>
      <c r="C241" s="44" t="s">
        <v>244</v>
      </c>
      <c r="D241" s="40">
        <v>52</v>
      </c>
      <c r="E241" s="40" t="s">
        <v>20</v>
      </c>
      <c r="F241" s="98">
        <f t="shared" si="30"/>
        <v>77.349999999999994</v>
      </c>
      <c r="G241" s="37">
        <f t="shared" si="34"/>
        <v>4022.2</v>
      </c>
      <c r="I241"/>
      <c r="J241"/>
      <c r="K241"/>
      <c r="L241"/>
      <c r="M241"/>
      <c r="N241" s="87">
        <v>65</v>
      </c>
      <c r="O241" s="87">
        <f t="shared" si="32"/>
        <v>1.19</v>
      </c>
      <c r="P241" s="87">
        <f t="shared" si="33"/>
        <v>77.349999999999994</v>
      </c>
    </row>
    <row r="242" spans="1:16" s="41" customFormat="1" x14ac:dyDescent="0.3">
      <c r="A242" s="36">
        <v>48</v>
      </c>
      <c r="B242" s="36"/>
      <c r="C242" s="44" t="s">
        <v>86</v>
      </c>
      <c r="D242" s="40">
        <v>12</v>
      </c>
      <c r="E242" s="40" t="s">
        <v>83</v>
      </c>
      <c r="F242" s="98">
        <f t="shared" si="30"/>
        <v>535.5</v>
      </c>
      <c r="G242" s="37">
        <f t="shared" si="34"/>
        <v>6426</v>
      </c>
      <c r="I242"/>
      <c r="J242"/>
      <c r="K242"/>
      <c r="L242"/>
      <c r="M242"/>
      <c r="N242" s="87">
        <v>450</v>
      </c>
      <c r="O242" s="87">
        <f t="shared" si="32"/>
        <v>1.19</v>
      </c>
      <c r="P242" s="87">
        <f t="shared" si="33"/>
        <v>535.5</v>
      </c>
    </row>
    <row r="243" spans="1:16" s="41" customFormat="1" x14ac:dyDescent="0.3">
      <c r="A243" s="36">
        <v>49</v>
      </c>
      <c r="B243" s="36"/>
      <c r="C243" s="44" t="s">
        <v>87</v>
      </c>
      <c r="D243" s="40">
        <v>12</v>
      </c>
      <c r="E243" s="40" t="s">
        <v>83</v>
      </c>
      <c r="F243" s="98">
        <f t="shared" si="30"/>
        <v>535.5</v>
      </c>
      <c r="G243" s="37">
        <f t="shared" si="34"/>
        <v>6426</v>
      </c>
      <c r="I243"/>
      <c r="J243"/>
      <c r="K243"/>
      <c r="L243"/>
      <c r="M243"/>
      <c r="N243" s="87">
        <v>450</v>
      </c>
      <c r="O243" s="87">
        <f t="shared" si="32"/>
        <v>1.19</v>
      </c>
      <c r="P243" s="87">
        <f t="shared" si="33"/>
        <v>535.5</v>
      </c>
    </row>
    <row r="244" spans="1:16" s="41" customFormat="1" x14ac:dyDescent="0.3">
      <c r="A244" s="36">
        <v>50</v>
      </c>
      <c r="B244" s="36"/>
      <c r="C244" s="44" t="s">
        <v>245</v>
      </c>
      <c r="D244" s="40">
        <v>8</v>
      </c>
      <c r="E244" s="40" t="s">
        <v>83</v>
      </c>
      <c r="F244" s="98">
        <f t="shared" si="30"/>
        <v>535.5</v>
      </c>
      <c r="G244" s="37">
        <f t="shared" si="34"/>
        <v>4284</v>
      </c>
      <c r="I244"/>
      <c r="J244"/>
      <c r="K244"/>
      <c r="L244"/>
      <c r="M244"/>
      <c r="N244" s="87">
        <v>450</v>
      </c>
      <c r="O244" s="87">
        <f t="shared" si="32"/>
        <v>1.19</v>
      </c>
      <c r="P244" s="87">
        <f t="shared" si="33"/>
        <v>535.5</v>
      </c>
    </row>
    <row r="245" spans="1:16" s="41" customFormat="1" x14ac:dyDescent="0.3">
      <c r="A245" s="36">
        <v>51</v>
      </c>
      <c r="B245" s="36"/>
      <c r="C245" s="44" t="s">
        <v>246</v>
      </c>
      <c r="D245" s="40">
        <v>7</v>
      </c>
      <c r="E245" s="40" t="s">
        <v>247</v>
      </c>
      <c r="F245" s="98">
        <f t="shared" si="30"/>
        <v>1785</v>
      </c>
      <c r="G245" s="37">
        <f t="shared" si="34"/>
        <v>12495</v>
      </c>
      <c r="I245"/>
      <c r="J245"/>
      <c r="K245"/>
      <c r="L245"/>
      <c r="M245"/>
      <c r="N245" s="87">
        <v>1500</v>
      </c>
      <c r="O245" s="87">
        <f t="shared" si="32"/>
        <v>1.19</v>
      </c>
      <c r="P245" s="87">
        <f t="shared" si="33"/>
        <v>1785</v>
      </c>
    </row>
    <row r="246" spans="1:16" s="41" customFormat="1" x14ac:dyDescent="0.3">
      <c r="A246" s="36">
        <v>52</v>
      </c>
      <c r="B246" s="36"/>
      <c r="C246" s="44" t="s">
        <v>248</v>
      </c>
      <c r="D246" s="40">
        <v>8</v>
      </c>
      <c r="E246" s="40" t="s">
        <v>83</v>
      </c>
      <c r="F246" s="98">
        <f t="shared" si="30"/>
        <v>1011.5</v>
      </c>
      <c r="G246" s="37">
        <f t="shared" si="34"/>
        <v>8092</v>
      </c>
      <c r="I246"/>
      <c r="J246"/>
      <c r="K246"/>
      <c r="L246"/>
      <c r="M246"/>
      <c r="N246" s="87">
        <v>850</v>
      </c>
      <c r="O246" s="87">
        <f t="shared" si="32"/>
        <v>1.19</v>
      </c>
      <c r="P246" s="87">
        <f t="shared" si="33"/>
        <v>1011.5</v>
      </c>
    </row>
    <row r="247" spans="1:16" s="41" customFormat="1" x14ac:dyDescent="0.3">
      <c r="A247" s="36">
        <v>53</v>
      </c>
      <c r="B247" s="36" t="s">
        <v>201</v>
      </c>
      <c r="C247" s="44" t="s">
        <v>249</v>
      </c>
      <c r="D247" s="40">
        <v>1</v>
      </c>
      <c r="E247" s="40" t="s">
        <v>20</v>
      </c>
      <c r="F247" s="98">
        <f t="shared" si="30"/>
        <v>416.5</v>
      </c>
      <c r="G247" s="37">
        <f t="shared" si="34"/>
        <v>416.5</v>
      </c>
      <c r="I247"/>
      <c r="J247"/>
      <c r="K247"/>
      <c r="L247"/>
      <c r="M247"/>
      <c r="N247" s="87">
        <v>350</v>
      </c>
      <c r="O247" s="87">
        <f t="shared" si="32"/>
        <v>1.19</v>
      </c>
      <c r="P247" s="87">
        <f t="shared" si="33"/>
        <v>416.5</v>
      </c>
    </row>
    <row r="248" spans="1:16" s="41" customFormat="1" x14ac:dyDescent="0.3">
      <c r="A248" s="36">
        <v>54</v>
      </c>
      <c r="B248" s="36" t="s">
        <v>250</v>
      </c>
      <c r="C248" s="44" t="s">
        <v>251</v>
      </c>
      <c r="D248" s="40">
        <v>3</v>
      </c>
      <c r="E248" s="40" t="s">
        <v>20</v>
      </c>
      <c r="F248" s="98">
        <f t="shared" si="30"/>
        <v>357</v>
      </c>
      <c r="G248" s="37">
        <f t="shared" si="34"/>
        <v>1071</v>
      </c>
      <c r="I248"/>
      <c r="J248"/>
      <c r="K248"/>
      <c r="L248"/>
      <c r="M248"/>
      <c r="N248" s="87">
        <v>300</v>
      </c>
      <c r="O248" s="87">
        <f t="shared" si="32"/>
        <v>1.19</v>
      </c>
      <c r="P248" s="87">
        <f t="shared" si="33"/>
        <v>357</v>
      </c>
    </row>
    <row r="249" spans="1:16" s="41" customFormat="1" x14ac:dyDescent="0.3">
      <c r="A249" s="36">
        <v>55</v>
      </c>
      <c r="B249" s="36" t="s">
        <v>252</v>
      </c>
      <c r="C249" s="44" t="s">
        <v>253</v>
      </c>
      <c r="D249" s="40">
        <v>3</v>
      </c>
      <c r="E249" s="40" t="s">
        <v>20</v>
      </c>
      <c r="F249" s="98">
        <f t="shared" si="30"/>
        <v>261.8</v>
      </c>
      <c r="G249" s="37">
        <f t="shared" si="34"/>
        <v>785.40000000000009</v>
      </c>
      <c r="I249"/>
      <c r="J249"/>
      <c r="K249"/>
      <c r="L249"/>
      <c r="M249"/>
      <c r="N249" s="87">
        <v>220</v>
      </c>
      <c r="O249" s="87">
        <f t="shared" si="32"/>
        <v>1.19</v>
      </c>
      <c r="P249" s="87">
        <f t="shared" si="33"/>
        <v>261.8</v>
      </c>
    </row>
    <row r="250" spans="1:16" s="41" customFormat="1" x14ac:dyDescent="0.3">
      <c r="A250" s="36">
        <v>56</v>
      </c>
      <c r="B250" s="36" t="s">
        <v>254</v>
      </c>
      <c r="C250" s="44" t="s">
        <v>294</v>
      </c>
      <c r="D250" s="36">
        <v>1716</v>
      </c>
      <c r="E250" s="40" t="s">
        <v>24</v>
      </c>
      <c r="F250" s="98">
        <f t="shared" si="30"/>
        <v>29.75</v>
      </c>
      <c r="G250" s="37">
        <f t="shared" si="34"/>
        <v>51051</v>
      </c>
      <c r="I250"/>
      <c r="J250"/>
      <c r="K250"/>
      <c r="L250"/>
      <c r="M250"/>
      <c r="N250" s="87">
        <v>25</v>
      </c>
      <c r="O250" s="87">
        <f t="shared" si="32"/>
        <v>1.19</v>
      </c>
      <c r="P250" s="87">
        <f t="shared" si="33"/>
        <v>29.75</v>
      </c>
    </row>
    <row r="251" spans="1:16" s="41" customFormat="1" x14ac:dyDescent="0.3">
      <c r="A251" s="36">
        <v>57</v>
      </c>
      <c r="B251" s="36" t="s">
        <v>126</v>
      </c>
      <c r="C251" s="44" t="s">
        <v>127</v>
      </c>
      <c r="D251" s="40">
        <v>52</v>
      </c>
      <c r="E251" s="40" t="s">
        <v>20</v>
      </c>
      <c r="F251" s="98">
        <f t="shared" si="30"/>
        <v>23.799999999999997</v>
      </c>
      <c r="G251" s="37">
        <f t="shared" si="34"/>
        <v>1237.5999999999999</v>
      </c>
      <c r="I251"/>
      <c r="J251"/>
      <c r="K251"/>
      <c r="L251"/>
      <c r="M251"/>
      <c r="N251" s="87">
        <v>20</v>
      </c>
      <c r="O251" s="87">
        <f t="shared" si="32"/>
        <v>1.19</v>
      </c>
      <c r="P251" s="87">
        <f t="shared" si="33"/>
        <v>23.799999999999997</v>
      </c>
    </row>
    <row r="252" spans="1:16" s="41" customFormat="1" x14ac:dyDescent="0.3">
      <c r="A252" s="36">
        <v>58</v>
      </c>
      <c r="B252" s="36" t="s">
        <v>128</v>
      </c>
      <c r="C252" s="44" t="s">
        <v>129</v>
      </c>
      <c r="D252" s="40">
        <v>52</v>
      </c>
      <c r="E252" s="40" t="s">
        <v>20</v>
      </c>
      <c r="F252" s="98">
        <f t="shared" si="30"/>
        <v>29.75</v>
      </c>
      <c r="G252" s="37">
        <f t="shared" si="34"/>
        <v>1547</v>
      </c>
      <c r="I252"/>
      <c r="J252"/>
      <c r="K252"/>
      <c r="L252"/>
      <c r="M252"/>
      <c r="N252" s="87">
        <v>25</v>
      </c>
      <c r="O252" s="87">
        <f t="shared" si="32"/>
        <v>1.19</v>
      </c>
      <c r="P252" s="87">
        <f t="shared" si="33"/>
        <v>29.75</v>
      </c>
    </row>
    <row r="253" spans="1:16" s="41" customFormat="1" x14ac:dyDescent="0.3">
      <c r="A253" s="36">
        <v>30</v>
      </c>
      <c r="B253" s="36"/>
      <c r="C253" s="44" t="s">
        <v>220</v>
      </c>
      <c r="D253" s="40">
        <v>2</v>
      </c>
      <c r="E253" s="40" t="s">
        <v>20</v>
      </c>
      <c r="F253" s="98">
        <f t="shared" si="30"/>
        <v>178.5</v>
      </c>
      <c r="G253" s="37">
        <f t="shared" ref="G253" si="35">D253*F253</f>
        <v>357</v>
      </c>
      <c r="I253"/>
      <c r="J253"/>
      <c r="K253"/>
      <c r="L253"/>
      <c r="M253"/>
      <c r="N253" s="87">
        <v>150</v>
      </c>
      <c r="O253" s="87">
        <f t="shared" si="32"/>
        <v>1.19</v>
      </c>
      <c r="P253" s="87">
        <f t="shared" si="33"/>
        <v>178.5</v>
      </c>
    </row>
    <row r="254" spans="1:16" ht="14.15" x14ac:dyDescent="0.35">
      <c r="A254" s="14"/>
      <c r="B254" s="14"/>
      <c r="C254" s="24" t="s">
        <v>0</v>
      </c>
      <c r="D254" s="78"/>
      <c r="E254" s="25"/>
      <c r="F254" s="99"/>
      <c r="G254" s="26">
        <f>SUM(G195:G252)</f>
        <v>292818.54000000004</v>
      </c>
    </row>
    <row r="255" spans="1:16" x14ac:dyDescent="0.3">
      <c r="B255" s="1"/>
      <c r="C255" s="13" t="s">
        <v>15</v>
      </c>
      <c r="D255" s="36"/>
      <c r="E255" s="16"/>
      <c r="G255" s="15">
        <f>0.21*G254</f>
        <v>61491.893400000008</v>
      </c>
    </row>
    <row r="257" spans="1:16" ht="15.45" x14ac:dyDescent="0.4">
      <c r="C257" s="5" t="s">
        <v>255</v>
      </c>
    </row>
    <row r="258" spans="1:16" x14ac:dyDescent="0.3">
      <c r="A258" s="20" t="s">
        <v>5</v>
      </c>
      <c r="B258" s="20" t="s">
        <v>6</v>
      </c>
      <c r="C258" s="20" t="s">
        <v>7</v>
      </c>
      <c r="D258" s="77"/>
      <c r="E258" s="21" t="s">
        <v>8</v>
      </c>
      <c r="F258" s="97" t="s">
        <v>9</v>
      </c>
      <c r="G258" s="21" t="s">
        <v>0</v>
      </c>
    </row>
    <row r="259" spans="1:16" s="41" customFormat="1" x14ac:dyDescent="0.3">
      <c r="A259" s="36">
        <v>1</v>
      </c>
      <c r="B259" s="40" t="s">
        <v>256</v>
      </c>
      <c r="C259" s="50" t="s">
        <v>257</v>
      </c>
      <c r="D259" s="36">
        <v>1</v>
      </c>
      <c r="E259" s="40" t="s">
        <v>20</v>
      </c>
      <c r="F259" s="98">
        <f t="shared" ref="F259:F299" si="36">L259+P259</f>
        <v>18040.399999999998</v>
      </c>
      <c r="G259" s="37">
        <f t="shared" ref="G259:G299" si="37">D259*F259</f>
        <v>18040.399999999998</v>
      </c>
      <c r="J259" s="85">
        <v>15160</v>
      </c>
      <c r="K259" s="85">
        <f t="shared" ref="K259" si="38">$K$1</f>
        <v>1.19</v>
      </c>
      <c r="L259" s="85">
        <f t="shared" ref="L259:L265" si="39">K259*J259</f>
        <v>18040.399999999998</v>
      </c>
      <c r="M259"/>
      <c r="N259"/>
      <c r="O259"/>
      <c r="P259"/>
    </row>
    <row r="260" spans="1:16" s="41" customFormat="1" x14ac:dyDescent="0.3">
      <c r="A260" s="36">
        <v>2</v>
      </c>
      <c r="B260" s="38" t="s">
        <v>475</v>
      </c>
      <c r="C260" s="38" t="s">
        <v>476</v>
      </c>
      <c r="D260" s="40">
        <v>1</v>
      </c>
      <c r="E260" s="36" t="s">
        <v>20</v>
      </c>
      <c r="F260" s="98">
        <f t="shared" si="36"/>
        <v>8671.5299999999988</v>
      </c>
      <c r="G260" s="37">
        <f t="shared" si="37"/>
        <v>8671.5299999999988</v>
      </c>
      <c r="J260" s="85">
        <v>7287</v>
      </c>
      <c r="K260" s="85">
        <f t="shared" ref="K260:K299" si="40">$K$1</f>
        <v>1.19</v>
      </c>
      <c r="L260" s="85">
        <f t="shared" si="39"/>
        <v>8671.5299999999988</v>
      </c>
      <c r="M260"/>
      <c r="N260"/>
      <c r="O260"/>
      <c r="P260"/>
    </row>
    <row r="261" spans="1:16" s="41" customFormat="1" x14ac:dyDescent="0.3">
      <c r="A261" s="36">
        <v>3</v>
      </c>
      <c r="B261" s="40" t="s">
        <v>258</v>
      </c>
      <c r="C261" s="50" t="s">
        <v>259</v>
      </c>
      <c r="D261" s="36">
        <v>5</v>
      </c>
      <c r="E261" s="40" t="s">
        <v>20</v>
      </c>
      <c r="F261" s="98">
        <f t="shared" si="36"/>
        <v>2769.1299999999997</v>
      </c>
      <c r="G261" s="37">
        <f t="shared" si="37"/>
        <v>13845.649999999998</v>
      </c>
      <c r="J261" s="85">
        <v>2327</v>
      </c>
      <c r="K261" s="85">
        <f t="shared" si="40"/>
        <v>1.19</v>
      </c>
      <c r="L261" s="85">
        <f t="shared" si="39"/>
        <v>2769.1299999999997</v>
      </c>
      <c r="M261"/>
      <c r="N261"/>
      <c r="O261"/>
      <c r="P261"/>
    </row>
    <row r="262" spans="1:16" s="41" customFormat="1" x14ac:dyDescent="0.3">
      <c r="A262" s="36">
        <v>4</v>
      </c>
      <c r="B262" s="40" t="s">
        <v>260</v>
      </c>
      <c r="C262" s="50" t="s">
        <v>261</v>
      </c>
      <c r="D262" s="36">
        <v>5</v>
      </c>
      <c r="E262" s="40" t="s">
        <v>20</v>
      </c>
      <c r="F262" s="98">
        <f t="shared" si="36"/>
        <v>439.70499999999998</v>
      </c>
      <c r="G262" s="37">
        <f t="shared" si="37"/>
        <v>2198.5250000000001</v>
      </c>
      <c r="J262" s="85">
        <v>369.5</v>
      </c>
      <c r="K262" s="85">
        <f t="shared" si="40"/>
        <v>1.19</v>
      </c>
      <c r="L262" s="85">
        <f t="shared" si="39"/>
        <v>439.70499999999998</v>
      </c>
      <c r="M262"/>
      <c r="N262"/>
      <c r="O262"/>
      <c r="P262"/>
    </row>
    <row r="263" spans="1:16" s="41" customFormat="1" x14ac:dyDescent="0.3">
      <c r="A263" s="36">
        <v>5</v>
      </c>
      <c r="B263" s="40" t="s">
        <v>338</v>
      </c>
      <c r="C263" s="50" t="s">
        <v>339</v>
      </c>
      <c r="D263" s="36">
        <v>1</v>
      </c>
      <c r="E263" s="40" t="s">
        <v>20</v>
      </c>
      <c r="F263" s="98">
        <f t="shared" si="36"/>
        <v>4504.1499999999996</v>
      </c>
      <c r="G263" s="37">
        <f t="shared" si="37"/>
        <v>4504.1499999999996</v>
      </c>
      <c r="J263" s="85">
        <v>3785</v>
      </c>
      <c r="K263" s="85">
        <f t="shared" si="40"/>
        <v>1.19</v>
      </c>
      <c r="L263" s="85">
        <f t="shared" si="39"/>
        <v>4504.1499999999996</v>
      </c>
      <c r="M263"/>
      <c r="N263"/>
      <c r="O263"/>
      <c r="P263"/>
    </row>
    <row r="264" spans="1:16" s="41" customFormat="1" x14ac:dyDescent="0.3">
      <c r="A264" s="36">
        <v>6</v>
      </c>
      <c r="B264" s="40" t="s">
        <v>262</v>
      </c>
      <c r="C264" s="50" t="s">
        <v>263</v>
      </c>
      <c r="D264" s="36">
        <v>2</v>
      </c>
      <c r="E264" s="40" t="s">
        <v>20</v>
      </c>
      <c r="F264" s="98">
        <f t="shared" si="36"/>
        <v>1796.8999999999999</v>
      </c>
      <c r="G264" s="37">
        <f t="shared" si="37"/>
        <v>3593.7999999999997</v>
      </c>
      <c r="J264" s="85">
        <v>1510</v>
      </c>
      <c r="K264" s="85">
        <f t="shared" si="40"/>
        <v>1.19</v>
      </c>
      <c r="L264" s="85">
        <f t="shared" si="39"/>
        <v>1796.8999999999999</v>
      </c>
      <c r="M264"/>
      <c r="N264"/>
      <c r="O264"/>
      <c r="P264"/>
    </row>
    <row r="265" spans="1:16" s="41" customFormat="1" x14ac:dyDescent="0.3">
      <c r="A265" s="36">
        <v>7</v>
      </c>
      <c r="B265" s="40" t="s">
        <v>264</v>
      </c>
      <c r="C265" s="50" t="s">
        <v>265</v>
      </c>
      <c r="D265" s="36">
        <v>4</v>
      </c>
      <c r="E265" s="40" t="s">
        <v>20</v>
      </c>
      <c r="F265" s="98">
        <f t="shared" si="36"/>
        <v>449.82</v>
      </c>
      <c r="G265" s="37">
        <f t="shared" si="37"/>
        <v>1799.28</v>
      </c>
      <c r="J265" s="85">
        <v>378</v>
      </c>
      <c r="K265" s="85">
        <f t="shared" si="40"/>
        <v>1.19</v>
      </c>
      <c r="L265" s="85">
        <f t="shared" si="39"/>
        <v>449.82</v>
      </c>
      <c r="M265"/>
      <c r="N265"/>
      <c r="O265"/>
      <c r="P265"/>
    </row>
    <row r="266" spans="1:16" s="41" customFormat="1" x14ac:dyDescent="0.3">
      <c r="A266" s="36">
        <v>8</v>
      </c>
      <c r="B266" s="38" t="s">
        <v>477</v>
      </c>
      <c r="C266" s="38" t="s">
        <v>478</v>
      </c>
      <c r="D266" s="40">
        <v>3</v>
      </c>
      <c r="E266" s="36" t="s">
        <v>20</v>
      </c>
      <c r="F266" s="98">
        <f t="shared" si="36"/>
        <v>428.4</v>
      </c>
      <c r="G266" s="37">
        <f t="shared" si="37"/>
        <v>1285.1999999999998</v>
      </c>
      <c r="J266" s="85">
        <v>360</v>
      </c>
      <c r="K266" s="85">
        <f t="shared" si="40"/>
        <v>1.19</v>
      </c>
      <c r="L266" s="85">
        <f t="shared" ref="L266:L299" si="41">K266*J266</f>
        <v>428.4</v>
      </c>
      <c r="M266"/>
      <c r="N266"/>
      <c r="O266"/>
      <c r="P266"/>
    </row>
    <row r="267" spans="1:16" s="41" customFormat="1" x14ac:dyDescent="0.3">
      <c r="A267" s="36">
        <v>9</v>
      </c>
      <c r="B267" s="38" t="s">
        <v>479</v>
      </c>
      <c r="C267" s="38" t="s">
        <v>480</v>
      </c>
      <c r="D267" s="40">
        <v>3</v>
      </c>
      <c r="E267" s="36" t="s">
        <v>20</v>
      </c>
      <c r="F267" s="98">
        <f t="shared" si="36"/>
        <v>29.75</v>
      </c>
      <c r="G267" s="37">
        <f t="shared" si="37"/>
        <v>89.25</v>
      </c>
      <c r="J267" s="85">
        <v>25</v>
      </c>
      <c r="K267" s="85">
        <f t="shared" si="40"/>
        <v>1.19</v>
      </c>
      <c r="L267" s="85">
        <f t="shared" si="41"/>
        <v>29.75</v>
      </c>
      <c r="M267"/>
      <c r="N267"/>
      <c r="O267"/>
      <c r="P267"/>
    </row>
    <row r="268" spans="1:16" s="41" customFormat="1" x14ac:dyDescent="0.3">
      <c r="A268" s="36">
        <v>10</v>
      </c>
      <c r="B268" s="40" t="s">
        <v>266</v>
      </c>
      <c r="C268" s="50" t="s">
        <v>267</v>
      </c>
      <c r="D268" s="36">
        <v>7</v>
      </c>
      <c r="E268" s="40" t="s">
        <v>20</v>
      </c>
      <c r="F268" s="98">
        <f t="shared" si="36"/>
        <v>449.82</v>
      </c>
      <c r="G268" s="37">
        <f t="shared" si="37"/>
        <v>3148.74</v>
      </c>
      <c r="J268" s="85">
        <v>378</v>
      </c>
      <c r="K268" s="85">
        <f t="shared" si="40"/>
        <v>1.19</v>
      </c>
      <c r="L268" s="85">
        <f t="shared" si="41"/>
        <v>449.82</v>
      </c>
      <c r="M268"/>
      <c r="N268"/>
      <c r="O268"/>
      <c r="P268"/>
    </row>
    <row r="269" spans="1:16" s="41" customFormat="1" x14ac:dyDescent="0.3">
      <c r="A269" s="36">
        <v>11</v>
      </c>
      <c r="B269" s="40" t="s">
        <v>329</v>
      </c>
      <c r="C269" s="50" t="s">
        <v>330</v>
      </c>
      <c r="D269" s="36">
        <v>7</v>
      </c>
      <c r="E269" s="40" t="s">
        <v>20</v>
      </c>
      <c r="F269" s="98">
        <f t="shared" si="36"/>
        <v>1875.4399999999998</v>
      </c>
      <c r="G269" s="37">
        <f t="shared" si="37"/>
        <v>13128.079999999998</v>
      </c>
      <c r="J269" s="85">
        <v>1576</v>
      </c>
      <c r="K269" s="85">
        <f t="shared" si="40"/>
        <v>1.19</v>
      </c>
      <c r="L269" s="85">
        <f t="shared" si="41"/>
        <v>1875.4399999999998</v>
      </c>
      <c r="M269"/>
      <c r="N269"/>
      <c r="O269"/>
      <c r="P269"/>
    </row>
    <row r="270" spans="1:16" s="41" customFormat="1" x14ac:dyDescent="0.3">
      <c r="A270" s="36">
        <v>12</v>
      </c>
      <c r="B270" s="40" t="s">
        <v>364</v>
      </c>
      <c r="C270" s="50" t="s">
        <v>365</v>
      </c>
      <c r="D270" s="36">
        <v>2</v>
      </c>
      <c r="E270" s="40" t="s">
        <v>20</v>
      </c>
      <c r="F270" s="98">
        <f t="shared" si="36"/>
        <v>0</v>
      </c>
      <c r="G270" s="37">
        <f>D270*F270</f>
        <v>0</v>
      </c>
      <c r="J270" s="85"/>
      <c r="K270" s="85">
        <f t="shared" si="40"/>
        <v>1.19</v>
      </c>
      <c r="L270" s="85">
        <f t="shared" si="41"/>
        <v>0</v>
      </c>
      <c r="M270"/>
      <c r="N270"/>
      <c r="O270"/>
      <c r="P270"/>
    </row>
    <row r="271" spans="1:16" s="41" customFormat="1" x14ac:dyDescent="0.3">
      <c r="A271" s="36">
        <v>13</v>
      </c>
      <c r="B271" s="38" t="s">
        <v>481</v>
      </c>
      <c r="C271" s="38" t="s">
        <v>482</v>
      </c>
      <c r="D271" s="40">
        <v>6</v>
      </c>
      <c r="E271" s="36" t="s">
        <v>20</v>
      </c>
      <c r="F271" s="98">
        <f t="shared" si="36"/>
        <v>9879.3799999999992</v>
      </c>
      <c r="G271" s="37">
        <f>D271*F271</f>
        <v>59276.28</v>
      </c>
      <c r="J271" s="85">
        <v>8302</v>
      </c>
      <c r="K271" s="85">
        <f t="shared" si="40"/>
        <v>1.19</v>
      </c>
      <c r="L271" s="85">
        <f t="shared" si="41"/>
        <v>9879.3799999999992</v>
      </c>
      <c r="M271"/>
      <c r="N271"/>
      <c r="O271"/>
      <c r="P271"/>
    </row>
    <row r="272" spans="1:16" s="41" customFormat="1" x14ac:dyDescent="0.3">
      <c r="A272" s="36">
        <v>14</v>
      </c>
      <c r="B272" s="40" t="s">
        <v>297</v>
      </c>
      <c r="C272" s="50" t="s">
        <v>296</v>
      </c>
      <c r="D272" s="36">
        <v>7</v>
      </c>
      <c r="E272" s="40" t="s">
        <v>20</v>
      </c>
      <c r="F272" s="98">
        <f t="shared" si="36"/>
        <v>11424</v>
      </c>
      <c r="G272" s="37">
        <f t="shared" si="37"/>
        <v>79968</v>
      </c>
      <c r="J272" s="85">
        <v>9600</v>
      </c>
      <c r="K272" s="85">
        <f t="shared" si="40"/>
        <v>1.19</v>
      </c>
      <c r="L272" s="85">
        <f t="shared" si="41"/>
        <v>11424</v>
      </c>
      <c r="M272"/>
      <c r="N272"/>
      <c r="O272"/>
      <c r="P272"/>
    </row>
    <row r="273" spans="1:16" s="41" customFormat="1" x14ac:dyDescent="0.3">
      <c r="A273" s="36">
        <v>15</v>
      </c>
      <c r="B273" s="40" t="s">
        <v>298</v>
      </c>
      <c r="C273" s="50" t="s">
        <v>299</v>
      </c>
      <c r="D273" s="36">
        <v>0</v>
      </c>
      <c r="E273" s="40" t="s">
        <v>20</v>
      </c>
      <c r="F273" s="98">
        <f t="shared" si="36"/>
        <v>13328</v>
      </c>
      <c r="G273" s="37">
        <f t="shared" si="37"/>
        <v>0</v>
      </c>
      <c r="J273" s="85">
        <v>11200</v>
      </c>
      <c r="K273" s="85">
        <f t="shared" si="40"/>
        <v>1.19</v>
      </c>
      <c r="L273" s="85">
        <f t="shared" si="41"/>
        <v>13328</v>
      </c>
      <c r="M273"/>
      <c r="N273"/>
      <c r="O273"/>
      <c r="P273"/>
    </row>
    <row r="274" spans="1:16" s="41" customFormat="1" x14ac:dyDescent="0.3">
      <c r="A274" s="36">
        <v>16</v>
      </c>
      <c r="B274" s="38" t="s">
        <v>483</v>
      </c>
      <c r="C274" s="50" t="s">
        <v>484</v>
      </c>
      <c r="D274" s="40">
        <v>13</v>
      </c>
      <c r="E274" s="36" t="s">
        <v>20</v>
      </c>
      <c r="F274" s="98">
        <f t="shared" si="36"/>
        <v>0</v>
      </c>
      <c r="G274" s="37">
        <f>D274*F274</f>
        <v>0</v>
      </c>
      <c r="J274" s="85">
        <v>0</v>
      </c>
      <c r="K274" s="85">
        <f t="shared" si="40"/>
        <v>1.19</v>
      </c>
      <c r="L274" s="85">
        <f t="shared" si="41"/>
        <v>0</v>
      </c>
      <c r="M274"/>
      <c r="N274"/>
      <c r="O274"/>
      <c r="P274"/>
    </row>
    <row r="275" spans="1:16" s="41" customFormat="1" x14ac:dyDescent="0.3">
      <c r="A275" s="36">
        <v>17</v>
      </c>
      <c r="B275" s="38" t="s">
        <v>485</v>
      </c>
      <c r="C275" s="50" t="s">
        <v>486</v>
      </c>
      <c r="D275" s="40">
        <v>52</v>
      </c>
      <c r="E275" s="36" t="s">
        <v>20</v>
      </c>
      <c r="F275" s="98">
        <f t="shared" si="36"/>
        <v>1094.8</v>
      </c>
      <c r="G275" s="37">
        <f t="shared" si="37"/>
        <v>56929.599999999999</v>
      </c>
      <c r="J275" s="85">
        <v>920</v>
      </c>
      <c r="K275" s="85">
        <f t="shared" si="40"/>
        <v>1.19</v>
      </c>
      <c r="L275" s="85">
        <f t="shared" si="41"/>
        <v>1094.8</v>
      </c>
      <c r="M275"/>
      <c r="N275"/>
      <c r="O275"/>
      <c r="P275"/>
    </row>
    <row r="276" spans="1:16" s="41" customFormat="1" x14ac:dyDescent="0.3">
      <c r="A276" s="36">
        <v>18</v>
      </c>
      <c r="B276" s="38" t="s">
        <v>487</v>
      </c>
      <c r="C276" s="50" t="s">
        <v>488</v>
      </c>
      <c r="D276" s="40">
        <v>26</v>
      </c>
      <c r="E276" s="36" t="s">
        <v>20</v>
      </c>
      <c r="F276" s="98">
        <f t="shared" si="36"/>
        <v>434.34999999999997</v>
      </c>
      <c r="G276" s="37">
        <f t="shared" si="37"/>
        <v>11293.099999999999</v>
      </c>
      <c r="J276" s="85">
        <v>365</v>
      </c>
      <c r="K276" s="85">
        <f t="shared" si="40"/>
        <v>1.19</v>
      </c>
      <c r="L276" s="85">
        <f t="shared" si="41"/>
        <v>434.34999999999997</v>
      </c>
      <c r="M276"/>
      <c r="N276"/>
      <c r="O276"/>
      <c r="P276"/>
    </row>
    <row r="277" spans="1:16" s="41" customFormat="1" x14ac:dyDescent="0.3">
      <c r="A277" s="36">
        <v>19</v>
      </c>
      <c r="B277" s="40"/>
      <c r="C277" s="50" t="s">
        <v>291</v>
      </c>
      <c r="D277" s="36">
        <v>26</v>
      </c>
      <c r="E277" s="40" t="s">
        <v>20</v>
      </c>
      <c r="F277" s="98">
        <f t="shared" si="36"/>
        <v>535.5</v>
      </c>
      <c r="G277" s="37">
        <f t="shared" si="37"/>
        <v>13923</v>
      </c>
      <c r="J277" s="85">
        <v>450</v>
      </c>
      <c r="K277" s="85">
        <f t="shared" si="40"/>
        <v>1.19</v>
      </c>
      <c r="L277" s="85">
        <f t="shared" si="41"/>
        <v>535.5</v>
      </c>
      <c r="M277"/>
      <c r="N277"/>
      <c r="O277"/>
      <c r="P277"/>
    </row>
    <row r="278" spans="1:16" s="41" customFormat="1" x14ac:dyDescent="0.3">
      <c r="A278" s="36">
        <v>20</v>
      </c>
      <c r="B278" s="38" t="s">
        <v>489</v>
      </c>
      <c r="C278" s="50" t="s">
        <v>490</v>
      </c>
      <c r="D278" s="40">
        <v>24</v>
      </c>
      <c r="E278" s="36" t="s">
        <v>20</v>
      </c>
      <c r="F278" s="98">
        <f t="shared" si="36"/>
        <v>2201.5</v>
      </c>
      <c r="G278" s="37">
        <f t="shared" si="37"/>
        <v>52836</v>
      </c>
      <c r="J278" s="85">
        <v>1850</v>
      </c>
      <c r="K278" s="85">
        <f t="shared" si="40"/>
        <v>1.19</v>
      </c>
      <c r="L278" s="85">
        <f t="shared" si="41"/>
        <v>2201.5</v>
      </c>
      <c r="M278"/>
      <c r="N278"/>
      <c r="O278"/>
      <c r="P278"/>
    </row>
    <row r="279" spans="1:16" s="41" customFormat="1" x14ac:dyDescent="0.3">
      <c r="A279" s="36">
        <v>21</v>
      </c>
      <c r="B279" s="38" t="s">
        <v>491</v>
      </c>
      <c r="C279" s="50" t="s">
        <v>290</v>
      </c>
      <c r="D279" s="40">
        <v>2</v>
      </c>
      <c r="E279" s="36" t="s">
        <v>20</v>
      </c>
      <c r="F279" s="98">
        <f t="shared" si="36"/>
        <v>1130.5</v>
      </c>
      <c r="G279" s="37">
        <f t="shared" si="37"/>
        <v>2261</v>
      </c>
      <c r="J279" s="85">
        <v>950</v>
      </c>
      <c r="K279" s="85">
        <f t="shared" si="40"/>
        <v>1.19</v>
      </c>
      <c r="L279" s="85">
        <f t="shared" si="41"/>
        <v>1130.5</v>
      </c>
      <c r="M279"/>
      <c r="N279"/>
      <c r="O279"/>
      <c r="P279"/>
    </row>
    <row r="280" spans="1:16" s="41" customFormat="1" x14ac:dyDescent="0.3">
      <c r="A280" s="36">
        <v>22</v>
      </c>
      <c r="B280" s="40" t="s">
        <v>268</v>
      </c>
      <c r="C280" s="50" t="s">
        <v>269</v>
      </c>
      <c r="D280" s="36">
        <v>52</v>
      </c>
      <c r="E280" s="40" t="s">
        <v>20</v>
      </c>
      <c r="F280" s="98">
        <f t="shared" si="36"/>
        <v>79.72999999999999</v>
      </c>
      <c r="G280" s="37">
        <f t="shared" si="37"/>
        <v>4145.9599999999991</v>
      </c>
      <c r="J280" s="85">
        <v>67</v>
      </c>
      <c r="K280" s="85">
        <f t="shared" si="40"/>
        <v>1.19</v>
      </c>
      <c r="L280" s="85">
        <f t="shared" si="41"/>
        <v>79.72999999999999</v>
      </c>
      <c r="M280"/>
      <c r="N280"/>
      <c r="O280"/>
      <c r="P280"/>
    </row>
    <row r="281" spans="1:16" s="41" customFormat="1" x14ac:dyDescent="0.3">
      <c r="A281" s="36">
        <v>23</v>
      </c>
      <c r="B281" s="40"/>
      <c r="C281" s="50" t="s">
        <v>270</v>
      </c>
      <c r="D281" s="36">
        <v>208</v>
      </c>
      <c r="E281" s="40" t="s">
        <v>20</v>
      </c>
      <c r="F281" s="98">
        <f t="shared" si="36"/>
        <v>9.1630000000000003</v>
      </c>
      <c r="G281" s="37">
        <f t="shared" si="37"/>
        <v>1905.904</v>
      </c>
      <c r="J281" s="85">
        <v>7.7</v>
      </c>
      <c r="K281" s="85">
        <f t="shared" si="40"/>
        <v>1.19</v>
      </c>
      <c r="L281" s="85">
        <f t="shared" si="41"/>
        <v>9.1630000000000003</v>
      </c>
      <c r="M281"/>
      <c r="N281"/>
      <c r="O281"/>
      <c r="P281"/>
    </row>
    <row r="282" spans="1:16" s="41" customFormat="1" x14ac:dyDescent="0.3">
      <c r="A282" s="36">
        <v>24</v>
      </c>
      <c r="B282" s="49" t="s">
        <v>492</v>
      </c>
      <c r="C282" s="50" t="s">
        <v>493</v>
      </c>
      <c r="D282" s="40">
        <v>10</v>
      </c>
      <c r="E282" s="36" t="s">
        <v>20</v>
      </c>
      <c r="F282" s="98">
        <f t="shared" si="36"/>
        <v>197.54</v>
      </c>
      <c r="G282" s="37">
        <f t="shared" si="37"/>
        <v>1975.3999999999999</v>
      </c>
      <c r="J282" s="85">
        <v>166</v>
      </c>
      <c r="K282" s="85">
        <f t="shared" si="40"/>
        <v>1.19</v>
      </c>
      <c r="L282" s="85">
        <f t="shared" si="41"/>
        <v>197.54</v>
      </c>
      <c r="M282"/>
      <c r="N282"/>
      <c r="O282"/>
      <c r="P282"/>
    </row>
    <row r="283" spans="1:16" s="41" customFormat="1" x14ac:dyDescent="0.3">
      <c r="A283" s="36">
        <v>25</v>
      </c>
      <c r="B283" s="40" t="s">
        <v>271</v>
      </c>
      <c r="C283" s="50" t="s">
        <v>272</v>
      </c>
      <c r="D283" s="36">
        <v>10</v>
      </c>
      <c r="E283" s="40" t="s">
        <v>20</v>
      </c>
      <c r="F283" s="98">
        <f t="shared" si="36"/>
        <v>197.54</v>
      </c>
      <c r="G283" s="37">
        <f t="shared" si="37"/>
        <v>1975.3999999999999</v>
      </c>
      <c r="J283" s="85">
        <v>166</v>
      </c>
      <c r="K283" s="85">
        <f t="shared" si="40"/>
        <v>1.19</v>
      </c>
      <c r="L283" s="85">
        <f t="shared" si="41"/>
        <v>197.54</v>
      </c>
      <c r="M283"/>
      <c r="N283"/>
      <c r="O283"/>
      <c r="P283"/>
    </row>
    <row r="284" spans="1:16" s="41" customFormat="1" x14ac:dyDescent="0.3">
      <c r="A284" s="36">
        <v>26</v>
      </c>
      <c r="B284" s="38" t="s">
        <v>494</v>
      </c>
      <c r="C284" s="50" t="s">
        <v>495</v>
      </c>
      <c r="D284" s="40">
        <v>5</v>
      </c>
      <c r="E284" s="36" t="s">
        <v>20</v>
      </c>
      <c r="F284" s="98">
        <f t="shared" si="36"/>
        <v>3510.5</v>
      </c>
      <c r="G284" s="37">
        <f t="shared" si="37"/>
        <v>17552.5</v>
      </c>
      <c r="J284" s="85">
        <v>2950</v>
      </c>
      <c r="K284" s="85">
        <f t="shared" si="40"/>
        <v>1.19</v>
      </c>
      <c r="L284" s="85">
        <f t="shared" si="41"/>
        <v>3510.5</v>
      </c>
      <c r="M284"/>
      <c r="N284"/>
      <c r="O284"/>
      <c r="P284"/>
    </row>
    <row r="285" spans="1:16" s="41" customFormat="1" x14ac:dyDescent="0.3">
      <c r="A285" s="36">
        <v>27</v>
      </c>
      <c r="B285" s="38" t="s">
        <v>496</v>
      </c>
      <c r="C285" s="50" t="s">
        <v>497</v>
      </c>
      <c r="D285" s="40">
        <v>10</v>
      </c>
      <c r="E285" s="36" t="s">
        <v>20</v>
      </c>
      <c r="F285" s="98">
        <f t="shared" si="36"/>
        <v>597.38</v>
      </c>
      <c r="G285" s="37">
        <f t="shared" si="37"/>
        <v>5973.8</v>
      </c>
      <c r="J285" s="85">
        <v>502</v>
      </c>
      <c r="K285" s="85">
        <f t="shared" si="40"/>
        <v>1.19</v>
      </c>
      <c r="L285" s="85">
        <f t="shared" si="41"/>
        <v>597.38</v>
      </c>
      <c r="M285"/>
      <c r="N285"/>
      <c r="O285"/>
      <c r="P285"/>
    </row>
    <row r="286" spans="1:16" s="41" customFormat="1" x14ac:dyDescent="0.3">
      <c r="A286" s="36">
        <v>28</v>
      </c>
      <c r="B286" s="38" t="s">
        <v>498</v>
      </c>
      <c r="C286" s="50" t="s">
        <v>499</v>
      </c>
      <c r="D286" s="40">
        <v>5</v>
      </c>
      <c r="E286" s="36" t="s">
        <v>20</v>
      </c>
      <c r="F286" s="98">
        <f t="shared" si="36"/>
        <v>3189.2</v>
      </c>
      <c r="G286" s="37">
        <f t="shared" si="37"/>
        <v>15946</v>
      </c>
      <c r="J286" s="85">
        <v>2680</v>
      </c>
      <c r="K286" s="85">
        <f t="shared" si="40"/>
        <v>1.19</v>
      </c>
      <c r="L286" s="85">
        <f t="shared" si="41"/>
        <v>3189.2</v>
      </c>
      <c r="M286"/>
      <c r="N286"/>
      <c r="O286"/>
      <c r="P286"/>
    </row>
    <row r="287" spans="1:16" s="41" customFormat="1" x14ac:dyDescent="0.3">
      <c r="A287" s="36">
        <v>29</v>
      </c>
      <c r="B287" s="40" t="s">
        <v>273</v>
      </c>
      <c r="C287" s="50" t="s">
        <v>274</v>
      </c>
      <c r="D287" s="36">
        <v>1</v>
      </c>
      <c r="E287" s="40" t="s">
        <v>20</v>
      </c>
      <c r="F287" s="98">
        <f t="shared" si="36"/>
        <v>3752.0699999999997</v>
      </c>
      <c r="G287" s="37">
        <f t="shared" si="37"/>
        <v>3752.0699999999997</v>
      </c>
      <c r="J287" s="85">
        <v>3153</v>
      </c>
      <c r="K287" s="85">
        <f t="shared" si="40"/>
        <v>1.19</v>
      </c>
      <c r="L287" s="85">
        <f t="shared" si="41"/>
        <v>3752.0699999999997</v>
      </c>
      <c r="M287"/>
      <c r="N287"/>
      <c r="O287"/>
      <c r="P287"/>
    </row>
    <row r="288" spans="1:16" s="41" customFormat="1" x14ac:dyDescent="0.3">
      <c r="A288" s="36">
        <v>30</v>
      </c>
      <c r="B288" s="40" t="s">
        <v>276</v>
      </c>
      <c r="C288" s="50" t="s">
        <v>277</v>
      </c>
      <c r="D288" s="36">
        <v>20</v>
      </c>
      <c r="E288" s="40" t="s">
        <v>20</v>
      </c>
      <c r="F288" s="98">
        <f t="shared" si="36"/>
        <v>21.419999999999998</v>
      </c>
      <c r="G288" s="37">
        <f t="shared" si="37"/>
        <v>428.4</v>
      </c>
      <c r="J288" s="85">
        <v>18</v>
      </c>
      <c r="K288" s="85">
        <f t="shared" si="40"/>
        <v>1.19</v>
      </c>
      <c r="L288" s="85">
        <f t="shared" si="41"/>
        <v>21.419999999999998</v>
      </c>
      <c r="M288"/>
      <c r="N288"/>
      <c r="O288"/>
      <c r="P288"/>
    </row>
    <row r="289" spans="1:16" s="41" customFormat="1" x14ac:dyDescent="0.3">
      <c r="A289" s="36">
        <v>31</v>
      </c>
      <c r="B289" s="40" t="s">
        <v>278</v>
      </c>
      <c r="C289" s="50" t="s">
        <v>279</v>
      </c>
      <c r="D289" s="36">
        <v>2145</v>
      </c>
      <c r="E289" s="40" t="s">
        <v>20</v>
      </c>
      <c r="F289" s="98">
        <f t="shared" si="36"/>
        <v>8.0206</v>
      </c>
      <c r="G289" s="37">
        <f t="shared" si="37"/>
        <v>17204.186999999998</v>
      </c>
      <c r="J289" s="85">
        <v>6.74</v>
      </c>
      <c r="K289" s="85">
        <f t="shared" si="40"/>
        <v>1.19</v>
      </c>
      <c r="L289" s="85">
        <f t="shared" si="41"/>
        <v>8.0206</v>
      </c>
      <c r="M289"/>
      <c r="N289"/>
      <c r="O289"/>
      <c r="P289"/>
    </row>
    <row r="290" spans="1:16" s="41" customFormat="1" x14ac:dyDescent="0.3">
      <c r="A290" s="36">
        <v>32</v>
      </c>
      <c r="B290" s="40" t="s">
        <v>280</v>
      </c>
      <c r="C290" s="50" t="s">
        <v>281</v>
      </c>
      <c r="D290" s="36">
        <v>126</v>
      </c>
      <c r="E290" s="40" t="s">
        <v>24</v>
      </c>
      <c r="F290" s="98">
        <f t="shared" si="36"/>
        <v>17.016999999999999</v>
      </c>
      <c r="G290" s="37">
        <f t="shared" si="37"/>
        <v>2144.1419999999998</v>
      </c>
      <c r="J290" s="85">
        <v>14.3</v>
      </c>
      <c r="K290" s="85">
        <f t="shared" si="40"/>
        <v>1.19</v>
      </c>
      <c r="L290" s="85">
        <f t="shared" si="41"/>
        <v>17.016999999999999</v>
      </c>
      <c r="M290"/>
      <c r="N290"/>
      <c r="O290"/>
      <c r="P290"/>
    </row>
    <row r="291" spans="1:16" s="41" customFormat="1" x14ac:dyDescent="0.3">
      <c r="A291" s="36">
        <v>33</v>
      </c>
      <c r="B291" s="40"/>
      <c r="C291" s="50" t="s">
        <v>282</v>
      </c>
      <c r="D291" s="36">
        <v>126</v>
      </c>
      <c r="E291" s="40" t="s">
        <v>24</v>
      </c>
      <c r="F291" s="98">
        <f t="shared" si="36"/>
        <v>8.3895</v>
      </c>
      <c r="G291" s="37">
        <f t="shared" si="37"/>
        <v>1057.077</v>
      </c>
      <c r="J291" s="85">
        <v>7.05</v>
      </c>
      <c r="K291" s="85">
        <f t="shared" si="40"/>
        <v>1.19</v>
      </c>
      <c r="L291" s="85">
        <f t="shared" si="41"/>
        <v>8.3895</v>
      </c>
      <c r="M291"/>
      <c r="N291"/>
      <c r="O291"/>
      <c r="P291"/>
    </row>
    <row r="292" spans="1:16" s="41" customFormat="1" x14ac:dyDescent="0.3">
      <c r="A292" s="36">
        <v>34</v>
      </c>
      <c r="B292" s="40" t="s">
        <v>283</v>
      </c>
      <c r="C292" s="50" t="s">
        <v>284</v>
      </c>
      <c r="D292" s="36">
        <v>1716</v>
      </c>
      <c r="E292" s="40" t="s">
        <v>24</v>
      </c>
      <c r="F292" s="98">
        <f t="shared" si="36"/>
        <v>45.695999999999998</v>
      </c>
      <c r="G292" s="37">
        <f t="shared" si="37"/>
        <v>78414.335999999996</v>
      </c>
      <c r="H292" s="41">
        <v>550</v>
      </c>
      <c r="J292" s="85">
        <v>38.4</v>
      </c>
      <c r="K292" s="85">
        <f t="shared" si="40"/>
        <v>1.19</v>
      </c>
      <c r="L292" s="85">
        <f t="shared" si="41"/>
        <v>45.695999999999998</v>
      </c>
      <c r="M292"/>
      <c r="N292"/>
      <c r="O292"/>
      <c r="P292"/>
    </row>
    <row r="293" spans="1:16" s="41" customFormat="1" x14ac:dyDescent="0.3">
      <c r="A293" s="36">
        <v>35</v>
      </c>
      <c r="B293" s="40" t="s">
        <v>285</v>
      </c>
      <c r="C293" s="50" t="s">
        <v>286</v>
      </c>
      <c r="D293" s="36">
        <v>3432</v>
      </c>
      <c r="E293" s="40" t="s">
        <v>24</v>
      </c>
      <c r="F293" s="98">
        <f t="shared" si="36"/>
        <v>17.730999999999998</v>
      </c>
      <c r="G293" s="37">
        <f t="shared" si="37"/>
        <v>60852.791999999994</v>
      </c>
      <c r="H293" s="41">
        <v>1250</v>
      </c>
      <c r="J293" s="85">
        <v>14.9</v>
      </c>
      <c r="K293" s="85">
        <f t="shared" si="40"/>
        <v>1.19</v>
      </c>
      <c r="L293" s="85">
        <f t="shared" si="41"/>
        <v>17.730999999999998</v>
      </c>
      <c r="M293"/>
      <c r="N293"/>
      <c r="O293"/>
      <c r="P293"/>
    </row>
    <row r="294" spans="1:16" s="41" customFormat="1" x14ac:dyDescent="0.3">
      <c r="A294" s="36">
        <v>36</v>
      </c>
      <c r="B294" s="40"/>
      <c r="C294" s="50" t="s">
        <v>275</v>
      </c>
      <c r="D294" s="36">
        <v>1</v>
      </c>
      <c r="E294" s="40" t="s">
        <v>20</v>
      </c>
      <c r="F294" s="98">
        <f t="shared" si="36"/>
        <v>1172.1499999999999</v>
      </c>
      <c r="G294" s="37">
        <f t="shared" si="37"/>
        <v>1172.1499999999999</v>
      </c>
      <c r="J294" s="85">
        <v>985</v>
      </c>
      <c r="K294" s="85">
        <f t="shared" si="40"/>
        <v>1.19</v>
      </c>
      <c r="L294" s="85">
        <f t="shared" si="41"/>
        <v>1172.1499999999999</v>
      </c>
      <c r="M294"/>
      <c r="N294"/>
      <c r="O294"/>
      <c r="P294"/>
    </row>
    <row r="295" spans="1:16" s="41" customFormat="1" x14ac:dyDescent="0.3">
      <c r="A295" s="36">
        <v>37</v>
      </c>
      <c r="B295" s="40"/>
      <c r="C295" s="50" t="s">
        <v>340</v>
      </c>
      <c r="D295" s="36">
        <v>2</v>
      </c>
      <c r="E295" s="40" t="s">
        <v>20</v>
      </c>
      <c r="F295" s="98">
        <f t="shared" si="36"/>
        <v>323.68</v>
      </c>
      <c r="G295" s="37">
        <f t="shared" si="37"/>
        <v>647.36</v>
      </c>
      <c r="J295" s="85">
        <v>272</v>
      </c>
      <c r="K295" s="85">
        <f t="shared" si="40"/>
        <v>1.19</v>
      </c>
      <c r="L295" s="85">
        <f t="shared" si="41"/>
        <v>323.68</v>
      </c>
      <c r="M295"/>
      <c r="N295"/>
      <c r="O295"/>
      <c r="P295"/>
    </row>
    <row r="296" spans="1:16" s="41" customFormat="1" x14ac:dyDescent="0.3">
      <c r="A296" s="36">
        <v>38</v>
      </c>
      <c r="B296" s="38" t="s">
        <v>500</v>
      </c>
      <c r="C296" s="38" t="s">
        <v>501</v>
      </c>
      <c r="D296" s="40">
        <v>2</v>
      </c>
      <c r="E296" s="36" t="s">
        <v>20</v>
      </c>
      <c r="F296" s="98">
        <f t="shared" si="36"/>
        <v>535.5</v>
      </c>
      <c r="G296" s="37">
        <f t="shared" si="37"/>
        <v>1071</v>
      </c>
      <c r="J296" s="85">
        <v>450</v>
      </c>
      <c r="K296" s="85">
        <f t="shared" si="40"/>
        <v>1.19</v>
      </c>
      <c r="L296" s="85">
        <f t="shared" si="41"/>
        <v>535.5</v>
      </c>
      <c r="M296"/>
      <c r="N296"/>
      <c r="O296"/>
      <c r="P296"/>
    </row>
    <row r="297" spans="1:16" s="41" customFormat="1" x14ac:dyDescent="0.3">
      <c r="A297" s="36">
        <v>39</v>
      </c>
      <c r="B297" s="38" t="s">
        <v>502</v>
      </c>
      <c r="C297" s="38" t="s">
        <v>503</v>
      </c>
      <c r="D297" s="40">
        <v>2</v>
      </c>
      <c r="E297" s="36" t="s">
        <v>20</v>
      </c>
      <c r="F297" s="98">
        <f t="shared" si="36"/>
        <v>535.5</v>
      </c>
      <c r="G297" s="37">
        <f t="shared" si="37"/>
        <v>1071</v>
      </c>
      <c r="J297" s="85">
        <v>450</v>
      </c>
      <c r="K297" s="85">
        <f t="shared" si="40"/>
        <v>1.19</v>
      </c>
      <c r="L297" s="85">
        <f t="shared" si="41"/>
        <v>535.5</v>
      </c>
      <c r="M297"/>
      <c r="N297"/>
      <c r="O297"/>
      <c r="P297"/>
    </row>
    <row r="298" spans="1:16" s="41" customFormat="1" x14ac:dyDescent="0.3">
      <c r="A298" s="36">
        <v>40</v>
      </c>
      <c r="B298" s="40" t="s">
        <v>360</v>
      </c>
      <c r="C298" s="50" t="s">
        <v>361</v>
      </c>
      <c r="D298" s="36">
        <v>1</v>
      </c>
      <c r="E298" s="40" t="s">
        <v>20</v>
      </c>
      <c r="F298" s="98">
        <f t="shared" si="36"/>
        <v>1813.56</v>
      </c>
      <c r="G298" s="37">
        <f t="shared" si="37"/>
        <v>1813.56</v>
      </c>
      <c r="J298" s="85">
        <v>1524</v>
      </c>
      <c r="K298" s="85">
        <f t="shared" si="40"/>
        <v>1.19</v>
      </c>
      <c r="L298" s="85">
        <f t="shared" si="41"/>
        <v>1813.56</v>
      </c>
      <c r="M298"/>
      <c r="N298"/>
      <c r="O298"/>
      <c r="P298"/>
    </row>
    <row r="299" spans="1:16" s="41" customFormat="1" x14ac:dyDescent="0.3">
      <c r="A299" s="36">
        <v>41</v>
      </c>
      <c r="B299" s="40" t="s">
        <v>362</v>
      </c>
      <c r="C299" s="50" t="s">
        <v>363</v>
      </c>
      <c r="D299" s="36">
        <v>2</v>
      </c>
      <c r="E299" s="40" t="s">
        <v>20</v>
      </c>
      <c r="F299" s="98">
        <f t="shared" si="36"/>
        <v>3249.89</v>
      </c>
      <c r="G299" s="37">
        <f t="shared" si="37"/>
        <v>6499.78</v>
      </c>
      <c r="H299" s="93" t="s">
        <v>525</v>
      </c>
      <c r="J299" s="85">
        <v>2731</v>
      </c>
      <c r="K299" s="85">
        <f t="shared" si="40"/>
        <v>1.19</v>
      </c>
      <c r="L299" s="85">
        <f t="shared" si="41"/>
        <v>3249.89</v>
      </c>
      <c r="M299"/>
      <c r="N299"/>
      <c r="O299"/>
      <c r="P299"/>
    </row>
    <row r="300" spans="1:16" ht="14.15" x14ac:dyDescent="0.35">
      <c r="A300" s="14"/>
      <c r="B300" s="14"/>
      <c r="C300" s="24" t="s">
        <v>0</v>
      </c>
      <c r="D300" s="78"/>
      <c r="E300" s="25"/>
      <c r="F300" s="99"/>
      <c r="G300" s="26">
        <f>SUM(G259:G299)</f>
        <v>572394.40300000005</v>
      </c>
    </row>
    <row r="301" spans="1:16" x14ac:dyDescent="0.3">
      <c r="B301" s="1"/>
      <c r="C301" s="13" t="s">
        <v>15</v>
      </c>
      <c r="D301" s="36"/>
      <c r="E301" s="16"/>
      <c r="G301" s="15">
        <f>0.21*G300</f>
        <v>120202.82463</v>
      </c>
    </row>
    <row r="303" spans="1:16" ht="15.45" x14ac:dyDescent="0.4">
      <c r="C303" s="5" t="s">
        <v>300</v>
      </c>
    </row>
    <row r="304" spans="1:16" x14ac:dyDescent="0.3">
      <c r="A304" s="20" t="s">
        <v>5</v>
      </c>
      <c r="B304" s="20" t="s">
        <v>6</v>
      </c>
      <c r="C304" s="20" t="s">
        <v>7</v>
      </c>
      <c r="D304" s="77"/>
      <c r="E304" s="21" t="s">
        <v>8</v>
      </c>
      <c r="F304" s="97" t="s">
        <v>9</v>
      </c>
      <c r="G304" s="21" t="s">
        <v>0</v>
      </c>
    </row>
    <row r="305" spans="1:16" x14ac:dyDescent="0.3">
      <c r="A305" s="22">
        <v>1</v>
      </c>
      <c r="B305" s="22" t="s">
        <v>242</v>
      </c>
      <c r="C305" s="22" t="s">
        <v>301</v>
      </c>
      <c r="D305" s="40">
        <v>234</v>
      </c>
      <c r="E305" s="22" t="s">
        <v>24</v>
      </c>
      <c r="F305" s="98">
        <f t="shared" ref="F305:F324" si="42">L305+P305</f>
        <v>26.18</v>
      </c>
      <c r="G305" s="23">
        <f t="shared" ref="G305:G324" si="43">D305*F305</f>
        <v>6126.12</v>
      </c>
      <c r="N305" s="87">
        <v>22</v>
      </c>
      <c r="O305" s="87">
        <f t="shared" ref="O305:O323" si="44">$O$1</f>
        <v>1.19</v>
      </c>
      <c r="P305" s="87">
        <f t="shared" ref="P305:P324" si="45">O305*N305</f>
        <v>26.18</v>
      </c>
    </row>
    <row r="306" spans="1:16" x14ac:dyDescent="0.3">
      <c r="A306" s="22">
        <v>2</v>
      </c>
      <c r="B306" s="22" t="s">
        <v>302</v>
      </c>
      <c r="C306" s="22" t="s">
        <v>303</v>
      </c>
      <c r="D306" s="40">
        <v>32</v>
      </c>
      <c r="E306" s="22" t="s">
        <v>20</v>
      </c>
      <c r="F306" s="98">
        <f t="shared" si="42"/>
        <v>77.349999999999994</v>
      </c>
      <c r="G306" s="23">
        <f t="shared" si="43"/>
        <v>2475.1999999999998</v>
      </c>
      <c r="N306" s="87">
        <v>65</v>
      </c>
      <c r="O306" s="87">
        <f t="shared" si="44"/>
        <v>1.19</v>
      </c>
      <c r="P306" s="87">
        <f t="shared" si="45"/>
        <v>77.349999999999994</v>
      </c>
    </row>
    <row r="307" spans="1:16" x14ac:dyDescent="0.3">
      <c r="A307" s="22">
        <v>3</v>
      </c>
      <c r="B307" s="22" t="s">
        <v>223</v>
      </c>
      <c r="C307" s="22" t="s">
        <v>224</v>
      </c>
      <c r="D307" s="40">
        <v>32</v>
      </c>
      <c r="E307" s="22" t="s">
        <v>20</v>
      </c>
      <c r="F307" s="98">
        <f t="shared" si="42"/>
        <v>29.75</v>
      </c>
      <c r="G307" s="23">
        <f t="shared" si="43"/>
        <v>952</v>
      </c>
      <c r="N307" s="87">
        <v>25</v>
      </c>
      <c r="O307" s="87">
        <f t="shared" si="44"/>
        <v>1.19</v>
      </c>
      <c r="P307" s="87">
        <f t="shared" si="45"/>
        <v>29.75</v>
      </c>
    </row>
    <row r="308" spans="1:16" x14ac:dyDescent="0.3">
      <c r="A308" s="22">
        <v>4</v>
      </c>
      <c r="B308" s="22" t="s">
        <v>225</v>
      </c>
      <c r="C308" s="22" t="s">
        <v>226</v>
      </c>
      <c r="D308" s="40">
        <v>32</v>
      </c>
      <c r="E308" s="22" t="s">
        <v>20</v>
      </c>
      <c r="F308" s="98">
        <f t="shared" si="42"/>
        <v>57.12</v>
      </c>
      <c r="G308" s="23">
        <f t="shared" si="43"/>
        <v>1827.84</v>
      </c>
      <c r="N308" s="87">
        <v>48</v>
      </c>
      <c r="O308" s="87">
        <f t="shared" si="44"/>
        <v>1.19</v>
      </c>
      <c r="P308" s="87">
        <f t="shared" si="45"/>
        <v>57.12</v>
      </c>
    </row>
    <row r="309" spans="1:16" x14ac:dyDescent="0.3">
      <c r="A309" s="22">
        <v>5</v>
      </c>
      <c r="B309" s="22" t="s">
        <v>124</v>
      </c>
      <c r="C309" s="22" t="s">
        <v>304</v>
      </c>
      <c r="D309" s="40">
        <v>32</v>
      </c>
      <c r="E309" s="22" t="s">
        <v>20</v>
      </c>
      <c r="F309" s="98">
        <f t="shared" si="42"/>
        <v>53.55</v>
      </c>
      <c r="G309" s="23">
        <f t="shared" si="43"/>
        <v>1713.6</v>
      </c>
      <c r="N309" s="87">
        <v>45</v>
      </c>
      <c r="O309" s="87">
        <f t="shared" si="44"/>
        <v>1.19</v>
      </c>
      <c r="P309" s="87">
        <f t="shared" si="45"/>
        <v>53.55</v>
      </c>
    </row>
    <row r="310" spans="1:16" x14ac:dyDescent="0.3">
      <c r="A310" s="22">
        <v>6</v>
      </c>
      <c r="B310" s="22" t="s">
        <v>125</v>
      </c>
      <c r="C310" s="22" t="s">
        <v>305</v>
      </c>
      <c r="D310" s="40">
        <v>1</v>
      </c>
      <c r="E310" s="22" t="s">
        <v>20</v>
      </c>
      <c r="F310" s="98">
        <f t="shared" si="42"/>
        <v>17.849999999999998</v>
      </c>
      <c r="G310" s="23">
        <f t="shared" si="43"/>
        <v>17.849999999999998</v>
      </c>
      <c r="N310" s="87">
        <v>15</v>
      </c>
      <c r="O310" s="87">
        <f t="shared" si="44"/>
        <v>1.19</v>
      </c>
      <c r="P310" s="87">
        <f t="shared" si="45"/>
        <v>17.849999999999998</v>
      </c>
    </row>
    <row r="311" spans="1:16" x14ac:dyDescent="0.3">
      <c r="A311" s="22">
        <v>7</v>
      </c>
      <c r="B311" s="22"/>
      <c r="C311" s="22" t="s">
        <v>306</v>
      </c>
      <c r="D311" s="40">
        <v>2</v>
      </c>
      <c r="E311" s="22" t="s">
        <v>20</v>
      </c>
      <c r="F311" s="98">
        <f t="shared" si="42"/>
        <v>95.199999999999989</v>
      </c>
      <c r="G311" s="23">
        <f t="shared" si="43"/>
        <v>190.39999999999998</v>
      </c>
      <c r="N311" s="87">
        <v>80</v>
      </c>
      <c r="O311" s="87">
        <f t="shared" si="44"/>
        <v>1.19</v>
      </c>
      <c r="P311" s="87">
        <f t="shared" si="45"/>
        <v>95.199999999999989</v>
      </c>
    </row>
    <row r="312" spans="1:16" x14ac:dyDescent="0.3">
      <c r="A312" s="22">
        <v>8</v>
      </c>
      <c r="B312" s="22" t="s">
        <v>122</v>
      </c>
      <c r="C312" s="22" t="s">
        <v>133</v>
      </c>
      <c r="D312" s="40">
        <v>1</v>
      </c>
      <c r="E312" s="22" t="s">
        <v>20</v>
      </c>
      <c r="F312" s="98">
        <f t="shared" si="42"/>
        <v>785.4</v>
      </c>
      <c r="G312" s="23">
        <f t="shared" si="43"/>
        <v>785.4</v>
      </c>
      <c r="N312" s="87">
        <v>660</v>
      </c>
      <c r="O312" s="87">
        <f t="shared" si="44"/>
        <v>1.19</v>
      </c>
      <c r="P312" s="87">
        <f t="shared" si="45"/>
        <v>785.4</v>
      </c>
    </row>
    <row r="313" spans="1:16" x14ac:dyDescent="0.3">
      <c r="A313" s="22">
        <v>9</v>
      </c>
      <c r="B313" s="22" t="s">
        <v>307</v>
      </c>
      <c r="C313" s="22" t="s">
        <v>308</v>
      </c>
      <c r="D313" s="40">
        <v>1</v>
      </c>
      <c r="E313" s="22" t="s">
        <v>20</v>
      </c>
      <c r="F313" s="98">
        <f t="shared" si="42"/>
        <v>297.5</v>
      </c>
      <c r="G313" s="23">
        <f t="shared" si="43"/>
        <v>297.5</v>
      </c>
      <c r="N313" s="87">
        <v>250</v>
      </c>
      <c r="O313" s="87">
        <f t="shared" si="44"/>
        <v>1.19</v>
      </c>
      <c r="P313" s="87">
        <f t="shared" si="45"/>
        <v>297.5</v>
      </c>
    </row>
    <row r="314" spans="1:16" x14ac:dyDescent="0.3">
      <c r="A314" s="22">
        <v>10</v>
      </c>
      <c r="B314" s="22" t="s">
        <v>309</v>
      </c>
      <c r="C314" s="22" t="s">
        <v>510</v>
      </c>
      <c r="D314" s="40">
        <v>1</v>
      </c>
      <c r="E314" s="22" t="s">
        <v>20</v>
      </c>
      <c r="F314" s="98">
        <f t="shared" si="42"/>
        <v>309.39999999999998</v>
      </c>
      <c r="G314" s="23">
        <f t="shared" si="43"/>
        <v>309.39999999999998</v>
      </c>
      <c r="N314" s="87">
        <v>260</v>
      </c>
      <c r="O314" s="87">
        <f t="shared" si="44"/>
        <v>1.19</v>
      </c>
      <c r="P314" s="87">
        <f t="shared" si="45"/>
        <v>309.39999999999998</v>
      </c>
    </row>
    <row r="315" spans="1:16" x14ac:dyDescent="0.3">
      <c r="A315" s="22">
        <v>11</v>
      </c>
      <c r="B315" s="22" t="s">
        <v>310</v>
      </c>
      <c r="C315" s="22" t="s">
        <v>311</v>
      </c>
      <c r="D315" s="40">
        <v>13</v>
      </c>
      <c r="E315" s="22" t="s">
        <v>20</v>
      </c>
      <c r="F315" s="98">
        <f t="shared" si="42"/>
        <v>95.199999999999989</v>
      </c>
      <c r="G315" s="23">
        <f t="shared" si="43"/>
        <v>1237.5999999999999</v>
      </c>
      <c r="N315" s="87">
        <v>80</v>
      </c>
      <c r="O315" s="87">
        <f t="shared" si="44"/>
        <v>1.19</v>
      </c>
      <c r="P315" s="87">
        <f t="shared" si="45"/>
        <v>95.199999999999989</v>
      </c>
    </row>
    <row r="316" spans="1:16" x14ac:dyDescent="0.3">
      <c r="A316" s="22">
        <v>12</v>
      </c>
      <c r="B316" s="22" t="s">
        <v>312</v>
      </c>
      <c r="C316" s="22" t="s">
        <v>313</v>
      </c>
      <c r="D316" s="40">
        <v>3</v>
      </c>
      <c r="E316" s="22" t="s">
        <v>20</v>
      </c>
      <c r="F316" s="98">
        <f t="shared" si="42"/>
        <v>297.5</v>
      </c>
      <c r="G316" s="23">
        <f t="shared" si="43"/>
        <v>892.5</v>
      </c>
      <c r="N316" s="87">
        <v>250</v>
      </c>
      <c r="O316" s="87">
        <f t="shared" si="44"/>
        <v>1.19</v>
      </c>
      <c r="P316" s="87">
        <f t="shared" si="45"/>
        <v>297.5</v>
      </c>
    </row>
    <row r="317" spans="1:16" x14ac:dyDescent="0.3">
      <c r="A317" s="22">
        <v>13</v>
      </c>
      <c r="B317" s="22" t="s">
        <v>314</v>
      </c>
      <c r="C317" s="22" t="s">
        <v>315</v>
      </c>
      <c r="D317" s="40">
        <v>10</v>
      </c>
      <c r="E317" s="22" t="s">
        <v>20</v>
      </c>
      <c r="F317" s="98">
        <f t="shared" si="42"/>
        <v>357</v>
      </c>
      <c r="G317" s="23">
        <f t="shared" si="43"/>
        <v>3570</v>
      </c>
      <c r="N317" s="87">
        <v>300</v>
      </c>
      <c r="O317" s="87">
        <f t="shared" si="44"/>
        <v>1.19</v>
      </c>
      <c r="P317" s="87">
        <f t="shared" si="45"/>
        <v>357</v>
      </c>
    </row>
    <row r="318" spans="1:16" x14ac:dyDescent="0.3">
      <c r="A318" s="22">
        <v>14</v>
      </c>
      <c r="B318" s="22"/>
      <c r="C318" s="22" t="s">
        <v>86</v>
      </c>
      <c r="D318" s="40">
        <v>8</v>
      </c>
      <c r="E318" s="22" t="s">
        <v>83</v>
      </c>
      <c r="F318" s="98">
        <f t="shared" si="42"/>
        <v>535.5</v>
      </c>
      <c r="G318" s="23">
        <f t="shared" si="43"/>
        <v>4284</v>
      </c>
      <c r="N318" s="87">
        <v>450</v>
      </c>
      <c r="O318" s="87">
        <f t="shared" si="44"/>
        <v>1.19</v>
      </c>
      <c r="P318" s="87">
        <f t="shared" si="45"/>
        <v>535.5</v>
      </c>
    </row>
    <row r="319" spans="1:16" x14ac:dyDescent="0.3">
      <c r="A319" s="22">
        <v>15</v>
      </c>
      <c r="B319" s="22"/>
      <c r="C319" s="22" t="s">
        <v>87</v>
      </c>
      <c r="D319" s="40">
        <v>8</v>
      </c>
      <c r="E319" s="22" t="s">
        <v>83</v>
      </c>
      <c r="F319" s="98">
        <f t="shared" si="42"/>
        <v>535.5</v>
      </c>
      <c r="G319" s="23">
        <f t="shared" si="43"/>
        <v>4284</v>
      </c>
      <c r="N319" s="87">
        <v>450</v>
      </c>
      <c r="O319" s="87">
        <f t="shared" si="44"/>
        <v>1.19</v>
      </c>
      <c r="P319" s="87">
        <f t="shared" si="45"/>
        <v>535.5</v>
      </c>
    </row>
    <row r="320" spans="1:16" x14ac:dyDescent="0.3">
      <c r="A320" s="22">
        <v>16</v>
      </c>
      <c r="B320" s="22"/>
      <c r="C320" s="22" t="s">
        <v>248</v>
      </c>
      <c r="D320" s="40">
        <v>8</v>
      </c>
      <c r="E320" s="22" t="s">
        <v>83</v>
      </c>
      <c r="F320" s="98">
        <f t="shared" si="42"/>
        <v>1011.5</v>
      </c>
      <c r="G320" s="23">
        <f t="shared" si="43"/>
        <v>8092</v>
      </c>
      <c r="N320" s="87">
        <v>850</v>
      </c>
      <c r="O320" s="87">
        <f t="shared" si="44"/>
        <v>1.19</v>
      </c>
      <c r="P320" s="87">
        <f t="shared" si="45"/>
        <v>1011.5</v>
      </c>
    </row>
    <row r="321" spans="1:16" x14ac:dyDescent="0.3">
      <c r="A321" s="22">
        <v>17</v>
      </c>
      <c r="B321" s="22"/>
      <c r="C321" s="22" t="s">
        <v>324</v>
      </c>
      <c r="D321" s="40">
        <v>34</v>
      </c>
      <c r="E321" s="22" t="s">
        <v>24</v>
      </c>
      <c r="F321" s="98">
        <f t="shared" si="42"/>
        <v>16.66</v>
      </c>
      <c r="G321" s="23">
        <f t="shared" si="43"/>
        <v>566.44000000000005</v>
      </c>
      <c r="N321" s="87">
        <v>14</v>
      </c>
      <c r="O321" s="87">
        <f t="shared" si="44"/>
        <v>1.19</v>
      </c>
      <c r="P321" s="87">
        <f t="shared" si="45"/>
        <v>16.66</v>
      </c>
    </row>
    <row r="322" spans="1:16" x14ac:dyDescent="0.3">
      <c r="A322" s="22">
        <v>18</v>
      </c>
      <c r="B322" s="22"/>
      <c r="C322" s="22" t="s">
        <v>335</v>
      </c>
      <c r="D322" s="40">
        <v>2</v>
      </c>
      <c r="E322" s="22" t="s">
        <v>20</v>
      </c>
      <c r="F322" s="98">
        <f t="shared" si="42"/>
        <v>107.1</v>
      </c>
      <c r="G322" s="23">
        <f t="shared" si="43"/>
        <v>214.2</v>
      </c>
      <c r="N322" s="87">
        <v>90</v>
      </c>
      <c r="O322" s="87">
        <f t="shared" si="44"/>
        <v>1.19</v>
      </c>
      <c r="P322" s="87">
        <f t="shared" si="45"/>
        <v>107.1</v>
      </c>
    </row>
    <row r="323" spans="1:16" x14ac:dyDescent="0.3">
      <c r="A323" s="22">
        <v>19</v>
      </c>
      <c r="B323" s="22"/>
      <c r="C323" s="22" t="s">
        <v>325</v>
      </c>
      <c r="D323" s="40">
        <v>2</v>
      </c>
      <c r="E323" s="22" t="s">
        <v>20</v>
      </c>
      <c r="F323" s="98">
        <f t="shared" si="42"/>
        <v>95.199999999999989</v>
      </c>
      <c r="G323" s="23">
        <f t="shared" si="43"/>
        <v>190.39999999999998</v>
      </c>
      <c r="N323" s="87">
        <v>80</v>
      </c>
      <c r="O323" s="87">
        <f t="shared" si="44"/>
        <v>1.19</v>
      </c>
      <c r="P323" s="87">
        <f t="shared" si="45"/>
        <v>95.199999999999989</v>
      </c>
    </row>
    <row r="324" spans="1:16" x14ac:dyDescent="0.3">
      <c r="A324" s="22">
        <v>20</v>
      </c>
      <c r="B324" s="22"/>
      <c r="C324" s="22" t="s">
        <v>326</v>
      </c>
      <c r="D324" s="40">
        <v>1</v>
      </c>
      <c r="E324" s="22" t="s">
        <v>20</v>
      </c>
      <c r="F324" s="98">
        <f t="shared" si="42"/>
        <v>71.399999999999991</v>
      </c>
      <c r="G324" s="23">
        <f t="shared" si="43"/>
        <v>71.399999999999991</v>
      </c>
      <c r="N324" s="87">
        <v>60</v>
      </c>
      <c r="O324" s="87">
        <f t="shared" ref="O324" si="46">$O$1</f>
        <v>1.19</v>
      </c>
      <c r="P324" s="87">
        <f t="shared" si="45"/>
        <v>71.399999999999991</v>
      </c>
    </row>
    <row r="325" spans="1:16" ht="14.15" x14ac:dyDescent="0.35">
      <c r="A325" s="14"/>
      <c r="B325" s="14"/>
      <c r="C325" s="24" t="s">
        <v>0</v>
      </c>
      <c r="D325" s="78"/>
      <c r="E325" s="25"/>
      <c r="F325" s="99"/>
      <c r="G325" s="26">
        <f>SUM(G305:G324)</f>
        <v>38097.850000000006</v>
      </c>
    </row>
    <row r="326" spans="1:16" x14ac:dyDescent="0.3">
      <c r="B326" s="1"/>
      <c r="C326" s="13" t="s">
        <v>15</v>
      </c>
      <c r="D326" s="36"/>
      <c r="E326" s="16"/>
      <c r="G326" s="15">
        <f>0.21*G325</f>
        <v>8000.5485000000008</v>
      </c>
    </row>
    <row r="328" spans="1:16" ht="15.45" x14ac:dyDescent="0.4">
      <c r="C328" s="5" t="s">
        <v>316</v>
      </c>
    </row>
    <row r="329" spans="1:16" x14ac:dyDescent="0.3">
      <c r="A329" s="20" t="s">
        <v>5</v>
      </c>
      <c r="B329" s="20" t="s">
        <v>6</v>
      </c>
      <c r="C329" s="20" t="s">
        <v>7</v>
      </c>
      <c r="D329" s="77"/>
      <c r="E329" s="21" t="s">
        <v>8</v>
      </c>
      <c r="F329" s="97" t="s">
        <v>9</v>
      </c>
      <c r="G329" s="21" t="s">
        <v>0</v>
      </c>
    </row>
    <row r="330" spans="1:16" s="41" customFormat="1" x14ac:dyDescent="0.3">
      <c r="A330" s="36">
        <v>1</v>
      </c>
      <c r="B330" s="36" t="s">
        <v>317</v>
      </c>
      <c r="C330" s="44" t="s">
        <v>318</v>
      </c>
      <c r="D330" s="40">
        <v>234</v>
      </c>
      <c r="E330" s="40" t="s">
        <v>24</v>
      </c>
      <c r="F330" s="98">
        <f t="shared" ref="F330:F341" si="47">L330+P330</f>
        <v>19.932499999999997</v>
      </c>
      <c r="G330" s="37">
        <f t="shared" ref="G330:G341" si="48">D330*F330</f>
        <v>4664.204999999999</v>
      </c>
      <c r="J330" s="85">
        <v>16.75</v>
      </c>
      <c r="K330" s="85">
        <f t="shared" ref="K330:K341" si="49">$K$1</f>
        <v>1.19</v>
      </c>
      <c r="L330" s="85">
        <f t="shared" ref="L330:L341" si="50">K330*J330</f>
        <v>19.932499999999997</v>
      </c>
      <c r="M330"/>
      <c r="N330"/>
      <c r="O330"/>
      <c r="P330"/>
    </row>
    <row r="331" spans="1:16" s="41" customFormat="1" x14ac:dyDescent="0.3">
      <c r="A331" s="36">
        <v>2</v>
      </c>
      <c r="B331" s="36"/>
      <c r="C331" s="44" t="s">
        <v>319</v>
      </c>
      <c r="D331" s="40">
        <v>1</v>
      </c>
      <c r="E331" s="40" t="s">
        <v>85</v>
      </c>
      <c r="F331" s="98">
        <f t="shared" si="47"/>
        <v>4760</v>
      </c>
      <c r="G331" s="37">
        <f t="shared" si="48"/>
        <v>4760</v>
      </c>
      <c r="J331" s="85">
        <v>4000</v>
      </c>
      <c r="K331" s="85">
        <f t="shared" si="49"/>
        <v>1.19</v>
      </c>
      <c r="L331" s="85">
        <f t="shared" si="50"/>
        <v>4760</v>
      </c>
      <c r="M331"/>
      <c r="N331"/>
      <c r="O331"/>
      <c r="P331"/>
    </row>
    <row r="332" spans="1:16" s="41" customFormat="1" x14ac:dyDescent="0.3">
      <c r="A332" s="36">
        <v>3</v>
      </c>
      <c r="B332" s="36"/>
      <c r="C332" s="44" t="s">
        <v>320</v>
      </c>
      <c r="D332" s="40">
        <v>1</v>
      </c>
      <c r="E332" s="40" t="s">
        <v>85</v>
      </c>
      <c r="F332" s="98">
        <f t="shared" si="47"/>
        <v>2142</v>
      </c>
      <c r="G332" s="37">
        <f t="shared" si="48"/>
        <v>2142</v>
      </c>
      <c r="J332" s="85">
        <v>1800</v>
      </c>
      <c r="K332" s="85">
        <f t="shared" si="49"/>
        <v>1.19</v>
      </c>
      <c r="L332" s="85">
        <f t="shared" si="50"/>
        <v>2142</v>
      </c>
      <c r="M332"/>
      <c r="N332"/>
      <c r="O332"/>
      <c r="P332"/>
    </row>
    <row r="333" spans="1:16" s="41" customFormat="1" x14ac:dyDescent="0.3">
      <c r="A333" s="36">
        <v>4</v>
      </c>
      <c r="B333" s="36"/>
      <c r="C333" s="44" t="s">
        <v>321</v>
      </c>
      <c r="D333" s="40">
        <v>1</v>
      </c>
      <c r="E333" s="40" t="s">
        <v>85</v>
      </c>
      <c r="F333" s="98">
        <f t="shared" si="47"/>
        <v>1142.3999999999999</v>
      </c>
      <c r="G333" s="37">
        <f t="shared" si="48"/>
        <v>1142.3999999999999</v>
      </c>
      <c r="J333" s="85">
        <v>960</v>
      </c>
      <c r="K333" s="85">
        <f t="shared" si="49"/>
        <v>1.19</v>
      </c>
      <c r="L333" s="85">
        <f t="shared" si="50"/>
        <v>1142.3999999999999</v>
      </c>
      <c r="M333"/>
      <c r="N333"/>
      <c r="O333"/>
      <c r="P333"/>
    </row>
    <row r="334" spans="1:16" s="41" customFormat="1" x14ac:dyDescent="0.3">
      <c r="A334" s="36">
        <v>5</v>
      </c>
      <c r="B334" s="36"/>
      <c r="C334" s="44" t="s">
        <v>322</v>
      </c>
      <c r="D334" s="40">
        <v>1</v>
      </c>
      <c r="E334" s="40" t="s">
        <v>85</v>
      </c>
      <c r="F334" s="98">
        <f t="shared" si="47"/>
        <v>761.59999999999991</v>
      </c>
      <c r="G334" s="37">
        <f t="shared" si="48"/>
        <v>761.59999999999991</v>
      </c>
      <c r="J334" s="85">
        <v>640</v>
      </c>
      <c r="K334" s="85">
        <f t="shared" si="49"/>
        <v>1.19</v>
      </c>
      <c r="L334" s="85">
        <f t="shared" si="50"/>
        <v>761.59999999999991</v>
      </c>
      <c r="M334"/>
      <c r="N334"/>
      <c r="O334"/>
      <c r="P334"/>
    </row>
    <row r="335" spans="1:16" s="41" customFormat="1" x14ac:dyDescent="0.3">
      <c r="A335" s="36">
        <v>6</v>
      </c>
      <c r="B335" s="36"/>
      <c r="C335" s="44" t="s">
        <v>323</v>
      </c>
      <c r="D335" s="40">
        <v>1</v>
      </c>
      <c r="E335" s="40" t="s">
        <v>85</v>
      </c>
      <c r="F335" s="98">
        <f t="shared" si="47"/>
        <v>595</v>
      </c>
      <c r="G335" s="37">
        <f t="shared" si="48"/>
        <v>595</v>
      </c>
      <c r="J335" s="85">
        <v>500</v>
      </c>
      <c r="K335" s="85">
        <f t="shared" si="49"/>
        <v>1.19</v>
      </c>
      <c r="L335" s="85">
        <f t="shared" si="50"/>
        <v>595</v>
      </c>
      <c r="M335"/>
      <c r="N335"/>
      <c r="O335"/>
      <c r="P335"/>
    </row>
    <row r="336" spans="1:16" ht="23.15" x14ac:dyDescent="0.3">
      <c r="A336" s="36">
        <v>7</v>
      </c>
      <c r="B336" s="49" t="s">
        <v>504</v>
      </c>
      <c r="C336" s="49" t="s">
        <v>505</v>
      </c>
      <c r="D336" s="40">
        <v>10</v>
      </c>
      <c r="E336" s="36" t="s">
        <v>20</v>
      </c>
      <c r="F336" s="98">
        <f t="shared" si="47"/>
        <v>684.25</v>
      </c>
      <c r="G336" s="37">
        <f t="shared" si="48"/>
        <v>6842.5</v>
      </c>
      <c r="J336" s="85">
        <v>575</v>
      </c>
      <c r="K336" s="85">
        <f t="shared" si="49"/>
        <v>1.19</v>
      </c>
      <c r="L336" s="85">
        <f t="shared" si="50"/>
        <v>684.25</v>
      </c>
    </row>
    <row r="337" spans="1:16" ht="23.15" x14ac:dyDescent="0.3">
      <c r="A337" s="36">
        <v>8</v>
      </c>
      <c r="B337" s="49" t="s">
        <v>508</v>
      </c>
      <c r="C337" s="49" t="s">
        <v>509</v>
      </c>
      <c r="D337" s="40">
        <v>3</v>
      </c>
      <c r="E337" s="36" t="s">
        <v>20</v>
      </c>
      <c r="F337" s="98">
        <f t="shared" si="47"/>
        <v>2499</v>
      </c>
      <c r="G337" s="37">
        <f t="shared" si="48"/>
        <v>7497</v>
      </c>
      <c r="J337" s="85">
        <v>2100</v>
      </c>
      <c r="K337" s="85">
        <f t="shared" si="49"/>
        <v>1.19</v>
      </c>
      <c r="L337" s="85">
        <f t="shared" si="50"/>
        <v>2499</v>
      </c>
    </row>
    <row r="338" spans="1:16" ht="81" x14ac:dyDescent="0.3">
      <c r="A338" s="36">
        <v>9</v>
      </c>
      <c r="B338" s="40" t="s">
        <v>506</v>
      </c>
      <c r="C338" s="49" t="s">
        <v>507</v>
      </c>
      <c r="D338" s="40">
        <v>1</v>
      </c>
      <c r="E338" s="36" t="s">
        <v>20</v>
      </c>
      <c r="F338" s="98">
        <f t="shared" si="47"/>
        <v>25430.3</v>
      </c>
      <c r="G338" s="37">
        <f t="shared" si="48"/>
        <v>25430.3</v>
      </c>
      <c r="J338" s="85">
        <v>21370</v>
      </c>
      <c r="K338" s="85">
        <f t="shared" si="49"/>
        <v>1.19</v>
      </c>
      <c r="L338" s="85">
        <f t="shared" si="50"/>
        <v>25430.3</v>
      </c>
    </row>
    <row r="339" spans="1:16" s="41" customFormat="1" x14ac:dyDescent="0.3">
      <c r="A339" s="36">
        <v>10</v>
      </c>
      <c r="B339" s="36"/>
      <c r="C339" s="44" t="s">
        <v>334</v>
      </c>
      <c r="D339" s="40">
        <v>2</v>
      </c>
      <c r="E339" s="40" t="s">
        <v>20</v>
      </c>
      <c r="F339" s="98">
        <f t="shared" si="47"/>
        <v>53.55</v>
      </c>
      <c r="G339" s="37">
        <f t="shared" si="48"/>
        <v>107.1</v>
      </c>
      <c r="J339" s="85">
        <v>45</v>
      </c>
      <c r="K339" s="85">
        <f t="shared" si="49"/>
        <v>1.19</v>
      </c>
      <c r="L339" s="85">
        <f t="shared" si="50"/>
        <v>53.55</v>
      </c>
      <c r="M339"/>
      <c r="N339"/>
      <c r="O339"/>
      <c r="P339"/>
    </row>
    <row r="340" spans="1:16" s="41" customFormat="1" x14ac:dyDescent="0.3">
      <c r="A340" s="36">
        <v>11</v>
      </c>
      <c r="B340" s="36"/>
      <c r="C340" s="44" t="s">
        <v>327</v>
      </c>
      <c r="D340" s="40">
        <v>2</v>
      </c>
      <c r="E340" s="40" t="s">
        <v>20</v>
      </c>
      <c r="F340" s="98">
        <f t="shared" si="47"/>
        <v>77.349999999999994</v>
      </c>
      <c r="G340" s="37">
        <f t="shared" si="48"/>
        <v>154.69999999999999</v>
      </c>
      <c r="J340" s="85">
        <v>65</v>
      </c>
      <c r="K340" s="85">
        <f t="shared" si="49"/>
        <v>1.19</v>
      </c>
      <c r="L340" s="85">
        <f t="shared" si="50"/>
        <v>77.349999999999994</v>
      </c>
      <c r="M340"/>
      <c r="N340"/>
      <c r="O340"/>
      <c r="P340"/>
    </row>
    <row r="341" spans="1:16" s="41" customFormat="1" x14ac:dyDescent="0.3">
      <c r="A341" s="36">
        <v>12</v>
      </c>
      <c r="B341" s="36"/>
      <c r="C341" s="44" t="s">
        <v>328</v>
      </c>
      <c r="D341" s="40">
        <v>34</v>
      </c>
      <c r="E341" s="40" t="s">
        <v>24</v>
      </c>
      <c r="F341" s="98">
        <f t="shared" si="47"/>
        <v>14.28</v>
      </c>
      <c r="G341" s="37">
        <f t="shared" si="48"/>
        <v>485.52</v>
      </c>
      <c r="J341" s="85">
        <v>12</v>
      </c>
      <c r="K341" s="85">
        <f t="shared" si="49"/>
        <v>1.19</v>
      </c>
      <c r="L341" s="85">
        <f t="shared" si="50"/>
        <v>14.28</v>
      </c>
      <c r="M341"/>
      <c r="N341"/>
      <c r="O341"/>
      <c r="P341"/>
    </row>
    <row r="342" spans="1:16" ht="14.15" x14ac:dyDescent="0.35">
      <c r="A342" s="14"/>
      <c r="B342" s="14"/>
      <c r="C342" s="24" t="s">
        <v>0</v>
      </c>
      <c r="D342" s="79"/>
      <c r="E342" s="25"/>
      <c r="F342" s="99"/>
      <c r="G342" s="26">
        <f>SUM(G330:G341)</f>
        <v>54582.32499999999</v>
      </c>
    </row>
    <row r="343" spans="1:16" x14ac:dyDescent="0.3">
      <c r="B343" s="1"/>
      <c r="C343" s="13" t="s">
        <v>15</v>
      </c>
      <c r="E343" s="16"/>
      <c r="G343" s="15">
        <f>0.21*G342</f>
        <v>11462.288249999998</v>
      </c>
    </row>
  </sheetData>
  <mergeCells count="2">
    <mergeCell ref="A2:G3"/>
    <mergeCell ref="A4:G5"/>
  </mergeCells>
  <pageMargins left="0.38" right="0.4" top="0.984251969" bottom="0.984251969" header="0.4921259845" footer="0.4921259845"/>
  <pageSetup paperSize="9" orientation="portrait" horizontalDpi="4294967292" verticalDpi="300" r:id="rId1"/>
  <headerFooter alignWithMargins="0">
    <oddFooter>Stránka &amp;P z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Rekapitulace</vt:lpstr>
      <vt:lpstr>Položkově</vt:lpstr>
    </vt:vector>
  </TitlesOfParts>
  <Company>XXX.s.r.o.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Kaisler</dc:creator>
  <cp:lastModifiedBy>Martin Hrabcik</cp:lastModifiedBy>
  <cp:lastPrinted>2025-02-07T16:20:59Z</cp:lastPrinted>
  <dcterms:created xsi:type="dcterms:W3CDTF">1998-09-16T08:22:29Z</dcterms:created>
  <dcterms:modified xsi:type="dcterms:W3CDTF">2025-03-18T10:01:08Z</dcterms:modified>
</cp:coreProperties>
</file>