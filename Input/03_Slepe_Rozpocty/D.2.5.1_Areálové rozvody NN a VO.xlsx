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.123.209.60\dek\A_Stavby\40 Litvínov\Poptávky\ELEKTRO\"/>
    </mc:Choice>
  </mc:AlternateContent>
  <xr:revisionPtr revIDLastSave="0" documentId="13_ncr:1_{07E0843D-5F38-4A04-806F-2B0CE35D299C}" xr6:coauthVersionLast="47" xr6:coauthVersionMax="47" xr10:uidLastSave="{00000000-0000-0000-0000-000000000000}"/>
  <bookViews>
    <workbookView xWindow="4092" yWindow="876" windowWidth="13740" windowHeight="15372" activeTab="1" xr2:uid="{00000000-000D-0000-FFFF-FFFF00000000}"/>
  </bookViews>
  <sheets>
    <sheet name="Rekapitulace" sheetId="3" r:id="rId1"/>
    <sheet name="Rozpočet" sheetId="2" r:id="rId2"/>
    <sheet name="Parametry" sheetId="1" r:id="rId3"/>
  </sheets>
  <definedNames>
    <definedName name="_xlnm.Print_Area" localSheetId="2">Parametry!$A$1:$B$34</definedName>
    <definedName name="_xlnm.Print_Area" localSheetId="0">Rekapitulace!$A$1:$C$39</definedName>
    <definedName name="_xlnm.Print_Area" localSheetId="1">Rozpočet!$A$1:$J$146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B3" i="3"/>
  <c r="J146" i="2"/>
  <c r="I146" i="2"/>
  <c r="J144" i="2"/>
  <c r="I144" i="2"/>
  <c r="I143" i="2"/>
  <c r="H143" i="2"/>
  <c r="F143" i="2"/>
  <c r="I141" i="2"/>
  <c r="H141" i="2"/>
  <c r="F141" i="2"/>
  <c r="I140" i="2"/>
  <c r="H140" i="2"/>
  <c r="F140" i="2"/>
  <c r="I138" i="2"/>
  <c r="H138" i="2"/>
  <c r="F138" i="2"/>
  <c r="J138" i="2" s="1"/>
  <c r="I135" i="2"/>
  <c r="H135" i="2"/>
  <c r="F135" i="2"/>
  <c r="I133" i="2"/>
  <c r="H133" i="2"/>
  <c r="F133" i="2"/>
  <c r="J133" i="2" s="1"/>
  <c r="I132" i="2"/>
  <c r="H132" i="2"/>
  <c r="F132" i="2"/>
  <c r="I130" i="2"/>
  <c r="H130" i="2"/>
  <c r="F130" i="2"/>
  <c r="I128" i="2"/>
  <c r="H128" i="2"/>
  <c r="F128" i="2"/>
  <c r="I126" i="2"/>
  <c r="H126" i="2"/>
  <c r="F126" i="2"/>
  <c r="J126" i="2" s="1"/>
  <c r="I125" i="2"/>
  <c r="H125" i="2"/>
  <c r="F125" i="2"/>
  <c r="I124" i="2"/>
  <c r="H124" i="2"/>
  <c r="F124" i="2"/>
  <c r="J124" i="2" s="1"/>
  <c r="I123" i="2"/>
  <c r="H123" i="2"/>
  <c r="F123" i="2"/>
  <c r="I121" i="2"/>
  <c r="H121" i="2"/>
  <c r="F121" i="2"/>
  <c r="J121" i="2" s="1"/>
  <c r="I119" i="2"/>
  <c r="H119" i="2"/>
  <c r="F119" i="2"/>
  <c r="I117" i="2"/>
  <c r="H117" i="2"/>
  <c r="F117" i="2"/>
  <c r="I116" i="2"/>
  <c r="H116" i="2"/>
  <c r="F116" i="2"/>
  <c r="I115" i="2"/>
  <c r="H115" i="2"/>
  <c r="F115" i="2"/>
  <c r="I114" i="2"/>
  <c r="H114" i="2"/>
  <c r="F114" i="2"/>
  <c r="I112" i="2"/>
  <c r="H112" i="2"/>
  <c r="F112" i="2"/>
  <c r="J112" i="2" s="1"/>
  <c r="I110" i="2"/>
  <c r="H110" i="2"/>
  <c r="F110" i="2"/>
  <c r="J108" i="2"/>
  <c r="I108" i="2"/>
  <c r="J106" i="2"/>
  <c r="I106" i="2"/>
  <c r="I104" i="2"/>
  <c r="J103" i="2"/>
  <c r="I103" i="2"/>
  <c r="J101" i="2"/>
  <c r="I101" i="2"/>
  <c r="J99" i="2"/>
  <c r="I99" i="2"/>
  <c r="I98" i="2"/>
  <c r="H98" i="2"/>
  <c r="F98" i="2"/>
  <c r="F100" i="2" s="1"/>
  <c r="B36" i="3" s="1"/>
  <c r="J96" i="2"/>
  <c r="I96" i="2"/>
  <c r="J94" i="2"/>
  <c r="I94" i="2"/>
  <c r="J92" i="2"/>
  <c r="I92" i="2"/>
  <c r="I91" i="2"/>
  <c r="H91" i="2"/>
  <c r="F91" i="2"/>
  <c r="I90" i="2"/>
  <c r="H90" i="2"/>
  <c r="F90" i="2"/>
  <c r="I89" i="2"/>
  <c r="H89" i="2"/>
  <c r="F89" i="2"/>
  <c r="I88" i="2"/>
  <c r="H88" i="2"/>
  <c r="F88" i="2"/>
  <c r="J88" i="2" s="1"/>
  <c r="I87" i="2"/>
  <c r="H87" i="2"/>
  <c r="F87" i="2"/>
  <c r="I86" i="2"/>
  <c r="H86" i="2"/>
  <c r="F86" i="2"/>
  <c r="J86" i="2" s="1"/>
  <c r="I85" i="2"/>
  <c r="H85" i="2"/>
  <c r="F85" i="2"/>
  <c r="I84" i="2"/>
  <c r="H84" i="2"/>
  <c r="F84" i="2"/>
  <c r="J83" i="2"/>
  <c r="I83" i="2"/>
  <c r="J81" i="2"/>
  <c r="I81" i="2"/>
  <c r="J79" i="2"/>
  <c r="I79" i="2"/>
  <c r="I78" i="2"/>
  <c r="H78" i="2"/>
  <c r="F78" i="2"/>
  <c r="I76" i="2"/>
  <c r="H76" i="2"/>
  <c r="J76" i="2" s="1"/>
  <c r="F76" i="2"/>
  <c r="I74" i="2"/>
  <c r="H74" i="2"/>
  <c r="F74" i="2"/>
  <c r="I73" i="2"/>
  <c r="H73" i="2"/>
  <c r="F73" i="2"/>
  <c r="I72" i="2"/>
  <c r="H72" i="2"/>
  <c r="J72" i="2" s="1"/>
  <c r="F72" i="2"/>
  <c r="I70" i="2"/>
  <c r="H70" i="2"/>
  <c r="F70" i="2"/>
  <c r="I68" i="2"/>
  <c r="H68" i="2"/>
  <c r="F68" i="2"/>
  <c r="I66" i="2"/>
  <c r="H66" i="2"/>
  <c r="J66" i="2" s="1"/>
  <c r="F66" i="2"/>
  <c r="J63" i="2"/>
  <c r="I63" i="2"/>
  <c r="J61" i="2"/>
  <c r="I61" i="2"/>
  <c r="J59" i="2"/>
  <c r="I59" i="2"/>
  <c r="I58" i="2"/>
  <c r="H58" i="2"/>
  <c r="F58" i="2"/>
  <c r="I57" i="2"/>
  <c r="H57" i="2"/>
  <c r="F57" i="2"/>
  <c r="J57" i="2" s="1"/>
  <c r="I56" i="2"/>
  <c r="H56" i="2"/>
  <c r="F56" i="2"/>
  <c r="I55" i="2"/>
  <c r="H55" i="2"/>
  <c r="F55" i="2"/>
  <c r="I54" i="2"/>
  <c r="H54" i="2"/>
  <c r="F54" i="2"/>
  <c r="I53" i="2"/>
  <c r="H53" i="2"/>
  <c r="F53" i="2"/>
  <c r="J53" i="2" s="1"/>
  <c r="I51" i="2"/>
  <c r="H51" i="2"/>
  <c r="F51" i="2"/>
  <c r="I50" i="2"/>
  <c r="H50" i="2"/>
  <c r="F50" i="2"/>
  <c r="I49" i="2"/>
  <c r="H49" i="2"/>
  <c r="F49" i="2"/>
  <c r="J46" i="2"/>
  <c r="I46" i="2"/>
  <c r="J44" i="2"/>
  <c r="I44" i="2"/>
  <c r="J42" i="2"/>
  <c r="I42" i="2"/>
  <c r="I41" i="2"/>
  <c r="H41" i="2"/>
  <c r="F41" i="2"/>
  <c r="I40" i="2"/>
  <c r="H40" i="2"/>
  <c r="J40" i="2" s="1"/>
  <c r="F40" i="2"/>
  <c r="I39" i="2"/>
  <c r="H39" i="2"/>
  <c r="F39" i="2"/>
  <c r="J38" i="2"/>
  <c r="I38" i="2"/>
  <c r="J36" i="2"/>
  <c r="I36" i="2"/>
  <c r="J34" i="2"/>
  <c r="I34" i="2"/>
  <c r="I33" i="2"/>
  <c r="H33" i="2"/>
  <c r="F33" i="2"/>
  <c r="J33" i="2" s="1"/>
  <c r="I32" i="2"/>
  <c r="H32" i="2"/>
  <c r="F32" i="2"/>
  <c r="I31" i="2"/>
  <c r="H31" i="2"/>
  <c r="F31" i="2"/>
  <c r="I30" i="2"/>
  <c r="H30" i="2"/>
  <c r="F30" i="2"/>
  <c r="I28" i="2"/>
  <c r="H28" i="2"/>
  <c r="F28" i="2"/>
  <c r="J28" i="2" s="1"/>
  <c r="J26" i="2"/>
  <c r="I26" i="2"/>
  <c r="J24" i="2"/>
  <c r="I24" i="2"/>
  <c r="J22" i="2"/>
  <c r="I22" i="2"/>
  <c r="I21" i="2"/>
  <c r="H21" i="2"/>
  <c r="J21" i="2" s="1"/>
  <c r="F21" i="2"/>
  <c r="I19" i="2"/>
  <c r="H19" i="2"/>
  <c r="J19" i="2" s="1"/>
  <c r="F19" i="2"/>
  <c r="I17" i="2"/>
  <c r="H17" i="2"/>
  <c r="F17" i="2"/>
  <c r="F23" i="2" s="1"/>
  <c r="B30" i="3" s="1"/>
  <c r="J15" i="2"/>
  <c r="I15" i="2"/>
  <c r="J13" i="2"/>
  <c r="I13" i="2"/>
  <c r="J11" i="2"/>
  <c r="I11" i="2"/>
  <c r="I10" i="2"/>
  <c r="H10" i="2"/>
  <c r="H12" i="2" s="1"/>
  <c r="C29" i="3" s="1"/>
  <c r="F10" i="2"/>
  <c r="I9" i="2"/>
  <c r="H9" i="2"/>
  <c r="F9" i="2"/>
  <c r="J8" i="2"/>
  <c r="I8" i="2"/>
  <c r="J6" i="2"/>
  <c r="I6" i="2"/>
  <c r="J4" i="2"/>
  <c r="I4" i="2"/>
  <c r="J2" i="2"/>
  <c r="I2" i="2"/>
  <c r="J68" i="2" l="1"/>
  <c r="J117" i="2"/>
  <c r="H145" i="2"/>
  <c r="C37" i="3" s="1"/>
  <c r="J78" i="2"/>
  <c r="J80" i="2" s="1"/>
  <c r="J73" i="2"/>
  <c r="J98" i="2"/>
  <c r="J100" i="2" s="1"/>
  <c r="J55" i="2"/>
  <c r="J84" i="2"/>
  <c r="B4" i="3"/>
  <c r="B7" i="3" s="1"/>
  <c r="B12" i="3" s="1"/>
  <c r="J17" i="2"/>
  <c r="J23" i="2" s="1"/>
  <c r="F43" i="2"/>
  <c r="B32" i="3" s="1"/>
  <c r="C4" i="3"/>
  <c r="H105" i="2"/>
  <c r="C6" i="3" s="1"/>
  <c r="J31" i="2"/>
  <c r="J39" i="2"/>
  <c r="J43" i="2" s="1"/>
  <c r="H60" i="2"/>
  <c r="C33" i="3" s="1"/>
  <c r="F80" i="2"/>
  <c r="B34" i="3" s="1"/>
  <c r="J74" i="2"/>
  <c r="J90" i="2"/>
  <c r="J141" i="2"/>
  <c r="J70" i="2"/>
  <c r="H43" i="2"/>
  <c r="C32" i="3" s="1"/>
  <c r="M1" i="2"/>
  <c r="F104" i="2" s="1"/>
  <c r="J104" i="2" s="1"/>
  <c r="J130" i="2"/>
  <c r="J41" i="2"/>
  <c r="H35" i="2"/>
  <c r="C31" i="3" s="1"/>
  <c r="J50" i="2"/>
  <c r="H93" i="2"/>
  <c r="C35" i="3" s="1"/>
  <c r="J123" i="2"/>
  <c r="C27" i="3"/>
  <c r="J10" i="2"/>
  <c r="H23" i="2"/>
  <c r="C30" i="3" s="1"/>
  <c r="J30" i="2"/>
  <c r="J32" i="2"/>
  <c r="J49" i="2"/>
  <c r="J60" i="2" s="1"/>
  <c r="J51" i="2"/>
  <c r="J54" i="2"/>
  <c r="J56" i="2"/>
  <c r="J58" i="2"/>
  <c r="H80" i="2"/>
  <c r="C34" i="3" s="1"/>
  <c r="J85" i="2"/>
  <c r="J87" i="2"/>
  <c r="J89" i="2"/>
  <c r="J93" i="2" s="1"/>
  <c r="J91" i="2"/>
  <c r="H100" i="2"/>
  <c r="C36" i="3" s="1"/>
  <c r="J110" i="2"/>
  <c r="J114" i="2"/>
  <c r="J116" i="2"/>
  <c r="J119" i="2"/>
  <c r="J125" i="2"/>
  <c r="J128" i="2"/>
  <c r="J132" i="2"/>
  <c r="J135" i="2"/>
  <c r="J140" i="2"/>
  <c r="J143" i="2"/>
  <c r="J35" i="2"/>
  <c r="H102" i="2"/>
  <c r="C28" i="3" s="1"/>
  <c r="J115" i="2"/>
  <c r="J145" i="2" s="1"/>
  <c r="F12" i="2"/>
  <c r="B29" i="3" s="1"/>
  <c r="F35" i="2"/>
  <c r="B31" i="3" s="1"/>
  <c r="F60" i="2"/>
  <c r="B33" i="3" s="1"/>
  <c r="F93" i="2"/>
  <c r="B35" i="3" s="1"/>
  <c r="F102" i="2"/>
  <c r="B28" i="3" s="1"/>
  <c r="F145" i="2"/>
  <c r="J9" i="2"/>
  <c r="F105" i="2"/>
  <c r="B37" i="3" l="1"/>
  <c r="C10" i="3"/>
  <c r="C11" i="3" s="1"/>
  <c r="J12" i="2"/>
  <c r="J102" i="2"/>
  <c r="J105" i="2"/>
  <c r="C5" i="3"/>
  <c r="B27" i="3"/>
  <c r="C8" i="3" l="1"/>
  <c r="C7" i="3"/>
  <c r="C15" i="3" l="1"/>
  <c r="C12" i="3"/>
  <c r="C19" i="3" l="1"/>
  <c r="C13" i="3"/>
  <c r="C20" i="3"/>
  <c r="C14" i="3"/>
  <c r="C16" i="3" s="1"/>
  <c r="C22" i="3" l="1"/>
  <c r="C21" i="3"/>
  <c r="C24" i="3" l="1"/>
</calcChain>
</file>

<file path=xl/sharedStrings.xml><?xml version="1.0" encoding="utf-8"?>
<sst xmlns="http://schemas.openxmlformats.org/spreadsheetml/2006/main" count="408" uniqueCount="208">
  <si>
    <t>Název</t>
  </si>
  <si>
    <t>Hodnota</t>
  </si>
  <si>
    <t>Nadpis rekapitulace</t>
  </si>
  <si>
    <t>Seznam prací a dodávek elektrotechnických zařízení</t>
  </si>
  <si>
    <t>Akce</t>
  </si>
  <si>
    <t>Projekt</t>
  </si>
  <si>
    <t>Investor</t>
  </si>
  <si>
    <t>DEKINVEST, investiční fond s proměnným základním kapitálem, a.s. Tiskařská 257/10, 108 00 Praha 10</t>
  </si>
  <si>
    <t>Z. č.</t>
  </si>
  <si>
    <t>A. č.</t>
  </si>
  <si>
    <t>Smlouva</t>
  </si>
  <si>
    <t/>
  </si>
  <si>
    <t>Vypracoval</t>
  </si>
  <si>
    <t>Martin Zeman</t>
  </si>
  <si>
    <t>Kontroloval</t>
  </si>
  <si>
    <t>Datum</t>
  </si>
  <si>
    <t>Zpracovatel</t>
  </si>
  <si>
    <t>Martin Zeman, Zašovská 256, Valašské Meziříčí</t>
  </si>
  <si>
    <t>CÚ</t>
  </si>
  <si>
    <t>Poznámka</t>
  </si>
  <si>
    <t>Uvedené ceny jsou v Kč a nezahrnují DPH, pokud to není uvedeno.</t>
  </si>
  <si>
    <t>Doprava dodávek  (3,6) %</t>
  </si>
  <si>
    <t>0,00</t>
  </si>
  <si>
    <t>Přesun dodávek  (1) %</t>
  </si>
  <si>
    <t>1,00</t>
  </si>
  <si>
    <t>PPV  (1 nebo 6) %</t>
  </si>
  <si>
    <t>PPV zemních prací, nátěrů  (1) %</t>
  </si>
  <si>
    <t>Dodavat. dokumentace  (1 - 1,5) %</t>
  </si>
  <si>
    <t>Rizika a pojištění  (1 - 1,5) %</t>
  </si>
  <si>
    <t>Opravy v záruce  (5 - 7) %</t>
  </si>
  <si>
    <t>GZS  (3,25 nebo 8,4) %</t>
  </si>
  <si>
    <t>3,25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</si>
  <si>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</si>
  <si>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</si>
  <si>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</si>
  <si>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</si>
  <si>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</si>
  <si>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</si>
  <si>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</si>
  <si>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</si>
  <si>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</si>
  <si>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</si>
  <si>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</si>
  <si>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</si>
  <si>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</si>
  <si>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</si>
  <si>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</si>
  <si>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</si>
  <si>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</si>
  <si>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</si>
  <si>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</si>
  <si>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</si>
  <si>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</si>
  <si>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</si>
  <si>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</si>
  <si>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D.2.5.1 - SO31 Areálové rozvody NN a VO</t>
  </si>
  <si>
    <t>CHA1  (X1) -THOME Lighting s.r.o. MOD0007_280W_840_60° MODY 42000lm 280W IP66 4K 60°</t>
  </si>
  <si>
    <t>ks</t>
  </si>
  <si>
    <t xml:space="preserve"> SL002 Poplatek za recyklaci svítidla</t>
  </si>
  <si>
    <t>Svítidla - celkem</t>
  </si>
  <si>
    <t>Sloupy VO</t>
  </si>
  <si>
    <t>OSVĚTLOVACÍ STOŽÁR BEZPATICOVÝ</t>
  </si>
  <si>
    <t>JBUD14 14m, stožár silniční, bezpaticový, s přírubou</t>
  </si>
  <si>
    <t>VÝLOŽNÍK</t>
  </si>
  <si>
    <t>Držák reflektorů, typ TR2-1500-PL (AMAKO) pro dva reflektory</t>
  </si>
  <si>
    <t>STOŽÁROVÁ VÝZBROJ</t>
  </si>
  <si>
    <t>EKM 2035 2xE27, 2x Svorkovnice 4x16</t>
  </si>
  <si>
    <t>Sloupy VO - celkem</t>
  </si>
  <si>
    <t>Kabely</t>
  </si>
  <si>
    <t>KABEL SILOVÝ,IZOLACE PVC,1kV</t>
  </si>
  <si>
    <t>AYKY-J 3x120+70</t>
  </si>
  <si>
    <t>m</t>
  </si>
  <si>
    <t>KABEL SILOVÝ,IZOLACE PVC</t>
  </si>
  <si>
    <t>CYKY-J 3x1.5</t>
  </si>
  <si>
    <t>CYKY-J 4x10</t>
  </si>
  <si>
    <t>CYKY-J 5x10</t>
  </si>
  <si>
    <t>CYKY-J 3x4</t>
  </si>
  <si>
    <t>Kabely - celkem</t>
  </si>
  <si>
    <t>Kabelové trasy, nosné konstrukce</t>
  </si>
  <si>
    <t>KF 09110 TRUBKA KOPOFLEX 110</t>
  </si>
  <si>
    <t>KF 09160 TRUBKA KOPOFLEX 160</t>
  </si>
  <si>
    <t xml:space="preserve"> Zatažení kabelu do trubky do váhy do 9 kg/m</t>
  </si>
  <si>
    <t>Kabelové trasy, nosné konstrukce - celkem</t>
  </si>
  <si>
    <t>Ukončení vodičů</t>
  </si>
  <si>
    <t>UKONČENÍ KABELŮ SMRŠŤOVACÍ</t>
  </si>
  <si>
    <t>ZÁKLOPKOU DO</t>
  </si>
  <si>
    <t xml:space="preserve"> 5x6   mm2</t>
  </si>
  <si>
    <t xml:space="preserve"> 4x10  mm2</t>
  </si>
  <si>
    <t xml:space="preserve"> 4x120 mm2</t>
  </si>
  <si>
    <t>UKONČENÍ  VODIČŮ V ROZVADĚČÍCH</t>
  </si>
  <si>
    <t xml:space="preserve"> Do   2,5 mm2</t>
  </si>
  <si>
    <t xml:space="preserve"> Do   4 mm2</t>
  </si>
  <si>
    <t xml:space="preserve"> Do  10   mm2</t>
  </si>
  <si>
    <t xml:space="preserve"> Do  16   mm2</t>
  </si>
  <si>
    <t xml:space="preserve"> Do  70   mm2</t>
  </si>
  <si>
    <t xml:space="preserve"> Do 120   mm2</t>
  </si>
  <si>
    <t>Ukončení vodičů - celkem</t>
  </si>
  <si>
    <t>Uzemnění</t>
  </si>
  <si>
    <t>ZINKOVANÉ PROVEDENÍ</t>
  </si>
  <si>
    <t>OCELOVÝ DRÁT POZINKOVANÝ</t>
  </si>
  <si>
    <t>Drát 10 drát o 10mm(0,62kg/m)</t>
  </si>
  <si>
    <t>OCELOVÝ PÁSEK POZINKOVANÝ</t>
  </si>
  <si>
    <t>Páska 30x4 páska 30x4 (0,95 kg/m)</t>
  </si>
  <si>
    <t xml:space="preserve"> Nátěr svodového vodiče, asfalt</t>
  </si>
  <si>
    <t>SVORKA HROMOSVODNÍ,UZEMŇOVACÍ</t>
  </si>
  <si>
    <t>SS spojovací</t>
  </si>
  <si>
    <t>SP připojovací</t>
  </si>
  <si>
    <t>Štítek uzemnění</t>
  </si>
  <si>
    <t>MONTÁŽNÍ PRÁCE</t>
  </si>
  <si>
    <t xml:space="preserve"> tvarování mont.dílu</t>
  </si>
  <si>
    <t>Měření zemních odporů, zemnící sítě délky pásu</t>
  </si>
  <si>
    <t xml:space="preserve"> přes 500 do 1000m</t>
  </si>
  <si>
    <t>Uzemnění - celkem</t>
  </si>
  <si>
    <t>Ostatní</t>
  </si>
  <si>
    <t>Vytýčení trati, Venkovní vedení nn v přehledném terénu</t>
  </si>
  <si>
    <t>km</t>
  </si>
  <si>
    <t>Geodetická činnost</t>
  </si>
  <si>
    <t>tkc</t>
  </si>
  <si>
    <t>Pracovní plošina 14m, osazení stožáru - 3ks, osazení a nastavení svítidel,</t>
  </si>
  <si>
    <t>sada</t>
  </si>
  <si>
    <t>Cena dopravy pracovní plošiny (cena bude upřesněna montážní firmou)</t>
  </si>
  <si>
    <t>Nafázování NN kabelu</t>
  </si>
  <si>
    <t>Příprava ke komplexní zkoušce</t>
  </si>
  <si>
    <t>hod</t>
  </si>
  <si>
    <t>Zkušební provoz</t>
  </si>
  <si>
    <t>Zabezpečení pracoviště</t>
  </si>
  <si>
    <t>Ostatní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</si>
  <si>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</si>
  <si>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</si>
  <si>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</si>
  <si>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Revize - celkem</t>
  </si>
  <si>
    <t>D.2.5.1 - SO31 Areálové rozvody NN a VO - celkem</t>
  </si>
  <si>
    <t>Podružný materiál</t>
  </si>
  <si>
    <t>Elektromontáže - celkem</t>
  </si>
  <si>
    <t>Zemní práce</t>
  </si>
  <si>
    <t>SEJMUTÍ ORNICE</t>
  </si>
  <si>
    <t xml:space="preserve"> Vrstva do 15cm,zemina tř.2</t>
  </si>
  <si>
    <t>m3</t>
  </si>
  <si>
    <t>SEJMUTÍ DRNU</t>
  </si>
  <si>
    <t xml:space="preserve"> Nářez drnu,naložení,odvoz</t>
  </si>
  <si>
    <t>m2</t>
  </si>
  <si>
    <t>HLOUBENÍ KABELOVÉ RÝHY</t>
  </si>
  <si>
    <t xml:space="preserve"> Zemina třídy 3, šíře 350mm,hloubka 800mm</t>
  </si>
  <si>
    <t xml:space="preserve"> Zemina třídy 3, šíře 500mm,hloubka 1000mm</t>
  </si>
  <si>
    <t xml:space="preserve"> Zemina třídy 3, šíře 600mm,hloubka 800mm</t>
  </si>
  <si>
    <t xml:space="preserve"> Zemina třídy 3, šíře 600mm,hloubka 1000mm</t>
  </si>
  <si>
    <t>ZŘÍZENÍ KABELOVÉHO LOŽE</t>
  </si>
  <si>
    <t xml:space="preserve"> Z kopaného písku, bez zakrytí, šíře do 65cm,tloušťka 10cm</t>
  </si>
  <si>
    <t>FOLIE VÝSTRAŽNÁ Z PVC</t>
  </si>
  <si>
    <t xml:space="preserve"> Do šířky 20cm</t>
  </si>
  <si>
    <t>ZÁHOZ KABELOVÉ RÝHY</t>
  </si>
  <si>
    <t>ODVOZ ZEMINY</t>
  </si>
  <si>
    <t xml:space="preserve"> Do vzdálenosti 1 km</t>
  </si>
  <si>
    <t>ÚPRAVA POVRCHU</t>
  </si>
  <si>
    <t xml:space="preserve"> Provizorní úprava terénu v zemina třídy 3</t>
  </si>
  <si>
    <t>JÁMA PRO STOŽÁRY VER.OSVĚTLENÍ</t>
  </si>
  <si>
    <t xml:space="preserve"> Zemina třídy 3,ručně</t>
  </si>
  <si>
    <t>Pouzdro pro silniční stožár 14m</t>
  </si>
  <si>
    <t>ZÁKLAD Z PROSTÉHO BETONU</t>
  </si>
  <si>
    <t xml:space="preserve"> Do rostlé zeminy bez bednění</t>
  </si>
  <si>
    <t>ZÁHOZ JÁMY,UPĚCHOVÁNÍ,ÚPRAVA</t>
  </si>
  <si>
    <t>POVRCHU</t>
  </si>
  <si>
    <t xml:space="preserve"> V zemine třídy 3-4</t>
  </si>
  <si>
    <t>KABELOVÝ PROSTUP Z PVC TRUBKY</t>
  </si>
  <si>
    <t xml:space="preserve"> Světlost do 10,5 cm</t>
  </si>
  <si>
    <t>Utěsnění prostupu do budovy</t>
  </si>
  <si>
    <t>KŘIŽOVATKA SE SILOVÝM KABELEM</t>
  </si>
  <si>
    <t xml:space="preserve"> Položení bet.žlabu vč.zakrytí</t>
  </si>
  <si>
    <t>Zemní práce - celkem</t>
  </si>
  <si>
    <t>Hodnota A</t>
  </si>
  <si>
    <t>Hodnota B</t>
  </si>
  <si>
    <t>Základní náklady</t>
  </si>
  <si>
    <t>Dodávka</t>
  </si>
  <si>
    <t>Doprava 0,00%,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</si>
  <si>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</si>
  <si>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</si>
  <si>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</si>
  <si>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</si>
  <si>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</si>
  <si>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</si>
  <si>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</si>
  <si>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</si>
  <si>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</si>
  <si>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</si>
  <si>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</si>
  <si>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</si>
  <si>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3,25%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</si>
  <si>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</si>
  <si>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</si>
  <si>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</si>
  <si>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</si>
  <si>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</si>
  <si>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D.2.5.1 - SO31 Areálové rozvody NN a VO</t>
  </si>
  <si>
    <t xml:space="preserve">    Svítidla</t>
  </si>
  <si>
    <t xml:space="preserve">    Sloupy VO</t>
  </si>
  <si>
    <t xml:space="preserve">    Kabely</t>
  </si>
  <si>
    <t xml:space="preserve">    Kabelové trasy, nosné konstrukce</t>
  </si>
  <si>
    <t xml:space="preserve">    Ukončení vodičů</t>
  </si>
  <si>
    <t xml:space="preserve">    Uzemnění</t>
  </si>
  <si>
    <t xml:space="preserve">    Ostatní</t>
  </si>
  <si>
    <t xml:space="preserve">    Revize</t>
  </si>
  <si>
    <t>Prodejna pro dům a zahradu, ulice Lomská, Litvínov</t>
  </si>
  <si>
    <t>2017-15-02</t>
  </si>
  <si>
    <t>13.12.2021</t>
  </si>
  <si>
    <t>12/2021</t>
  </si>
  <si>
    <t>D.2.5-1 - SO 31 Areálové rozvody NN a VO</t>
  </si>
  <si>
    <t>21458</t>
  </si>
  <si>
    <r>
      <t xml:space="preserve">Svítidla - </t>
    </r>
    <r>
      <rPr>
        <b/>
        <sz val="8"/>
        <color rgb="FFFF0000"/>
        <rFont val="慔潨慭"/>
        <charset val="238"/>
      </rPr>
      <t>jen montáž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</si>
</sst>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  <font>
      <b/>
      <sz val="8"/>
      <color rgb="FFFF0000"/>
      <name val="慔潨慭"/>
      <charset val="238"/>
    </font>
  </fonts>
  <fills count="9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2" fillId="3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1" fillId="2" borderId="1" xfId="0" applyNumberFormat="1" applyFont="1" applyFill="1" applyBorder="1" applyAlignment="1">
      <alignment horizontal="left"/>
    </xf>
    <xf numFmtId="4" fontId="1" fillId="5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  <xf numFmtId="4" fontId="4" fillId="6" borderId="1" xfId="0" applyNumberFormat="1" applyFont="1" applyFill="1" applyBorder="1" applyAlignment="1">
      <alignment horizontal="right"/>
    </xf>
    <xf numFmtId="49" fontId="5" fillId="7" borderId="1" xfId="0" applyNumberFormat="1" applyFont="1" applyFill="1" applyBorder="1" applyAlignment="1">
      <alignment horizontal="left"/>
    </xf>
    <xf numFmtId="4" fontId="5" fillId="7" borderId="1" xfId="0" applyNumberFormat="1" applyFont="1" applyFill="1" applyBorder="1" applyAlignment="1">
      <alignment horizontal="right"/>
    </xf>
    <xf numFmtId="4" fontId="5" fillId="7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4" fillId="6" borderId="1" xfId="0" applyNumberFormat="1" applyFont="1" applyFill="1" applyBorder="1" applyAlignment="1">
      <alignment horizontal="left" wrapText="1"/>
    </xf>
    <xf numFmtId="49" fontId="5" fillId="7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 wrapText="1"/>
    </xf>
    <xf numFmtId="4" fontId="1" fillId="8" borderId="1" xfId="0" applyNumberFormat="1" applyFont="1" applyFill="1" applyBorder="1" applyAlignment="1">
      <alignment horizontal="right"/>
    </xf>
    <xf numFmtId="49" fontId="5" fillId="8" borderId="1" xfId="0" applyNumberFormat="1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left" wrapText="1"/>
    </xf>
    <xf numFmtId="4" fontId="5" fillId="8" borderId="1" xfId="0" applyNumberFormat="1" applyFont="1" applyFill="1" applyBorder="1" applyAlignment="1">
      <alignment horizontal="left"/>
    </xf>
    <xf numFmtId="0" fontId="0" fillId="8" borderId="1" xfId="0" applyFill="1" applyBorder="1"/>
    <xf numFmtId="0" fontId="0" fillId="8" borderId="0" xfId="0" applyFill="1"/>
    <xf numFmtId="4" fontId="5" fillId="8" borderId="1" xfId="0" applyNumberFormat="1" applyFont="1" applyFill="1" applyBorder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view="pageBreakPreview" topLeftCell="A16" zoomScale="130" zoomScaleNormal="100" zoomScaleSheetLayoutView="130" workbookViewId="0">
      <selection activeCell="D3" sqref="D3"/>
    </sheetView>
  </sheetViews>
  <sheetFormatPr defaultRowHeight="15.6"/>
  <cols>
    <col min="1" max="1" width="31.69921875" style="1" bestFit="1" customWidth="1"/>
    <col min="2" max="2" width="7.59765625" style="9" bestFit="1" customWidth="1"/>
    <col min="3" max="3" width="16" style="9" customWidth="1"/>
    <col min="6" max="6" width="0" hidden="1" customWidth="1"/>
  </cols>
  <sheetData>
    <row r="1" spans="1:4">
      <c r="A1" s="2" t="s">
        <v>0</v>
      </c>
      <c r="B1" s="10" t="s">
        <v>169</v>
      </c>
      <c r="C1" s="10" t="s">
        <v>170</v>
      </c>
      <c r="D1" s="3"/>
    </row>
    <row r="2" spans="1:4">
      <c r="A2" s="5" t="s">
        <v>171</v>
      </c>
      <c r="B2" s="13"/>
      <c r="C2" s="13"/>
      <c r="D2" s="3"/>
    </row>
    <row r="3" spans="1:4">
      <c r="A3" s="6" t="s">
        <v>172</v>
      </c>
      <c r="B3" s="11">
        <f>0</f>
        <v>0</v>
      </c>
      <c r="C3" s="11"/>
      <c r="D3" s="3"/>
    </row>
    <row r="4" spans="1:4">
      <c r="A4" s="6" t="s">
        <v>173</v>
      </c>
      <c r="B4" s="11">
        <f>B3 * Parametry!B16 / 100</f>
        <v>0</v>
      </c>
      <c r="C4" s="11">
        <f>B3 * Parametry!B17 / 100</f>
        <v>0</v>
      </c>
      <c r="D4" s="3"/>
    </row>
    <row r="5" spans="1:4">
      <c r="A5" s="6" t="s">
        <v>174</v>
      </c>
      <c r="B5" s="11"/>
      <c r="C5" s="11">
        <f>(Rozpočet!F105) + 0</f>
        <v>0</v>
      </c>
      <c r="D5" s="3"/>
    </row>
    <row r="6" spans="1:4">
      <c r="A6" s="6" t="s">
        <v>175</v>
      </c>
      <c r="B6" s="11"/>
      <c r="C6" s="11">
        <f>0 + (Rozpočet!H105) + 0</f>
        <v>0</v>
      </c>
      <c r="D6" s="3"/>
    </row>
    <row r="7" spans="1:4">
      <c r="A7" s="7" t="s">
        <v>176</v>
      </c>
      <c r="B7" s="14">
        <f>B3 + B4</f>
        <v>0</v>
      </c>
      <c r="C7" s="14">
        <f>C3 + C4 + C5 + C6</f>
        <v>0</v>
      </c>
      <c r="D7" s="3"/>
    </row>
    <row r="8" spans="1:4">
      <c r="A8" s="6" t="s">
        <v>177</v>
      </c>
      <c r="B8" s="11"/>
      <c r="C8" s="11">
        <f>(C5 + C6) * Parametry!B18 / 100</f>
        <v>0</v>
      </c>
      <c r="D8" s="3"/>
    </row>
    <row r="9" spans="1:4">
      <c r="A9" s="6" t="s">
        <v>178</v>
      </c>
      <c r="B9" s="11"/>
      <c r="C9" s="11">
        <f>0 + 0</f>
        <v>0</v>
      </c>
      <c r="D9" s="3"/>
    </row>
    <row r="10" spans="1:4">
      <c r="A10" s="6" t="s">
        <v>134</v>
      </c>
      <c r="B10" s="11"/>
      <c r="C10" s="11">
        <f>(Rozpočet!F145) + (Rozpočet!H145)</f>
        <v>0</v>
      </c>
      <c r="D10" s="3"/>
    </row>
    <row r="11" spans="1:4">
      <c r="A11" s="6" t="s">
        <v>179</v>
      </c>
      <c r="B11" s="11"/>
      <c r="C11" s="11">
        <f>(C9 + C10) * Parametry!B19 / 100</f>
        <v>0</v>
      </c>
      <c r="D11" s="3"/>
    </row>
    <row r="12" spans="1:4">
      <c r="A12" s="7" t="s">
        <v>180</v>
      </c>
      <c r="B12" s="14">
        <f>B7</f>
        <v>0</v>
      </c>
      <c r="C12" s="14">
        <f>C7 + C8 + C9 + C10 + C11</f>
        <v>0</v>
      </c>
      <c r="D12" s="3"/>
    </row>
    <row r="13" spans="1:4">
      <c r="A13" s="6" t="s">
        <v>181</v>
      </c>
      <c r="B13" s="11"/>
      <c r="C13" s="11">
        <f>(B12 + C12) * Parametry!B20 / 100</f>
        <v>0</v>
      </c>
      <c r="D13" s="3"/>
    </row>
    <row r="14" spans="1:4">
      <c r="A14" s="6" t="s">
        <v>182</v>
      </c>
      <c r="B14" s="11"/>
      <c r="C14" s="11">
        <f>(B12 + C12) * Parametry!B21 / 100</f>
        <v>0</v>
      </c>
      <c r="D14" s="3"/>
    </row>
    <row r="15" spans="1:4">
      <c r="A15" s="6" t="s">
        <v>183</v>
      </c>
      <c r="B15" s="11"/>
      <c r="C15" s="11">
        <f>(B7 + C7) * Parametry!B22 / 100</f>
        <v>0</v>
      </c>
      <c r="D15" s="3"/>
    </row>
    <row r="16" spans="1:4">
      <c r="A16" s="5" t="s">
        <v>184</v>
      </c>
      <c r="B16" s="13"/>
      <c r="C16" s="13">
        <f>B12 + C12 + C13 + C14 + C15</f>
        <v>0</v>
      </c>
      <c r="D16" s="3"/>
    </row>
    <row r="17" spans="1:4">
      <c r="A17" s="6" t="s">
        <v>11</v>
      </c>
      <c r="B17" s="11"/>
      <c r="C17" s="11"/>
      <c r="D17" s="3"/>
    </row>
    <row r="18" spans="1:4">
      <c r="A18" s="5" t="s">
        <v>185</v>
      </c>
      <c r="B18" s="13"/>
      <c r="C18" s="13"/>
      <c r="D18" s="3"/>
    </row>
    <row r="19" spans="1:4">
      <c r="A19" s="6" t="s">
        <v>186</v>
      </c>
      <c r="B19" s="11"/>
      <c r="C19" s="11">
        <f>C12 * Parametry!B23 / 100</f>
        <v>0</v>
      </c>
      <c r="D19" s="3"/>
    </row>
    <row r="20" spans="1:4">
      <c r="A20" s="6" t="s">
        <v>187</v>
      </c>
      <c r="B20" s="11"/>
      <c r="C20" s="11">
        <f>C12 * Parametry!B24 / 100</f>
        <v>0</v>
      </c>
      <c r="D20" s="3"/>
    </row>
    <row r="21" spans="1:4">
      <c r="A21" s="5" t="s">
        <v>188</v>
      </c>
      <c r="B21" s="13"/>
      <c r="C21" s="13">
        <f>C19 + C20</f>
        <v>0</v>
      </c>
      <c r="D21" s="3"/>
    </row>
    <row r="22" spans="1:4">
      <c r="A22" s="6" t="s">
        <v>189</v>
      </c>
      <c r="B22" s="11"/>
      <c r="C22" s="11">
        <f>Parametry!B25 * Parametry!B28 * (C16 * Parametry!B27)^Parametry!B26</f>
        <v>0</v>
      </c>
      <c r="D22" s="3"/>
    </row>
    <row r="23" spans="1:4">
      <c r="A23" s="6" t="s">
        <v>11</v>
      </c>
      <c r="B23" s="11"/>
      <c r="C23" s="11"/>
      <c r="D23" s="3"/>
    </row>
    <row r="24" spans="1:4">
      <c r="A24" s="4" t="s">
        <v>190</v>
      </c>
      <c r="B24" s="12"/>
      <c r="C24" s="12">
        <f>C16 + C21 + C22</f>
        <v>0</v>
      </c>
      <c r="D24" s="3"/>
    </row>
    <row r="25" spans="1:4">
      <c r="A25" s="6" t="s">
        <v>11</v>
      </c>
      <c r="B25" s="11"/>
      <c r="C25" s="11"/>
      <c r="D25" s="3"/>
    </row>
    <row r="26" spans="1:4">
      <c r="A26" s="5" t="s">
        <v>191</v>
      </c>
      <c r="B26" s="18" t="s">
        <v>48</v>
      </c>
      <c r="C26" s="18" t="s">
        <v>50</v>
      </c>
      <c r="D26" s="3"/>
    </row>
    <row r="27" spans="1:4">
      <c r="A27" s="6" t="s">
        <v>54</v>
      </c>
      <c r="B27" s="11">
        <f>(Rozpočet!F105)</f>
        <v>0</v>
      </c>
      <c r="C27" s="11">
        <f>(Rozpočet!H105)</f>
        <v>0</v>
      </c>
      <c r="D27" s="3"/>
    </row>
    <row r="28" spans="1:4">
      <c r="A28" s="6" t="s">
        <v>192</v>
      </c>
      <c r="B28" s="11">
        <f>(Rozpočet!F102)</f>
        <v>0</v>
      </c>
      <c r="C28" s="11">
        <f>(Rozpočet!H102)</f>
        <v>0</v>
      </c>
      <c r="D28" s="3"/>
    </row>
    <row r="29" spans="1:4">
      <c r="A29" s="6" t="s">
        <v>193</v>
      </c>
      <c r="B29" s="11">
        <f>(Rozpočet!F12)</f>
        <v>0</v>
      </c>
      <c r="C29" s="11">
        <f>(Rozpočet!H12)</f>
        <v>0</v>
      </c>
      <c r="D29" s="3"/>
    </row>
    <row r="30" spans="1:4">
      <c r="A30" s="6" t="s">
        <v>194</v>
      </c>
      <c r="B30" s="11">
        <f>(Rozpočet!F23)</f>
        <v>0</v>
      </c>
      <c r="C30" s="11">
        <f>(Rozpočet!H23)</f>
        <v>0</v>
      </c>
      <c r="D30" s="3"/>
    </row>
    <row r="31" spans="1:4">
      <c r="A31" s="6" t="s">
        <v>195</v>
      </c>
      <c r="B31" s="11">
        <f>(Rozpočet!F35)</f>
        <v>0</v>
      </c>
      <c r="C31" s="11">
        <f>(Rozpočet!H35)</f>
        <v>0</v>
      </c>
      <c r="D31" s="3"/>
    </row>
    <row r="32" spans="1:4">
      <c r="A32" s="6" t="s">
        <v>196</v>
      </c>
      <c r="B32" s="11">
        <f>(Rozpočet!F43)</f>
        <v>0</v>
      </c>
      <c r="C32" s="11">
        <f>(Rozpočet!H43)</f>
        <v>0</v>
      </c>
      <c r="D32" s="3"/>
    </row>
    <row r="33" spans="1:4">
      <c r="A33" s="6" t="s">
        <v>197</v>
      </c>
      <c r="B33" s="11">
        <f>(Rozpočet!F60)</f>
        <v>0</v>
      </c>
      <c r="C33" s="11">
        <f>(Rozpočet!H60)</f>
        <v>0</v>
      </c>
      <c r="D33" s="3"/>
    </row>
    <row r="34" spans="1:4">
      <c r="A34" s="6" t="s">
        <v>198</v>
      </c>
      <c r="B34" s="11">
        <f>(Rozpočet!F80)</f>
        <v>0</v>
      </c>
      <c r="C34" s="11">
        <f>(Rozpočet!H80)</f>
        <v>0</v>
      </c>
      <c r="D34" s="3"/>
    </row>
    <row r="35" spans="1:4">
      <c r="A35" s="6" t="s">
        <v>199</v>
      </c>
      <c r="B35" s="11">
        <f>(Rozpočet!F93)</f>
        <v>0</v>
      </c>
      <c r="C35" s="11">
        <f>(Rozpočet!H93)</f>
        <v>0</v>
      </c>
      <c r="D35" s="3"/>
    </row>
    <row r="36" spans="1:4">
      <c r="A36" s="6" t="s">
        <v>200</v>
      </c>
      <c r="B36" s="11">
        <f>(Rozpočet!F100)</f>
        <v>0</v>
      </c>
      <c r="C36" s="11">
        <f>(Rozpočet!H100)</f>
        <v>0</v>
      </c>
      <c r="D36" s="3"/>
    </row>
    <row r="37" spans="1:4">
      <c r="A37" s="6" t="s">
        <v>134</v>
      </c>
      <c r="B37" s="11">
        <f>(Rozpočet!F145)</f>
        <v>0</v>
      </c>
      <c r="C37" s="11">
        <f>(Rozpočet!H145)</f>
        <v>0</v>
      </c>
      <c r="D37" s="3"/>
    </row>
    <row r="38" spans="1:4">
      <c r="A38" s="6" t="s">
        <v>11</v>
      </c>
      <c r="B38" s="11"/>
      <c r="C38" s="11"/>
      <c r="D38" s="3"/>
    </row>
    <row r="39" spans="1:4">
      <c r="A39" s="6" t="s">
        <v>11</v>
      </c>
      <c r="B39" s="11"/>
      <c r="C39" s="11"/>
      <c r="D39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6"/>
  <sheetViews>
    <sheetView tabSelected="1" view="pageBreakPreview" topLeftCell="A118" zoomScaleNormal="100" zoomScaleSheetLayoutView="100" workbookViewId="0">
      <selection activeCell="H20" sqref="H20"/>
    </sheetView>
  </sheetViews>
  <sheetFormatPr defaultRowHeight="15.6"/>
  <cols>
    <col min="1" max="1" width="5.69921875" style="1" customWidth="1"/>
    <col min="2" max="2" width="31.09765625" style="24" customWidth="1"/>
    <col min="3" max="3" width="3.8984375" style="1" bestFit="1" customWidth="1"/>
    <col min="4" max="4" width="5" style="9" bestFit="1" customWidth="1"/>
    <col min="5" max="5" width="6.8984375" style="9" bestFit="1" customWidth="1"/>
    <col min="6" max="6" width="10" style="9" bestFit="1" customWidth="1"/>
    <col min="7" max="7" width="6.8984375" style="9" bestFit="1" customWidth="1"/>
    <col min="8" max="8" width="9.8984375" style="9" bestFit="1" customWidth="1"/>
    <col min="9" max="9" width="6.8984375" style="9" bestFit="1" customWidth="1"/>
    <col min="10" max="10" width="9.8984375" style="9" bestFit="1" customWidth="1"/>
    <col min="13" max="13" width="8.8984375" hidden="1" customWidth="1"/>
  </cols>
  <sheetData>
    <row r="1" spans="1:13">
      <c r="A1" s="2"/>
      <c r="B1" s="8" t="s">
        <v>0</v>
      </c>
      <c r="C1" s="2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3"/>
      <c r="L1" s="3"/>
      <c r="M1">
        <f>Parametry!B33/100*F9+Parametry!B33/100*F10+Parametry!B33/100*F17+Parametry!B33/100*F19+Parametry!B33/100*F21+Parametry!B33/100*F28+Parametry!B33/100*F30+Parametry!B33/100*F31+Parametry!B33/100*F32+Parametry!B33/100*F33+Parametry!B33/100*F39+Parametry!B33/100*F40+Parametry!B33/100*F41+Parametry!B33/100*F49+Parametry!B33/100*F50+Parametry!B33/100*F51+Parametry!B33/100*F53+Parametry!B33/100*F54+Parametry!B33/100*F55+Parametry!B33/100*F56+Parametry!B33/100*F57+Parametry!B33/100*F58+Parametry!B34/100*F66</f>
        <v>0</v>
      </c>
    </row>
    <row r="2" spans="1:13">
      <c r="A2" s="6"/>
      <c r="B2" s="19" t="s">
        <v>11</v>
      </c>
      <c r="C2" s="6" t="s">
        <v>11</v>
      </c>
      <c r="D2" s="11"/>
      <c r="E2" s="11"/>
      <c r="F2" s="11"/>
      <c r="G2" s="11"/>
      <c r="H2" s="11"/>
      <c r="I2" s="11">
        <f>E2+G2</f>
        <v>0</v>
      </c>
      <c r="J2" s="11">
        <f>F2+H2</f>
        <v>0</v>
      </c>
      <c r="K2" s="3"/>
      <c r="L2" s="3"/>
    </row>
    <row r="3" spans="1:13">
      <c r="A3" s="4"/>
      <c r="B3" s="20" t="s">
        <v>54</v>
      </c>
      <c r="C3" s="4" t="s">
        <v>11</v>
      </c>
      <c r="D3" s="12"/>
      <c r="E3" s="12"/>
      <c r="F3" s="12"/>
      <c r="G3" s="12"/>
      <c r="H3" s="12"/>
      <c r="I3" s="12"/>
      <c r="J3" s="12"/>
      <c r="K3" s="3"/>
      <c r="L3" s="3"/>
    </row>
    <row r="4" spans="1:13">
      <c r="A4" s="6"/>
      <c r="B4" s="19" t="s">
        <v>11</v>
      </c>
      <c r="C4" s="6" t="s">
        <v>11</v>
      </c>
      <c r="D4" s="11"/>
      <c r="E4" s="11"/>
      <c r="F4" s="11"/>
      <c r="G4" s="11"/>
      <c r="H4" s="11"/>
      <c r="I4" s="11">
        <f>E4+G4</f>
        <v>0</v>
      </c>
      <c r="J4" s="11">
        <f>F4+H4</f>
        <v>0</v>
      </c>
      <c r="K4" s="3"/>
      <c r="L4" s="3"/>
    </row>
    <row r="5" spans="1:13">
      <c r="A5" s="5"/>
      <c r="B5" s="21" t="s">
        <v>55</v>
      </c>
      <c r="C5" s="5" t="s">
        <v>11</v>
      </c>
      <c r="D5" s="13"/>
      <c r="E5" s="13"/>
      <c r="F5" s="13"/>
      <c r="G5" s="13"/>
      <c r="H5" s="13"/>
      <c r="I5" s="13"/>
      <c r="J5" s="13"/>
      <c r="K5" s="3"/>
      <c r="L5" s="3"/>
    </row>
    <row r="6" spans="1:13">
      <c r="A6" s="6"/>
      <c r="B6" s="19" t="s">
        <v>11</v>
      </c>
      <c r="C6" s="6" t="s">
        <v>11</v>
      </c>
      <c r="D6" s="11"/>
      <c r="E6" s="11"/>
      <c r="F6" s="11"/>
      <c r="G6" s="11"/>
      <c r="H6" s="11"/>
      <c r="I6" s="11">
        <f>E6+G6</f>
        <v>0</v>
      </c>
      <c r="J6" s="11">
        <f>F6+H6</f>
        <v>0</v>
      </c>
      <c r="K6" s="3"/>
      <c r="L6" s="3"/>
    </row>
    <row r="7" spans="1:13">
      <c r="A7" s="7"/>
      <c r="B7" s="22" t="s">
        <v>207</v>
      </c>
      <c r="C7" s="7" t="s">
        <v>11</v>
      </c>
      <c r="D7" s="14"/>
      <c r="E7" s="14"/>
      <c r="F7" s="14"/>
      <c r="G7" s="14"/>
      <c r="H7" s="14"/>
      <c r="I7" s="14"/>
      <c r="J7" s="14"/>
      <c r="K7" s="3"/>
      <c r="L7" s="3"/>
    </row>
    <row r="8" spans="1:13">
      <c r="A8" s="6"/>
      <c r="B8" s="19" t="s">
        <v>11</v>
      </c>
      <c r="C8" s="6" t="s">
        <v>11</v>
      </c>
      <c r="D8" s="11"/>
      <c r="E8" s="11"/>
      <c r="F8" s="11"/>
      <c r="G8" s="11"/>
      <c r="H8" s="11"/>
      <c r="I8" s="11">
        <f t="shared" ref="I8:J11" si="0">E8+G8</f>
        <v>0</v>
      </c>
      <c r="J8" s="11">
        <f t="shared" si="0"/>
        <v>0</v>
      </c>
      <c r="K8" s="3"/>
      <c r="L8" s="3"/>
    </row>
    <row r="9" spans="1:13" ht="31.8">
      <c r="A9" s="6"/>
      <c r="B9" s="19" t="s">
        <v>56</v>
      </c>
      <c r="C9" s="6" t="s">
        <v>57</v>
      </c>
      <c r="D9" s="11">
        <v>6</v>
      </c>
      <c r="E9" s="11"/>
      <c r="F9" s="11">
        <f>D9*E9</f>
        <v>0</v>
      </c>
      <c r="G9" s="11"/>
      <c r="H9" s="11">
        <f>D9*G9</f>
        <v>0</v>
      </c>
      <c r="I9" s="11">
        <f t="shared" si="0"/>
        <v>0</v>
      </c>
      <c r="J9" s="11">
        <f t="shared" si="0"/>
        <v>0</v>
      </c>
      <c r="K9" s="3"/>
      <c r="L9" s="3"/>
    </row>
    <row r="10" spans="1:13">
      <c r="A10" s="6"/>
      <c r="B10" s="19" t="s">
        <v>58</v>
      </c>
      <c r="C10" s="6" t="s">
        <v>57</v>
      </c>
      <c r="D10" s="11">
        <v>6</v>
      </c>
      <c r="E10" s="11"/>
      <c r="F10" s="11">
        <f>D10*E10</f>
        <v>0</v>
      </c>
      <c r="G10" s="11"/>
      <c r="H10" s="11">
        <f>D10*G10</f>
        <v>0</v>
      </c>
      <c r="I10" s="11">
        <f t="shared" si="0"/>
        <v>0</v>
      </c>
      <c r="J10" s="11">
        <f t="shared" si="0"/>
        <v>0</v>
      </c>
      <c r="K10" s="3"/>
      <c r="L10" s="3"/>
    </row>
    <row r="11" spans="1:13">
      <c r="A11" s="6"/>
      <c r="B11" s="19" t="s">
        <v>11</v>
      </c>
      <c r="C11" s="6" t="s">
        <v>11</v>
      </c>
      <c r="D11" s="11"/>
      <c r="E11" s="11"/>
      <c r="F11" s="11"/>
      <c r="G11" s="11"/>
      <c r="H11" s="11"/>
      <c r="I11" s="11">
        <f t="shared" si="0"/>
        <v>0</v>
      </c>
      <c r="J11" s="11">
        <f t="shared" si="0"/>
        <v>0</v>
      </c>
      <c r="K11" s="3"/>
      <c r="L11" s="3"/>
    </row>
    <row r="12" spans="1:13">
      <c r="A12" s="7"/>
      <c r="B12" s="22" t="s">
        <v>59</v>
      </c>
      <c r="C12" s="7" t="s">
        <v>11</v>
      </c>
      <c r="D12" s="14"/>
      <c r="E12" s="14"/>
      <c r="F12" s="14">
        <f>SUM(F8:F11)</f>
        <v>0</v>
      </c>
      <c r="G12" s="14"/>
      <c r="H12" s="14">
        <f>SUM(H8:H11)</f>
        <v>0</v>
      </c>
      <c r="I12" s="14"/>
      <c r="J12" s="14">
        <f>SUM(J8:J11)</f>
        <v>0</v>
      </c>
      <c r="K12" s="3"/>
      <c r="L12" s="3"/>
    </row>
    <row r="13" spans="1:13">
      <c r="A13" s="6"/>
      <c r="B13" s="19" t="s">
        <v>11</v>
      </c>
      <c r="C13" s="6" t="s">
        <v>11</v>
      </c>
      <c r="D13" s="11"/>
      <c r="E13" s="11"/>
      <c r="F13" s="11"/>
      <c r="G13" s="11"/>
      <c r="H13" s="11"/>
      <c r="I13" s="11">
        <f>E13+G13</f>
        <v>0</v>
      </c>
      <c r="J13" s="11">
        <f>F13+H13</f>
        <v>0</v>
      </c>
      <c r="K13" s="3"/>
      <c r="L13" s="3"/>
    </row>
    <row r="14" spans="1:13">
      <c r="A14" s="7"/>
      <c r="B14" s="22" t="s">
        <v>60</v>
      </c>
      <c r="C14" s="7" t="s">
        <v>11</v>
      </c>
      <c r="D14" s="14"/>
      <c r="E14" s="14"/>
      <c r="F14" s="14"/>
      <c r="G14" s="14"/>
      <c r="H14" s="14"/>
      <c r="I14" s="14"/>
      <c r="J14" s="14"/>
      <c r="K14" s="3"/>
      <c r="L14" s="3"/>
    </row>
    <row r="15" spans="1:13">
      <c r="A15" s="6"/>
      <c r="B15" s="19" t="s">
        <v>11</v>
      </c>
      <c r="C15" s="6" t="s">
        <v>11</v>
      </c>
      <c r="D15" s="11"/>
      <c r="E15" s="11"/>
      <c r="F15" s="11"/>
      <c r="G15" s="11"/>
      <c r="H15" s="11"/>
      <c r="I15" s="11">
        <f>E15+G15</f>
        <v>0</v>
      </c>
      <c r="J15" s="11">
        <f>F15+H15</f>
        <v>0</v>
      </c>
      <c r="K15" s="3"/>
      <c r="L15" s="3"/>
    </row>
    <row r="16" spans="1:13">
      <c r="A16" s="15"/>
      <c r="B16" s="23" t="s">
        <v>61</v>
      </c>
      <c r="C16" s="15" t="s">
        <v>11</v>
      </c>
      <c r="D16" s="16"/>
      <c r="E16" s="16"/>
      <c r="F16" s="16"/>
      <c r="G16" s="16"/>
      <c r="H16" s="16"/>
      <c r="I16" s="16"/>
      <c r="J16" s="16"/>
      <c r="K16" s="3"/>
      <c r="L16" s="3"/>
    </row>
    <row r="17" spans="1:12" ht="21.6">
      <c r="A17" s="6"/>
      <c r="B17" s="19" t="s">
        <v>62</v>
      </c>
      <c r="C17" s="6" t="s">
        <v>57</v>
      </c>
      <c r="D17" s="11">
        <v>3</v>
      </c>
      <c r="E17" s="11"/>
      <c r="F17" s="11">
        <f>D17*E17</f>
        <v>0</v>
      </c>
      <c r="G17" s="11"/>
      <c r="H17" s="11">
        <f>D17*G17</f>
        <v>0</v>
      </c>
      <c r="I17" s="11">
        <f>E17+G17</f>
        <v>0</v>
      </c>
      <c r="J17" s="11">
        <f>F17+H17</f>
        <v>0</v>
      </c>
      <c r="K17" s="3"/>
      <c r="L17" s="3"/>
    </row>
    <row r="18" spans="1:12">
      <c r="A18" s="15"/>
      <c r="B18" s="23" t="s">
        <v>63</v>
      </c>
      <c r="C18" s="15" t="s">
        <v>11</v>
      </c>
      <c r="D18" s="16"/>
      <c r="E18" s="16"/>
      <c r="F18" s="16"/>
      <c r="G18" s="16"/>
      <c r="H18" s="16"/>
      <c r="I18" s="16"/>
      <c r="J18" s="16"/>
      <c r="K18" s="3"/>
      <c r="L18" s="3"/>
    </row>
    <row r="19" spans="1:12" ht="21.6">
      <c r="A19" s="6"/>
      <c r="B19" s="19" t="s">
        <v>64</v>
      </c>
      <c r="C19" s="6" t="s">
        <v>57</v>
      </c>
      <c r="D19" s="11">
        <v>3</v>
      </c>
      <c r="E19" s="11"/>
      <c r="F19" s="11">
        <f>D19*E19</f>
        <v>0</v>
      </c>
      <c r="G19" s="11"/>
      <c r="H19" s="11">
        <f>D19*G19</f>
        <v>0</v>
      </c>
      <c r="I19" s="11">
        <f>E19+G19</f>
        <v>0</v>
      </c>
      <c r="J19" s="11">
        <f>F19+H19</f>
        <v>0</v>
      </c>
      <c r="K19" s="3"/>
      <c r="L19" s="3"/>
    </row>
    <row r="20" spans="1:12">
      <c r="A20" s="15"/>
      <c r="B20" s="23" t="s">
        <v>65</v>
      </c>
      <c r="C20" s="15" t="s">
        <v>11</v>
      </c>
      <c r="D20" s="16"/>
      <c r="E20" s="16"/>
      <c r="F20" s="16"/>
      <c r="G20" s="16"/>
      <c r="H20" s="16"/>
      <c r="I20" s="16"/>
      <c r="J20" s="16"/>
      <c r="K20" s="3"/>
      <c r="L20" s="3"/>
    </row>
    <row r="21" spans="1:12">
      <c r="A21" s="6"/>
      <c r="B21" s="19" t="s">
        <v>66</v>
      </c>
      <c r="C21" s="6" t="s">
        <v>57</v>
      </c>
      <c r="D21" s="11">
        <v>3</v>
      </c>
      <c r="E21" s="11"/>
      <c r="F21" s="11">
        <f>D21*E21</f>
        <v>0</v>
      </c>
      <c r="G21" s="11"/>
      <c r="H21" s="11">
        <f>D21*G21</f>
        <v>0</v>
      </c>
      <c r="I21" s="11">
        <f>E21+G21</f>
        <v>0</v>
      </c>
      <c r="J21" s="11">
        <f>F21+H21</f>
        <v>0</v>
      </c>
      <c r="K21" s="3"/>
      <c r="L21" s="3"/>
    </row>
    <row r="22" spans="1:12">
      <c r="A22" s="6"/>
      <c r="B22" s="19" t="s">
        <v>11</v>
      </c>
      <c r="C22" s="6" t="s">
        <v>11</v>
      </c>
      <c r="D22" s="11"/>
      <c r="E22" s="11"/>
      <c r="F22" s="11"/>
      <c r="G22" s="11"/>
      <c r="H22" s="11"/>
      <c r="I22" s="11">
        <f>E22+G22</f>
        <v>0</v>
      </c>
      <c r="J22" s="11">
        <f>F22+H22</f>
        <v>0</v>
      </c>
      <c r="K22" s="3"/>
      <c r="L22" s="3"/>
    </row>
    <row r="23" spans="1:12">
      <c r="A23" s="7"/>
      <c r="B23" s="22" t="s">
        <v>67</v>
      </c>
      <c r="C23" s="7" t="s">
        <v>11</v>
      </c>
      <c r="D23" s="14"/>
      <c r="E23" s="14"/>
      <c r="F23" s="14">
        <f>SUM(F15:F22)</f>
        <v>0</v>
      </c>
      <c r="G23" s="14"/>
      <c r="H23" s="14">
        <f>SUM(H15:H22)</f>
        <v>0</v>
      </c>
      <c r="I23" s="14"/>
      <c r="J23" s="14">
        <f>SUM(J15:J22)</f>
        <v>0</v>
      </c>
      <c r="K23" s="3"/>
      <c r="L23" s="3"/>
    </row>
    <row r="24" spans="1:12">
      <c r="A24" s="6"/>
      <c r="B24" s="19" t="s">
        <v>11</v>
      </c>
      <c r="C24" s="6" t="s">
        <v>11</v>
      </c>
      <c r="D24" s="11"/>
      <c r="E24" s="11"/>
      <c r="F24" s="11"/>
      <c r="G24" s="11"/>
      <c r="H24" s="11"/>
      <c r="I24" s="11">
        <f>E24+G24</f>
        <v>0</v>
      </c>
      <c r="J24" s="11">
        <f>F24+H24</f>
        <v>0</v>
      </c>
      <c r="K24" s="3"/>
      <c r="L24" s="3"/>
    </row>
    <row r="25" spans="1:12">
      <c r="A25" s="7"/>
      <c r="B25" s="22" t="s">
        <v>68</v>
      </c>
      <c r="C25" s="7" t="s">
        <v>11</v>
      </c>
      <c r="D25" s="14"/>
      <c r="E25" s="14"/>
      <c r="F25" s="14"/>
      <c r="G25" s="14"/>
      <c r="H25" s="14"/>
      <c r="I25" s="14"/>
      <c r="J25" s="14"/>
      <c r="K25" s="3"/>
      <c r="L25" s="3"/>
    </row>
    <row r="26" spans="1:12">
      <c r="A26" s="6"/>
      <c r="B26" s="19" t="s">
        <v>11</v>
      </c>
      <c r="C26" s="6" t="s">
        <v>11</v>
      </c>
      <c r="D26" s="11"/>
      <c r="E26" s="11"/>
      <c r="F26" s="11"/>
      <c r="G26" s="11"/>
      <c r="H26" s="11"/>
      <c r="I26" s="11">
        <f>E26+G26</f>
        <v>0</v>
      </c>
      <c r="J26" s="11">
        <f>F26+H26</f>
        <v>0</v>
      </c>
      <c r="K26" s="3"/>
      <c r="L26" s="3"/>
    </row>
    <row r="27" spans="1:12">
      <c r="A27" s="15"/>
      <c r="B27" s="23" t="s">
        <v>69</v>
      </c>
      <c r="C27" s="15" t="s">
        <v>11</v>
      </c>
      <c r="D27" s="16"/>
      <c r="E27" s="16"/>
      <c r="F27" s="16"/>
      <c r="G27" s="16"/>
      <c r="H27" s="16"/>
      <c r="I27" s="16"/>
      <c r="J27" s="16"/>
      <c r="K27" s="3"/>
      <c r="L27" s="3"/>
    </row>
    <row r="28" spans="1:12">
      <c r="A28" s="6"/>
      <c r="B28" s="19" t="s">
        <v>70</v>
      </c>
      <c r="C28" s="6" t="s">
        <v>71</v>
      </c>
      <c r="D28" s="11">
        <v>400</v>
      </c>
      <c r="E28" s="11"/>
      <c r="F28" s="11">
        <f>D28*E28</f>
        <v>0</v>
      </c>
      <c r="G28" s="11"/>
      <c r="H28" s="11">
        <f>D28*G28</f>
        <v>0</v>
      </c>
      <c r="I28" s="11">
        <f>E28+G28</f>
        <v>0</v>
      </c>
      <c r="J28" s="11">
        <f>F28+H28</f>
        <v>0</v>
      </c>
      <c r="K28" s="3"/>
      <c r="L28" s="3"/>
    </row>
    <row r="29" spans="1:12">
      <c r="A29" s="15"/>
      <c r="B29" s="23" t="s">
        <v>72</v>
      </c>
      <c r="C29" s="15" t="s">
        <v>11</v>
      </c>
      <c r="D29" s="16"/>
      <c r="E29" s="16"/>
      <c r="F29" s="16"/>
      <c r="G29" s="16"/>
      <c r="H29" s="16"/>
      <c r="I29" s="16"/>
      <c r="J29" s="16"/>
      <c r="K29" s="3"/>
      <c r="L29" s="3"/>
    </row>
    <row r="30" spans="1:12">
      <c r="A30" s="6"/>
      <c r="B30" s="19" t="s">
        <v>73</v>
      </c>
      <c r="C30" s="6" t="s">
        <v>71</v>
      </c>
      <c r="D30" s="11">
        <v>180</v>
      </c>
      <c r="E30" s="11"/>
      <c r="F30" s="11">
        <f>D30*E30</f>
        <v>0</v>
      </c>
      <c r="G30" s="11"/>
      <c r="H30" s="11">
        <f>D30*G30</f>
        <v>0</v>
      </c>
      <c r="I30" s="11">
        <f t="shared" ref="I30:J34" si="1">E30+G30</f>
        <v>0</v>
      </c>
      <c r="J30" s="11">
        <f t="shared" si="1"/>
        <v>0</v>
      </c>
      <c r="K30" s="3"/>
      <c r="L30" s="3"/>
    </row>
    <row r="31" spans="1:12">
      <c r="A31" s="6"/>
      <c r="B31" s="19" t="s">
        <v>74</v>
      </c>
      <c r="C31" s="6" t="s">
        <v>71</v>
      </c>
      <c r="D31" s="11">
        <v>550</v>
      </c>
      <c r="E31" s="11"/>
      <c r="F31" s="11">
        <f>D31*E31</f>
        <v>0</v>
      </c>
      <c r="G31" s="11"/>
      <c r="H31" s="11">
        <f>D31*G31</f>
        <v>0</v>
      </c>
      <c r="I31" s="11">
        <f t="shared" si="1"/>
        <v>0</v>
      </c>
      <c r="J31" s="11">
        <f t="shared" si="1"/>
        <v>0</v>
      </c>
      <c r="K31" s="3"/>
      <c r="L31" s="3"/>
    </row>
    <row r="32" spans="1:12">
      <c r="A32" s="6"/>
      <c r="B32" s="19" t="s">
        <v>75</v>
      </c>
      <c r="C32" s="6" t="s">
        <v>71</v>
      </c>
      <c r="D32" s="11">
        <v>110</v>
      </c>
      <c r="E32" s="11"/>
      <c r="F32" s="11">
        <f>D32*E32</f>
        <v>0</v>
      </c>
      <c r="G32" s="11"/>
      <c r="H32" s="11">
        <f>D32*G32</f>
        <v>0</v>
      </c>
      <c r="I32" s="11">
        <f t="shared" si="1"/>
        <v>0</v>
      </c>
      <c r="J32" s="11">
        <f t="shared" si="1"/>
        <v>0</v>
      </c>
      <c r="K32" s="3"/>
      <c r="L32" s="3"/>
    </row>
    <row r="33" spans="1:12">
      <c r="A33" s="6"/>
      <c r="B33" s="19" t="s">
        <v>76</v>
      </c>
      <c r="C33" s="6" t="s">
        <v>71</v>
      </c>
      <c r="D33" s="11">
        <v>150</v>
      </c>
      <c r="E33" s="11"/>
      <c r="F33" s="11">
        <f>D33*E33</f>
        <v>0</v>
      </c>
      <c r="G33" s="11"/>
      <c r="H33" s="11">
        <f>D33*G33</f>
        <v>0</v>
      </c>
      <c r="I33" s="11">
        <f t="shared" si="1"/>
        <v>0</v>
      </c>
      <c r="J33" s="11">
        <f t="shared" si="1"/>
        <v>0</v>
      </c>
      <c r="K33" s="3"/>
      <c r="L33" s="3"/>
    </row>
    <row r="34" spans="1:12">
      <c r="A34" s="6"/>
      <c r="B34" s="19" t="s">
        <v>11</v>
      </c>
      <c r="C34" s="6" t="s">
        <v>11</v>
      </c>
      <c r="D34" s="11"/>
      <c r="E34" s="11"/>
      <c r="F34" s="11"/>
      <c r="G34" s="11"/>
      <c r="H34" s="11"/>
      <c r="I34" s="11">
        <f t="shared" si="1"/>
        <v>0</v>
      </c>
      <c r="J34" s="11">
        <f t="shared" si="1"/>
        <v>0</v>
      </c>
      <c r="K34" s="3"/>
      <c r="L34" s="3"/>
    </row>
    <row r="35" spans="1:12">
      <c r="A35" s="7"/>
      <c r="B35" s="22" t="s">
        <v>77</v>
      </c>
      <c r="C35" s="7" t="s">
        <v>11</v>
      </c>
      <c r="D35" s="14"/>
      <c r="E35" s="14"/>
      <c r="F35" s="14">
        <f>SUM(F26:F34)</f>
        <v>0</v>
      </c>
      <c r="G35" s="14"/>
      <c r="H35" s="14">
        <f>SUM(H26:H34)</f>
        <v>0</v>
      </c>
      <c r="I35" s="14"/>
      <c r="J35" s="14">
        <f>SUM(J26:J34)</f>
        <v>0</v>
      </c>
      <c r="K35" s="3"/>
      <c r="L35" s="3"/>
    </row>
    <row r="36" spans="1:12">
      <c r="A36" s="6"/>
      <c r="B36" s="19" t="s">
        <v>11</v>
      </c>
      <c r="C36" s="6" t="s">
        <v>11</v>
      </c>
      <c r="D36" s="11"/>
      <c r="E36" s="11"/>
      <c r="F36" s="11"/>
      <c r="G36" s="11"/>
      <c r="H36" s="11"/>
      <c r="I36" s="11">
        <f>E36+G36</f>
        <v>0</v>
      </c>
      <c r="J36" s="11">
        <f>F36+H36</f>
        <v>0</v>
      </c>
      <c r="K36" s="3"/>
      <c r="L36" s="3"/>
    </row>
    <row r="37" spans="1:12">
      <c r="A37" s="7"/>
      <c r="B37" s="22" t="s">
        <v>78</v>
      </c>
      <c r="C37" s="7" t="s">
        <v>11</v>
      </c>
      <c r="D37" s="14"/>
      <c r="E37" s="14"/>
      <c r="F37" s="14"/>
      <c r="G37" s="14"/>
      <c r="H37" s="14"/>
      <c r="I37" s="14"/>
      <c r="J37" s="14"/>
      <c r="K37" s="3"/>
      <c r="L37" s="3"/>
    </row>
    <row r="38" spans="1:12">
      <c r="A38" s="6"/>
      <c r="B38" s="19" t="s">
        <v>11</v>
      </c>
      <c r="C38" s="6" t="s">
        <v>11</v>
      </c>
      <c r="D38" s="11"/>
      <c r="E38" s="11"/>
      <c r="F38" s="11"/>
      <c r="G38" s="11"/>
      <c r="H38" s="11"/>
      <c r="I38" s="11">
        <f t="shared" ref="I38:J42" si="2">E38+G38</f>
        <v>0</v>
      </c>
      <c r="J38" s="11">
        <f t="shared" si="2"/>
        <v>0</v>
      </c>
      <c r="K38" s="3"/>
      <c r="L38" s="3"/>
    </row>
    <row r="39" spans="1:12">
      <c r="A39" s="6"/>
      <c r="B39" s="19" t="s">
        <v>79</v>
      </c>
      <c r="C39" s="6" t="s">
        <v>71</v>
      </c>
      <c r="D39" s="11">
        <v>20</v>
      </c>
      <c r="E39" s="11"/>
      <c r="F39" s="11">
        <f>D39*E39</f>
        <v>0</v>
      </c>
      <c r="G39" s="11"/>
      <c r="H39" s="11">
        <f>D39*G39</f>
        <v>0</v>
      </c>
      <c r="I39" s="11">
        <f t="shared" si="2"/>
        <v>0</v>
      </c>
      <c r="J39" s="11">
        <f t="shared" si="2"/>
        <v>0</v>
      </c>
      <c r="K39" s="3"/>
      <c r="L39" s="3"/>
    </row>
    <row r="40" spans="1:12">
      <c r="A40" s="6"/>
      <c r="B40" s="19" t="s">
        <v>80</v>
      </c>
      <c r="C40" s="6" t="s">
        <v>71</v>
      </c>
      <c r="D40" s="11">
        <v>90</v>
      </c>
      <c r="E40" s="11"/>
      <c r="F40" s="11">
        <f>D40*E40</f>
        <v>0</v>
      </c>
      <c r="G40" s="11"/>
      <c r="H40" s="11">
        <f>D40*G40</f>
        <v>0</v>
      </c>
      <c r="I40" s="11">
        <f t="shared" si="2"/>
        <v>0</v>
      </c>
      <c r="J40" s="11">
        <f t="shared" si="2"/>
        <v>0</v>
      </c>
      <c r="K40" s="3"/>
      <c r="L40" s="3"/>
    </row>
    <row r="41" spans="1:12">
      <c r="A41" s="6"/>
      <c r="B41" s="19" t="s">
        <v>81</v>
      </c>
      <c r="C41" s="6" t="s">
        <v>71</v>
      </c>
      <c r="D41" s="11">
        <v>110</v>
      </c>
      <c r="E41" s="11"/>
      <c r="F41" s="11">
        <f>D41*E41</f>
        <v>0</v>
      </c>
      <c r="G41" s="11"/>
      <c r="H41" s="11">
        <f>D41*G41</f>
        <v>0</v>
      </c>
      <c r="I41" s="11">
        <f t="shared" si="2"/>
        <v>0</v>
      </c>
      <c r="J41" s="11">
        <f t="shared" si="2"/>
        <v>0</v>
      </c>
      <c r="K41" s="3"/>
      <c r="L41" s="3"/>
    </row>
    <row r="42" spans="1:12">
      <c r="A42" s="6"/>
      <c r="B42" s="19" t="s">
        <v>11</v>
      </c>
      <c r="C42" s="6" t="s">
        <v>11</v>
      </c>
      <c r="D42" s="11"/>
      <c r="E42" s="11"/>
      <c r="F42" s="11"/>
      <c r="G42" s="11"/>
      <c r="H42" s="11"/>
      <c r="I42" s="11">
        <f t="shared" si="2"/>
        <v>0</v>
      </c>
      <c r="J42" s="11">
        <f t="shared" si="2"/>
        <v>0</v>
      </c>
      <c r="K42" s="3"/>
      <c r="L42" s="3"/>
    </row>
    <row r="43" spans="1:12">
      <c r="A43" s="7"/>
      <c r="B43" s="22" t="s">
        <v>82</v>
      </c>
      <c r="C43" s="7" t="s">
        <v>11</v>
      </c>
      <c r="D43" s="14"/>
      <c r="E43" s="14"/>
      <c r="F43" s="14">
        <f>SUM(F38:F42)</f>
        <v>0</v>
      </c>
      <c r="G43" s="14"/>
      <c r="H43" s="14">
        <f>SUM(H38:H42)</f>
        <v>0</v>
      </c>
      <c r="I43" s="14"/>
      <c r="J43" s="14">
        <f>SUM(J38:J42)</f>
        <v>0</v>
      </c>
      <c r="K43" s="3"/>
      <c r="L43" s="3"/>
    </row>
    <row r="44" spans="1:12">
      <c r="A44" s="6"/>
      <c r="B44" s="19" t="s">
        <v>11</v>
      </c>
      <c r="C44" s="6" t="s">
        <v>11</v>
      </c>
      <c r="D44" s="11"/>
      <c r="E44" s="11"/>
      <c r="F44" s="11"/>
      <c r="G44" s="11"/>
      <c r="H44" s="11"/>
      <c r="I44" s="11">
        <f>E44+G44</f>
        <v>0</v>
      </c>
      <c r="J44" s="11">
        <f>F44+H44</f>
        <v>0</v>
      </c>
      <c r="K44" s="3"/>
      <c r="L44" s="3"/>
    </row>
    <row r="45" spans="1:12">
      <c r="A45" s="7"/>
      <c r="B45" s="22" t="s">
        <v>83</v>
      </c>
      <c r="C45" s="7" t="s">
        <v>11</v>
      </c>
      <c r="D45" s="14"/>
      <c r="E45" s="14"/>
      <c r="F45" s="14"/>
      <c r="G45" s="14"/>
      <c r="H45" s="14"/>
      <c r="I45" s="14"/>
      <c r="J45" s="14"/>
      <c r="K45" s="3"/>
      <c r="L45" s="3"/>
    </row>
    <row r="46" spans="1:12">
      <c r="A46" s="6"/>
      <c r="B46" s="19" t="s">
        <v>11</v>
      </c>
      <c r="C46" s="6" t="s">
        <v>11</v>
      </c>
      <c r="D46" s="11"/>
      <c r="E46" s="11"/>
      <c r="F46" s="11"/>
      <c r="G46" s="11"/>
      <c r="H46" s="11"/>
      <c r="I46" s="11">
        <f>E46+G46</f>
        <v>0</v>
      </c>
      <c r="J46" s="11">
        <f>F46+H46</f>
        <v>0</v>
      </c>
      <c r="K46" s="3"/>
      <c r="L46" s="3"/>
    </row>
    <row r="47" spans="1:12">
      <c r="A47" s="15"/>
      <c r="B47" s="23" t="s">
        <v>84</v>
      </c>
      <c r="C47" s="15" t="s">
        <v>11</v>
      </c>
      <c r="D47" s="16"/>
      <c r="E47" s="16"/>
      <c r="F47" s="16"/>
      <c r="G47" s="16"/>
      <c r="H47" s="16"/>
      <c r="I47" s="16"/>
      <c r="J47" s="16"/>
      <c r="K47" s="3"/>
      <c r="L47" s="3"/>
    </row>
    <row r="48" spans="1:12">
      <c r="A48" s="15"/>
      <c r="B48" s="23" t="s">
        <v>85</v>
      </c>
      <c r="C48" s="15" t="s">
        <v>11</v>
      </c>
      <c r="D48" s="16"/>
      <c r="E48" s="16"/>
      <c r="F48" s="16"/>
      <c r="G48" s="16"/>
      <c r="H48" s="16"/>
      <c r="I48" s="16"/>
      <c r="J48" s="16"/>
      <c r="K48" s="3"/>
      <c r="L48" s="3"/>
    </row>
    <row r="49" spans="1:12">
      <c r="A49" s="6"/>
      <c r="B49" s="19" t="s">
        <v>86</v>
      </c>
      <c r="C49" s="6" t="s">
        <v>57</v>
      </c>
      <c r="D49" s="11">
        <v>6</v>
      </c>
      <c r="E49" s="11"/>
      <c r="F49" s="11">
        <f>D49*E49</f>
        <v>0</v>
      </c>
      <c r="G49" s="11"/>
      <c r="H49" s="11">
        <f>D49*G49</f>
        <v>0</v>
      </c>
      <c r="I49" s="11">
        <f t="shared" ref="I49:J51" si="3">E49+G49</f>
        <v>0</v>
      </c>
      <c r="J49" s="11">
        <f t="shared" si="3"/>
        <v>0</v>
      </c>
      <c r="K49" s="3"/>
      <c r="L49" s="3"/>
    </row>
    <row r="50" spans="1:12">
      <c r="A50" s="6"/>
      <c r="B50" s="19" t="s">
        <v>87</v>
      </c>
      <c r="C50" s="6" t="s">
        <v>57</v>
      </c>
      <c r="D50" s="11">
        <v>20</v>
      </c>
      <c r="E50" s="11"/>
      <c r="F50" s="11">
        <f>D50*E50</f>
        <v>0</v>
      </c>
      <c r="G50" s="11"/>
      <c r="H50" s="11">
        <f>D50*G50</f>
        <v>0</v>
      </c>
      <c r="I50" s="11">
        <f t="shared" si="3"/>
        <v>0</v>
      </c>
      <c r="J50" s="11">
        <f t="shared" si="3"/>
        <v>0</v>
      </c>
      <c r="K50" s="3"/>
      <c r="L50" s="3"/>
    </row>
    <row r="51" spans="1:12">
      <c r="A51" s="6"/>
      <c r="B51" s="19" t="s">
        <v>88</v>
      </c>
      <c r="C51" s="6" t="s">
        <v>57</v>
      </c>
      <c r="D51" s="11">
        <v>4</v>
      </c>
      <c r="E51" s="11"/>
      <c r="F51" s="11">
        <f>D51*E51</f>
        <v>0</v>
      </c>
      <c r="G51" s="11"/>
      <c r="H51" s="11">
        <f>D51*G51</f>
        <v>0</v>
      </c>
      <c r="I51" s="11">
        <f t="shared" si="3"/>
        <v>0</v>
      </c>
      <c r="J51" s="11">
        <f t="shared" si="3"/>
        <v>0</v>
      </c>
      <c r="K51" s="3"/>
      <c r="L51" s="3"/>
    </row>
    <row r="52" spans="1:12">
      <c r="A52" s="15"/>
      <c r="B52" s="23" t="s">
        <v>89</v>
      </c>
      <c r="C52" s="15" t="s">
        <v>11</v>
      </c>
      <c r="D52" s="16"/>
      <c r="E52" s="16"/>
      <c r="F52" s="16"/>
      <c r="G52" s="16"/>
      <c r="H52" s="16"/>
      <c r="I52" s="16"/>
      <c r="J52" s="16"/>
      <c r="K52" s="3"/>
      <c r="L52" s="3"/>
    </row>
    <row r="53" spans="1:12">
      <c r="A53" s="6"/>
      <c r="B53" s="19" t="s">
        <v>90</v>
      </c>
      <c r="C53" s="6" t="s">
        <v>57</v>
      </c>
      <c r="D53" s="11">
        <v>120</v>
      </c>
      <c r="E53" s="11"/>
      <c r="F53" s="11">
        <f t="shared" ref="F53:F58" si="4">D53*E53</f>
        <v>0</v>
      </c>
      <c r="G53" s="11"/>
      <c r="H53" s="11">
        <f t="shared" ref="H53:H58" si="5">D53*G53</f>
        <v>0</v>
      </c>
      <c r="I53" s="11">
        <f t="shared" ref="I53:J59" si="6">E53+G53</f>
        <v>0</v>
      </c>
      <c r="J53" s="11">
        <f t="shared" si="6"/>
        <v>0</v>
      </c>
      <c r="K53" s="3"/>
      <c r="L53" s="3"/>
    </row>
    <row r="54" spans="1:12">
      <c r="A54" s="6"/>
      <c r="B54" s="19" t="s">
        <v>91</v>
      </c>
      <c r="C54" s="6" t="s">
        <v>57</v>
      </c>
      <c r="D54" s="11">
        <v>80</v>
      </c>
      <c r="E54" s="11"/>
      <c r="F54" s="11">
        <f t="shared" si="4"/>
        <v>0</v>
      </c>
      <c r="G54" s="11"/>
      <c r="H54" s="11">
        <f t="shared" si="5"/>
        <v>0</v>
      </c>
      <c r="I54" s="11">
        <f t="shared" si="6"/>
        <v>0</v>
      </c>
      <c r="J54" s="11">
        <f t="shared" si="6"/>
        <v>0</v>
      </c>
      <c r="K54" s="3"/>
      <c r="L54" s="3"/>
    </row>
    <row r="55" spans="1:12">
      <c r="A55" s="6"/>
      <c r="B55" s="19" t="s">
        <v>92</v>
      </c>
      <c r="C55" s="6" t="s">
        <v>57</v>
      </c>
      <c r="D55" s="11">
        <v>80</v>
      </c>
      <c r="E55" s="11"/>
      <c r="F55" s="11">
        <f t="shared" si="4"/>
        <v>0</v>
      </c>
      <c r="G55" s="11"/>
      <c r="H55" s="11">
        <f t="shared" si="5"/>
        <v>0</v>
      </c>
      <c r="I55" s="11">
        <f t="shared" si="6"/>
        <v>0</v>
      </c>
      <c r="J55" s="11">
        <f t="shared" si="6"/>
        <v>0</v>
      </c>
      <c r="K55" s="3"/>
      <c r="L55" s="3"/>
    </row>
    <row r="56" spans="1:12">
      <c r="A56" s="6"/>
      <c r="B56" s="19" t="s">
        <v>93</v>
      </c>
      <c r="C56" s="6" t="s">
        <v>57</v>
      </c>
      <c r="D56" s="11">
        <v>8</v>
      </c>
      <c r="E56" s="11"/>
      <c r="F56" s="11">
        <f t="shared" si="4"/>
        <v>0</v>
      </c>
      <c r="G56" s="11"/>
      <c r="H56" s="11">
        <f t="shared" si="5"/>
        <v>0</v>
      </c>
      <c r="I56" s="11">
        <f t="shared" si="6"/>
        <v>0</v>
      </c>
      <c r="J56" s="11">
        <f t="shared" si="6"/>
        <v>0</v>
      </c>
      <c r="K56" s="3"/>
      <c r="L56" s="3"/>
    </row>
    <row r="57" spans="1:12">
      <c r="A57" s="6"/>
      <c r="B57" s="19" t="s">
        <v>94</v>
      </c>
      <c r="C57" s="6" t="s">
        <v>57</v>
      </c>
      <c r="D57" s="11">
        <v>4</v>
      </c>
      <c r="E57" s="11"/>
      <c r="F57" s="11">
        <f t="shared" si="4"/>
        <v>0</v>
      </c>
      <c r="G57" s="11"/>
      <c r="H57" s="11">
        <f t="shared" si="5"/>
        <v>0</v>
      </c>
      <c r="I57" s="11">
        <f t="shared" si="6"/>
        <v>0</v>
      </c>
      <c r="J57" s="11">
        <f t="shared" si="6"/>
        <v>0</v>
      </c>
      <c r="K57" s="3"/>
      <c r="L57" s="3"/>
    </row>
    <row r="58" spans="1:12">
      <c r="A58" s="6"/>
      <c r="B58" s="19" t="s">
        <v>95</v>
      </c>
      <c r="C58" s="6" t="s">
        <v>57</v>
      </c>
      <c r="D58" s="11">
        <v>12</v>
      </c>
      <c r="E58" s="11"/>
      <c r="F58" s="11">
        <f t="shared" si="4"/>
        <v>0</v>
      </c>
      <c r="G58" s="11"/>
      <c r="H58" s="11">
        <f t="shared" si="5"/>
        <v>0</v>
      </c>
      <c r="I58" s="11">
        <f t="shared" si="6"/>
        <v>0</v>
      </c>
      <c r="J58" s="11">
        <f t="shared" si="6"/>
        <v>0</v>
      </c>
      <c r="K58" s="3"/>
      <c r="L58" s="3"/>
    </row>
    <row r="59" spans="1:12">
      <c r="A59" s="6"/>
      <c r="B59" s="19" t="s">
        <v>11</v>
      </c>
      <c r="C59" s="6" t="s">
        <v>11</v>
      </c>
      <c r="D59" s="11"/>
      <c r="E59" s="11"/>
      <c r="F59" s="11"/>
      <c r="G59" s="11"/>
      <c r="H59" s="11"/>
      <c r="I59" s="11">
        <f t="shared" si="6"/>
        <v>0</v>
      </c>
      <c r="J59" s="11">
        <f t="shared" si="6"/>
        <v>0</v>
      </c>
      <c r="K59" s="3"/>
      <c r="L59" s="3"/>
    </row>
    <row r="60" spans="1:12">
      <c r="A60" s="7"/>
      <c r="B60" s="22" t="s">
        <v>96</v>
      </c>
      <c r="C60" s="7" t="s">
        <v>11</v>
      </c>
      <c r="D60" s="14"/>
      <c r="E60" s="14"/>
      <c r="F60" s="14">
        <f>SUM(F46:F59)</f>
        <v>0</v>
      </c>
      <c r="G60" s="14"/>
      <c r="H60" s="14">
        <f>SUM(H46:H59)</f>
        <v>0</v>
      </c>
      <c r="I60" s="14"/>
      <c r="J60" s="14">
        <f>SUM(J46:J59)</f>
        <v>0</v>
      </c>
      <c r="K60" s="3"/>
      <c r="L60" s="3"/>
    </row>
    <row r="61" spans="1:12">
      <c r="A61" s="6"/>
      <c r="B61" s="19" t="s">
        <v>11</v>
      </c>
      <c r="C61" s="6" t="s">
        <v>11</v>
      </c>
      <c r="D61" s="11"/>
      <c r="E61" s="11"/>
      <c r="F61" s="11"/>
      <c r="G61" s="11"/>
      <c r="H61" s="11"/>
      <c r="I61" s="11">
        <f>E61+G61</f>
        <v>0</v>
      </c>
      <c r="J61" s="11">
        <f>F61+H61</f>
        <v>0</v>
      </c>
      <c r="K61" s="3"/>
      <c r="L61" s="3"/>
    </row>
    <row r="62" spans="1:12">
      <c r="A62" s="7"/>
      <c r="B62" s="22" t="s">
        <v>97</v>
      </c>
      <c r="C62" s="7" t="s">
        <v>11</v>
      </c>
      <c r="D62" s="14"/>
      <c r="E62" s="14"/>
      <c r="F62" s="14"/>
      <c r="G62" s="14"/>
      <c r="H62" s="14"/>
      <c r="I62" s="14"/>
      <c r="J62" s="14"/>
      <c r="K62" s="3"/>
      <c r="L62" s="3"/>
    </row>
    <row r="63" spans="1:12">
      <c r="A63" s="6"/>
      <c r="B63" s="19" t="s">
        <v>11</v>
      </c>
      <c r="C63" s="6" t="s">
        <v>11</v>
      </c>
      <c r="D63" s="11"/>
      <c r="E63" s="11"/>
      <c r="F63" s="11"/>
      <c r="G63" s="11"/>
      <c r="H63" s="11"/>
      <c r="I63" s="11">
        <f>E63+G63</f>
        <v>0</v>
      </c>
      <c r="J63" s="11">
        <f>F63+H63</f>
        <v>0</v>
      </c>
      <c r="K63" s="3"/>
      <c r="L63" s="3"/>
    </row>
    <row r="64" spans="1:12">
      <c r="A64" s="15"/>
      <c r="B64" s="23" t="s">
        <v>98</v>
      </c>
      <c r="C64" s="15" t="s">
        <v>11</v>
      </c>
      <c r="D64" s="16"/>
      <c r="E64" s="16"/>
      <c r="F64" s="16"/>
      <c r="G64" s="16"/>
      <c r="H64" s="16"/>
      <c r="I64" s="16"/>
      <c r="J64" s="16"/>
      <c r="K64" s="3"/>
      <c r="L64" s="3"/>
    </row>
    <row r="65" spans="1:12">
      <c r="A65" s="15"/>
      <c r="B65" s="23" t="s">
        <v>99</v>
      </c>
      <c r="C65" s="15" t="s">
        <v>11</v>
      </c>
      <c r="D65" s="16"/>
      <c r="E65" s="16"/>
      <c r="F65" s="16"/>
      <c r="G65" s="16"/>
      <c r="H65" s="16"/>
      <c r="I65" s="16"/>
      <c r="J65" s="16"/>
      <c r="K65" s="3"/>
      <c r="L65" s="3"/>
    </row>
    <row r="66" spans="1:12">
      <c r="A66" s="6"/>
      <c r="B66" s="19" t="s">
        <v>100</v>
      </c>
      <c r="C66" s="6" t="s">
        <v>71</v>
      </c>
      <c r="D66" s="11">
        <v>50</v>
      </c>
      <c r="E66" s="11"/>
      <c r="F66" s="11">
        <f>D66*E66</f>
        <v>0</v>
      </c>
      <c r="G66" s="11"/>
      <c r="H66" s="11">
        <f>D66*G66</f>
        <v>0</v>
      </c>
      <c r="I66" s="11">
        <f>E66+G66</f>
        <v>0</v>
      </c>
      <c r="J66" s="11">
        <f>F66+H66</f>
        <v>0</v>
      </c>
      <c r="K66" s="3"/>
      <c r="L66" s="3"/>
    </row>
    <row r="67" spans="1:12">
      <c r="A67" s="15"/>
      <c r="B67" s="23" t="s">
        <v>101</v>
      </c>
      <c r="C67" s="15" t="s">
        <v>11</v>
      </c>
      <c r="D67" s="16"/>
      <c r="E67" s="16"/>
      <c r="F67" s="16"/>
      <c r="G67" s="16"/>
      <c r="H67" s="16"/>
      <c r="I67" s="16"/>
      <c r="J67" s="16"/>
      <c r="K67" s="3"/>
      <c r="L67" s="3"/>
    </row>
    <row r="68" spans="1:12">
      <c r="A68" s="6"/>
      <c r="B68" s="19" t="s">
        <v>102</v>
      </c>
      <c r="C68" s="6" t="s">
        <v>71</v>
      </c>
      <c r="D68" s="11">
        <v>650</v>
      </c>
      <c r="E68" s="11"/>
      <c r="F68" s="11">
        <f>D68*E68</f>
        <v>0</v>
      </c>
      <c r="G68" s="11"/>
      <c r="H68" s="11">
        <f>D68*G68</f>
        <v>0</v>
      </c>
      <c r="I68" s="11">
        <f>E68+G68</f>
        <v>0</v>
      </c>
      <c r="J68" s="11">
        <f>F68+H68</f>
        <v>0</v>
      </c>
      <c r="K68" s="3"/>
      <c r="L68" s="3"/>
    </row>
    <row r="69" spans="1:12">
      <c r="A69" s="15"/>
      <c r="B69" s="23" t="s">
        <v>99</v>
      </c>
      <c r="C69" s="15" t="s">
        <v>11</v>
      </c>
      <c r="D69" s="16"/>
      <c r="E69" s="16"/>
      <c r="F69" s="16"/>
      <c r="G69" s="16"/>
      <c r="H69" s="16"/>
      <c r="I69" s="16"/>
      <c r="J69" s="16"/>
      <c r="K69" s="3"/>
      <c r="L69" s="3"/>
    </row>
    <row r="70" spans="1:12">
      <c r="A70" s="6"/>
      <c r="B70" s="19" t="s">
        <v>103</v>
      </c>
      <c r="C70" s="6" t="s">
        <v>71</v>
      </c>
      <c r="D70" s="11">
        <v>40</v>
      </c>
      <c r="E70" s="11"/>
      <c r="F70" s="11">
        <f>D70*E70</f>
        <v>0</v>
      </c>
      <c r="G70" s="11"/>
      <c r="H70" s="11">
        <f>D70*G70</f>
        <v>0</v>
      </c>
      <c r="I70" s="11">
        <f>E70+G70</f>
        <v>0</v>
      </c>
      <c r="J70" s="11">
        <f>F70+H70</f>
        <v>0</v>
      </c>
      <c r="K70" s="3"/>
      <c r="L70" s="3"/>
    </row>
    <row r="71" spans="1:12">
      <c r="A71" s="15"/>
      <c r="B71" s="23" t="s">
        <v>104</v>
      </c>
      <c r="C71" s="15" t="s">
        <v>11</v>
      </c>
      <c r="D71" s="16"/>
      <c r="E71" s="16"/>
      <c r="F71" s="16"/>
      <c r="G71" s="16"/>
      <c r="H71" s="16"/>
      <c r="I71" s="16"/>
      <c r="J71" s="16"/>
      <c r="K71" s="3"/>
      <c r="L71" s="3"/>
    </row>
    <row r="72" spans="1:12">
      <c r="A72" s="6"/>
      <c r="B72" s="19" t="s">
        <v>105</v>
      </c>
      <c r="C72" s="6" t="s">
        <v>57</v>
      </c>
      <c r="D72" s="11">
        <v>60</v>
      </c>
      <c r="E72" s="11"/>
      <c r="F72" s="11">
        <f>D72*E72</f>
        <v>0</v>
      </c>
      <c r="G72" s="11"/>
      <c r="H72" s="11">
        <f>D72*G72</f>
        <v>0</v>
      </c>
      <c r="I72" s="11">
        <f t="shared" ref="I72:J74" si="7">E72+G72</f>
        <v>0</v>
      </c>
      <c r="J72" s="11">
        <f t="shared" si="7"/>
        <v>0</v>
      </c>
      <c r="K72" s="3"/>
      <c r="L72" s="3"/>
    </row>
    <row r="73" spans="1:12">
      <c r="A73" s="6"/>
      <c r="B73" s="19" t="s">
        <v>106</v>
      </c>
      <c r="C73" s="6" t="s">
        <v>57</v>
      </c>
      <c r="D73" s="11">
        <v>7</v>
      </c>
      <c r="E73" s="11"/>
      <c r="F73" s="11">
        <f>D73*E73</f>
        <v>0</v>
      </c>
      <c r="G73" s="11"/>
      <c r="H73" s="11">
        <f>D73*G73</f>
        <v>0</v>
      </c>
      <c r="I73" s="11">
        <f t="shared" si="7"/>
        <v>0</v>
      </c>
      <c r="J73" s="11">
        <f t="shared" si="7"/>
        <v>0</v>
      </c>
      <c r="K73" s="3"/>
      <c r="L73" s="3"/>
    </row>
    <row r="74" spans="1:12">
      <c r="A74" s="6"/>
      <c r="B74" s="19" t="s">
        <v>107</v>
      </c>
      <c r="C74" s="6" t="s">
        <v>57</v>
      </c>
      <c r="D74" s="11">
        <v>6</v>
      </c>
      <c r="E74" s="11"/>
      <c r="F74" s="11">
        <f>D74*E74</f>
        <v>0</v>
      </c>
      <c r="G74" s="11"/>
      <c r="H74" s="11">
        <f>D74*G74</f>
        <v>0</v>
      </c>
      <c r="I74" s="11">
        <f t="shared" si="7"/>
        <v>0</v>
      </c>
      <c r="J74" s="11">
        <f t="shared" si="7"/>
        <v>0</v>
      </c>
      <c r="K74" s="3"/>
      <c r="L74" s="3"/>
    </row>
    <row r="75" spans="1:12">
      <c r="A75" s="15"/>
      <c r="B75" s="23" t="s">
        <v>108</v>
      </c>
      <c r="C75" s="15" t="s">
        <v>11</v>
      </c>
      <c r="D75" s="16"/>
      <c r="E75" s="16"/>
      <c r="F75" s="16"/>
      <c r="G75" s="16"/>
      <c r="H75" s="16"/>
      <c r="I75" s="16"/>
      <c r="J75" s="16"/>
      <c r="K75" s="3"/>
      <c r="L75" s="3"/>
    </row>
    <row r="76" spans="1:12">
      <c r="A76" s="6"/>
      <c r="B76" s="19" t="s">
        <v>109</v>
      </c>
      <c r="C76" s="6" t="s">
        <v>57</v>
      </c>
      <c r="D76" s="11">
        <v>120</v>
      </c>
      <c r="E76" s="11"/>
      <c r="F76" s="11">
        <f>D76*E76</f>
        <v>0</v>
      </c>
      <c r="G76" s="11"/>
      <c r="H76" s="11">
        <f>D76*G76</f>
        <v>0</v>
      </c>
      <c r="I76" s="11">
        <f>E76+G76</f>
        <v>0</v>
      </c>
      <c r="J76" s="11">
        <f>F76+H76</f>
        <v>0</v>
      </c>
      <c r="K76" s="3"/>
      <c r="L76" s="3"/>
    </row>
    <row r="77" spans="1:12" ht="24">
      <c r="A77" s="15"/>
      <c r="B77" s="23" t="s">
        <v>110</v>
      </c>
      <c r="C77" s="15" t="s">
        <v>11</v>
      </c>
      <c r="D77" s="16"/>
      <c r="E77" s="16"/>
      <c r="F77" s="16"/>
      <c r="G77" s="16"/>
      <c r="H77" s="16"/>
      <c r="I77" s="16"/>
      <c r="J77" s="16"/>
      <c r="K77" s="3"/>
      <c r="L77" s="3"/>
    </row>
    <row r="78" spans="1:12">
      <c r="A78" s="6"/>
      <c r="B78" s="19" t="s">
        <v>111</v>
      </c>
      <c r="C78" s="6" t="s">
        <v>57</v>
      </c>
      <c r="D78" s="11">
        <v>1</v>
      </c>
      <c r="E78" s="11"/>
      <c r="F78" s="11">
        <f>D78*E78</f>
        <v>0</v>
      </c>
      <c r="G78" s="11"/>
      <c r="H78" s="11">
        <f>D78*G78</f>
        <v>0</v>
      </c>
      <c r="I78" s="11">
        <f>E78+G78</f>
        <v>0</v>
      </c>
      <c r="J78" s="11">
        <f>F78+H78</f>
        <v>0</v>
      </c>
      <c r="K78" s="3"/>
      <c r="L78" s="3"/>
    </row>
    <row r="79" spans="1:12">
      <c r="A79" s="6"/>
      <c r="B79" s="19" t="s">
        <v>11</v>
      </c>
      <c r="C79" s="6" t="s">
        <v>11</v>
      </c>
      <c r="D79" s="11"/>
      <c r="E79" s="11"/>
      <c r="F79" s="11"/>
      <c r="G79" s="11"/>
      <c r="H79" s="11"/>
      <c r="I79" s="11">
        <f>E79+G79</f>
        <v>0</v>
      </c>
      <c r="J79" s="11">
        <f>F79+H79</f>
        <v>0</v>
      </c>
      <c r="K79" s="3"/>
      <c r="L79" s="3"/>
    </row>
    <row r="80" spans="1:12">
      <c r="A80" s="7"/>
      <c r="B80" s="22" t="s">
        <v>112</v>
      </c>
      <c r="C80" s="7" t="s">
        <v>11</v>
      </c>
      <c r="D80" s="14"/>
      <c r="E80" s="14"/>
      <c r="F80" s="14">
        <f>SUM(F63:F79)</f>
        <v>0</v>
      </c>
      <c r="G80" s="14"/>
      <c r="H80" s="14">
        <f>SUM(H63:H79)</f>
        <v>0</v>
      </c>
      <c r="I80" s="14"/>
      <c r="J80" s="14">
        <f>SUM(J63:J79)</f>
        <v>0</v>
      </c>
      <c r="K80" s="3"/>
      <c r="L80" s="3"/>
    </row>
    <row r="81" spans="1:12">
      <c r="A81" s="6"/>
      <c r="B81" s="19" t="s">
        <v>11</v>
      </c>
      <c r="C81" s="6" t="s">
        <v>11</v>
      </c>
      <c r="D81" s="11"/>
      <c r="E81" s="11"/>
      <c r="F81" s="11"/>
      <c r="G81" s="11"/>
      <c r="H81" s="11"/>
      <c r="I81" s="11">
        <f>E81+G81</f>
        <v>0</v>
      </c>
      <c r="J81" s="11">
        <f>F81+H81</f>
        <v>0</v>
      </c>
      <c r="K81" s="3"/>
      <c r="L81" s="3"/>
    </row>
    <row r="82" spans="1:12">
      <c r="A82" s="7"/>
      <c r="B82" s="22" t="s">
        <v>113</v>
      </c>
      <c r="C82" s="7" t="s">
        <v>11</v>
      </c>
      <c r="D82" s="14"/>
      <c r="E82" s="14"/>
      <c r="F82" s="14"/>
      <c r="G82" s="14"/>
      <c r="H82" s="14"/>
      <c r="I82" s="14"/>
      <c r="J82" s="14"/>
      <c r="K82" s="3"/>
      <c r="L82" s="3"/>
    </row>
    <row r="83" spans="1:12">
      <c r="A83" s="6"/>
      <c r="B83" s="19" t="s">
        <v>11</v>
      </c>
      <c r="C83" s="6" t="s">
        <v>11</v>
      </c>
      <c r="D83" s="11"/>
      <c r="E83" s="11"/>
      <c r="F83" s="11"/>
      <c r="G83" s="11"/>
      <c r="H83" s="11"/>
      <c r="I83" s="11">
        <f t="shared" ref="I83:I92" si="8">E83+G83</f>
        <v>0</v>
      </c>
      <c r="J83" s="11">
        <f t="shared" ref="J83:J92" si="9">F83+H83</f>
        <v>0</v>
      </c>
      <c r="K83" s="3"/>
      <c r="L83" s="3"/>
    </row>
    <row r="84" spans="1:12" ht="21.6">
      <c r="A84" s="25"/>
      <c r="B84" s="26" t="s">
        <v>114</v>
      </c>
      <c r="C84" s="25" t="s">
        <v>115</v>
      </c>
      <c r="D84" s="27">
        <v>0.5</v>
      </c>
      <c r="E84" s="27"/>
      <c r="F84" s="27">
        <f t="shared" ref="F84:F91" si="10">D84*E84</f>
        <v>0</v>
      </c>
      <c r="G84" s="27"/>
      <c r="H84" s="27">
        <f t="shared" ref="H84:H91" si="11">D84*G84</f>
        <v>0</v>
      </c>
      <c r="I84" s="27">
        <f t="shared" si="8"/>
        <v>0</v>
      </c>
      <c r="J84" s="27">
        <f t="shared" si="9"/>
        <v>0</v>
      </c>
      <c r="K84" s="3"/>
      <c r="L84" s="3"/>
    </row>
    <row r="85" spans="1:12">
      <c r="A85" s="25"/>
      <c r="B85" s="26" t="s">
        <v>116</v>
      </c>
      <c r="C85" s="25" t="s">
        <v>117</v>
      </c>
      <c r="D85" s="27">
        <v>15</v>
      </c>
      <c r="E85" s="27"/>
      <c r="F85" s="27">
        <f t="shared" si="10"/>
        <v>0</v>
      </c>
      <c r="G85" s="27"/>
      <c r="H85" s="27">
        <f t="shared" si="11"/>
        <v>0</v>
      </c>
      <c r="I85" s="27">
        <f t="shared" si="8"/>
        <v>0</v>
      </c>
      <c r="J85" s="27">
        <f t="shared" si="9"/>
        <v>0</v>
      </c>
      <c r="K85" s="3"/>
      <c r="L85" s="3"/>
    </row>
    <row r="86" spans="1:12" ht="21.6">
      <c r="A86" s="6"/>
      <c r="B86" s="19" t="s">
        <v>118</v>
      </c>
      <c r="C86" s="6" t="s">
        <v>119</v>
      </c>
      <c r="D86" s="11">
        <v>1</v>
      </c>
      <c r="E86" s="11"/>
      <c r="F86" s="11">
        <f t="shared" si="10"/>
        <v>0</v>
      </c>
      <c r="G86" s="11"/>
      <c r="H86" s="11">
        <f t="shared" si="11"/>
        <v>0</v>
      </c>
      <c r="I86" s="11">
        <f t="shared" si="8"/>
        <v>0</v>
      </c>
      <c r="J86" s="11">
        <f t="shared" si="9"/>
        <v>0</v>
      </c>
      <c r="K86" s="3"/>
      <c r="L86" s="3"/>
    </row>
    <row r="87" spans="1:12" ht="21.6">
      <c r="A87" s="6"/>
      <c r="B87" s="19" t="s">
        <v>120</v>
      </c>
      <c r="C87" s="6" t="s">
        <v>119</v>
      </c>
      <c r="D87" s="11">
        <v>1</v>
      </c>
      <c r="E87" s="11"/>
      <c r="F87" s="11">
        <f t="shared" si="10"/>
        <v>0</v>
      </c>
      <c r="G87" s="11"/>
      <c r="H87" s="11">
        <f t="shared" si="11"/>
        <v>0</v>
      </c>
      <c r="I87" s="11">
        <f t="shared" si="8"/>
        <v>0</v>
      </c>
      <c r="J87" s="11">
        <f t="shared" si="9"/>
        <v>0</v>
      </c>
      <c r="K87" s="3"/>
      <c r="L87" s="3"/>
    </row>
    <row r="88" spans="1:12">
      <c r="A88" s="6"/>
      <c r="B88" s="19" t="s">
        <v>121</v>
      </c>
      <c r="C88" s="6" t="s">
        <v>119</v>
      </c>
      <c r="D88" s="11">
        <v>2</v>
      </c>
      <c r="E88" s="11"/>
      <c r="F88" s="11">
        <f t="shared" si="10"/>
        <v>0</v>
      </c>
      <c r="G88" s="11"/>
      <c r="H88" s="11">
        <f t="shared" si="11"/>
        <v>0</v>
      </c>
      <c r="I88" s="11">
        <f t="shared" si="8"/>
        <v>0</v>
      </c>
      <c r="J88" s="11">
        <f t="shared" si="9"/>
        <v>0</v>
      </c>
      <c r="K88" s="3"/>
      <c r="L88" s="3"/>
    </row>
    <row r="89" spans="1:12">
      <c r="A89" s="6"/>
      <c r="B89" s="19" t="s">
        <v>122</v>
      </c>
      <c r="C89" s="6" t="s">
        <v>123</v>
      </c>
      <c r="D89" s="11">
        <v>6</v>
      </c>
      <c r="E89" s="11"/>
      <c r="F89" s="11">
        <f t="shared" si="10"/>
        <v>0</v>
      </c>
      <c r="G89" s="11"/>
      <c r="H89" s="11">
        <f t="shared" si="11"/>
        <v>0</v>
      </c>
      <c r="I89" s="11">
        <f t="shared" si="8"/>
        <v>0</v>
      </c>
      <c r="J89" s="11">
        <f t="shared" si="9"/>
        <v>0</v>
      </c>
      <c r="K89" s="3"/>
      <c r="L89" s="3"/>
    </row>
    <row r="90" spans="1:12">
      <c r="A90" s="6"/>
      <c r="B90" s="19" t="s">
        <v>124</v>
      </c>
      <c r="C90" s="6" t="s">
        <v>123</v>
      </c>
      <c r="D90" s="11">
        <v>6</v>
      </c>
      <c r="E90" s="11"/>
      <c r="F90" s="11">
        <f t="shared" si="10"/>
        <v>0</v>
      </c>
      <c r="G90" s="11"/>
      <c r="H90" s="11">
        <f t="shared" si="11"/>
        <v>0</v>
      </c>
      <c r="I90" s="11">
        <f t="shared" si="8"/>
        <v>0</v>
      </c>
      <c r="J90" s="11">
        <f t="shared" si="9"/>
        <v>0</v>
      </c>
      <c r="K90" s="3"/>
      <c r="L90" s="3"/>
    </row>
    <row r="91" spans="1:12">
      <c r="A91" s="6"/>
      <c r="B91" s="19" t="s">
        <v>125</v>
      </c>
      <c r="C91" s="6" t="s">
        <v>123</v>
      </c>
      <c r="D91" s="11">
        <v>12</v>
      </c>
      <c r="E91" s="11"/>
      <c r="F91" s="11">
        <f t="shared" si="10"/>
        <v>0</v>
      </c>
      <c r="G91" s="11"/>
      <c r="H91" s="11">
        <f t="shared" si="11"/>
        <v>0</v>
      </c>
      <c r="I91" s="11">
        <f t="shared" si="8"/>
        <v>0</v>
      </c>
      <c r="J91" s="11">
        <f t="shared" si="9"/>
        <v>0</v>
      </c>
      <c r="K91" s="3"/>
      <c r="L91" s="3"/>
    </row>
    <row r="92" spans="1:12">
      <c r="A92" s="6"/>
      <c r="B92" s="19" t="s">
        <v>11</v>
      </c>
      <c r="C92" s="6" t="s">
        <v>11</v>
      </c>
      <c r="D92" s="11"/>
      <c r="E92" s="11"/>
      <c r="F92" s="11"/>
      <c r="G92" s="11"/>
      <c r="H92" s="11"/>
      <c r="I92" s="11">
        <f t="shared" si="8"/>
        <v>0</v>
      </c>
      <c r="J92" s="11">
        <f t="shared" si="9"/>
        <v>0</v>
      </c>
      <c r="K92" s="3"/>
      <c r="L92" s="3"/>
    </row>
    <row r="93" spans="1:12">
      <c r="A93" s="7"/>
      <c r="B93" s="22" t="s">
        <v>126</v>
      </c>
      <c r="C93" s="7" t="s">
        <v>11</v>
      </c>
      <c r="D93" s="14"/>
      <c r="E93" s="14"/>
      <c r="F93" s="14">
        <f>SUM(F83:F92)</f>
        <v>0</v>
      </c>
      <c r="G93" s="14"/>
      <c r="H93" s="14">
        <f>SUM(H83:H92)</f>
        <v>0</v>
      </c>
      <c r="I93" s="14"/>
      <c r="J93" s="14">
        <f>SUM(J83:J92)</f>
        <v>0</v>
      </c>
      <c r="K93" s="3"/>
      <c r="L93" s="3"/>
    </row>
    <row r="94" spans="1:12">
      <c r="A94" s="6"/>
      <c r="B94" s="19" t="s">
        <v>11</v>
      </c>
      <c r="C94" s="6" t="s">
        <v>11</v>
      </c>
      <c r="D94" s="11"/>
      <c r="E94" s="11"/>
      <c r="F94" s="11"/>
      <c r="G94" s="11"/>
      <c r="H94" s="11"/>
      <c r="I94" s="11">
        <f>E94+G94</f>
        <v>0</v>
      </c>
      <c r="J94" s="11">
        <f>F94+H94</f>
        <v>0</v>
      </c>
      <c r="K94" s="3"/>
      <c r="L94" s="3"/>
    </row>
    <row r="95" spans="1:12">
      <c r="A95" s="7"/>
      <c r="B95" s="22" t="s">
        <v>127</v>
      </c>
      <c r="C95" s="7" t="s">
        <v>11</v>
      </c>
      <c r="D95" s="14"/>
      <c r="E95" s="14"/>
      <c r="F95" s="14"/>
      <c r="G95" s="14"/>
      <c r="H95" s="14"/>
      <c r="I95" s="14"/>
      <c r="J95" s="14"/>
      <c r="K95" s="3"/>
      <c r="L95" s="3"/>
    </row>
    <row r="96" spans="1:12">
      <c r="A96" s="6"/>
      <c r="B96" s="19" t="s">
        <v>11</v>
      </c>
      <c r="C96" s="6" t="s">
        <v>11</v>
      </c>
      <c r="D96" s="11"/>
      <c r="E96" s="11"/>
      <c r="F96" s="11"/>
      <c r="G96" s="11"/>
      <c r="H96" s="11"/>
      <c r="I96" s="11">
        <f>E96+G96</f>
        <v>0</v>
      </c>
      <c r="J96" s="11">
        <f>F96+H96</f>
        <v>0</v>
      </c>
      <c r="K96" s="3"/>
      <c r="L96" s="3"/>
    </row>
    <row r="97" spans="1:12" ht="35.4">
      <c r="A97" s="15"/>
      <c r="B97" s="23" t="s">
        <v>128</v>
      </c>
      <c r="C97" s="15" t="s">
        <v>11</v>
      </c>
      <c r="D97" s="16"/>
      <c r="E97" s="16"/>
      <c r="F97" s="16"/>
      <c r="G97" s="16"/>
      <c r="H97" s="16"/>
      <c r="I97" s="16"/>
      <c r="J97" s="16"/>
      <c r="K97" s="3"/>
      <c r="L97" s="3"/>
    </row>
    <row r="98" spans="1:12">
      <c r="A98" s="6"/>
      <c r="B98" s="19" t="s">
        <v>129</v>
      </c>
      <c r="C98" s="6" t="s">
        <v>57</v>
      </c>
      <c r="D98" s="11">
        <v>2</v>
      </c>
      <c r="E98" s="11"/>
      <c r="F98" s="11">
        <f>D98*E98</f>
        <v>0</v>
      </c>
      <c r="G98" s="11"/>
      <c r="H98" s="11">
        <f>D98*G98</f>
        <v>0</v>
      </c>
      <c r="I98" s="11">
        <f>E98+G98</f>
        <v>0</v>
      </c>
      <c r="J98" s="11">
        <f>F98+H98</f>
        <v>0</v>
      </c>
      <c r="K98" s="3"/>
      <c r="L98" s="3"/>
    </row>
    <row r="99" spans="1:12">
      <c r="A99" s="6"/>
      <c r="B99" s="19" t="s">
        <v>11</v>
      </c>
      <c r="C99" s="6" t="s">
        <v>11</v>
      </c>
      <c r="D99" s="11"/>
      <c r="E99" s="11"/>
      <c r="F99" s="11"/>
      <c r="G99" s="11"/>
      <c r="H99" s="11"/>
      <c r="I99" s="11">
        <f>E99+G99</f>
        <v>0</v>
      </c>
      <c r="J99" s="11">
        <f>F99+H99</f>
        <v>0</v>
      </c>
      <c r="K99" s="3"/>
      <c r="L99" s="3"/>
    </row>
    <row r="100" spans="1:12">
      <c r="A100" s="7"/>
      <c r="B100" s="22" t="s">
        <v>130</v>
      </c>
      <c r="C100" s="7" t="s">
        <v>11</v>
      </c>
      <c r="D100" s="14"/>
      <c r="E100" s="14"/>
      <c r="F100" s="14">
        <f>SUM(F96:F99)</f>
        <v>0</v>
      </c>
      <c r="G100" s="14"/>
      <c r="H100" s="14">
        <f>SUM(H96:H99)</f>
        <v>0</v>
      </c>
      <c r="I100" s="14"/>
      <c r="J100" s="14">
        <f>SUM(J96:J99)</f>
        <v>0</v>
      </c>
      <c r="K100" s="3"/>
      <c r="L100" s="3"/>
    </row>
    <row r="101" spans="1:12">
      <c r="A101" s="6"/>
      <c r="B101" s="19" t="s">
        <v>11</v>
      </c>
      <c r="C101" s="6" t="s">
        <v>11</v>
      </c>
      <c r="D101" s="11"/>
      <c r="E101" s="11"/>
      <c r="F101" s="11"/>
      <c r="G101" s="11"/>
      <c r="H101" s="11"/>
      <c r="I101" s="11">
        <f>E101+G101</f>
        <v>0</v>
      </c>
      <c r="J101" s="11">
        <f>F101+H101</f>
        <v>0</v>
      </c>
      <c r="K101" s="3"/>
      <c r="L101" s="3"/>
    </row>
    <row r="102" spans="1:12" ht="24.6">
      <c r="A102" s="5"/>
      <c r="B102" s="21" t="s">
        <v>131</v>
      </c>
      <c r="C102" s="5" t="s">
        <v>11</v>
      </c>
      <c r="D102" s="13"/>
      <c r="E102" s="13"/>
      <c r="F102" s="13">
        <f>SUM(F6,F8:F11,F13,F15:F22,F24,F26:F34,F36,F38:F42,F44,F46:F59,F61,F63:F79,F81,F83:F92,F94,F96:F99,F101:F101)</f>
        <v>0</v>
      </c>
      <c r="G102" s="13"/>
      <c r="H102" s="13">
        <f>SUM(H6,H8:H11,H13,H15:H22,H24,H26:H34,H36,H38:H42,H44,H46:H59,H61,H63:H79,H81,H83:H92,H94,H96:H99,H101:H101)</f>
        <v>0</v>
      </c>
      <c r="I102" s="13"/>
      <c r="J102" s="13">
        <f>SUM(J6,J8:J11,J13,J15:J22,J24,J26:J34,J36,J38:J42,J44,J46:J59,J61,J63:J79,J81,J83:J92,J94,J96:J99,J101:J101)</f>
        <v>0</v>
      </c>
      <c r="K102" s="3"/>
      <c r="L102" s="3"/>
    </row>
    <row r="103" spans="1:12">
      <c r="A103" s="6"/>
      <c r="B103" s="19" t="s">
        <v>11</v>
      </c>
      <c r="C103" s="6" t="s">
        <v>11</v>
      </c>
      <c r="D103" s="11"/>
      <c r="E103" s="11"/>
      <c r="F103" s="11"/>
      <c r="G103" s="11"/>
      <c r="H103" s="11"/>
      <c r="I103" s="11">
        <f>E103+G103</f>
        <v>0</v>
      </c>
      <c r="J103" s="11">
        <f>F103+H103</f>
        <v>0</v>
      </c>
      <c r="K103" s="3"/>
      <c r="L103" s="3"/>
    </row>
    <row r="104" spans="1:12">
      <c r="A104" s="6"/>
      <c r="B104" s="19" t="s">
        <v>132</v>
      </c>
      <c r="C104" s="6" t="s">
        <v>11</v>
      </c>
      <c r="D104" s="11"/>
      <c r="E104" s="11"/>
      <c r="F104" s="11">
        <f>M1+Parametry!B33/100*F68+Parametry!B34/100*F70+Parametry!B34/100*F72+Parametry!B34/100*F73+Parametry!B33/100*F74+Parametry!B34/100*F76+Parametry!B33/100*F78+Parametry!B33/100*F84+Parametry!B33/100*F89+Parametry!B33/100*F90+Parametry!B33/100*F91+Parametry!B33/100*F98</f>
        <v>0</v>
      </c>
      <c r="G104" s="11"/>
      <c r="H104" s="11"/>
      <c r="I104" s="11">
        <f>E104+G104</f>
        <v>0</v>
      </c>
      <c r="J104" s="11">
        <f>F104+H104</f>
        <v>0</v>
      </c>
      <c r="K104" s="3"/>
      <c r="L104" s="3"/>
    </row>
    <row r="105" spans="1:12">
      <c r="A105" s="4"/>
      <c r="B105" s="20" t="s">
        <v>133</v>
      </c>
      <c r="C105" s="4" t="s">
        <v>11</v>
      </c>
      <c r="D105" s="12"/>
      <c r="E105" s="12"/>
      <c r="F105" s="12">
        <f>SUM(F4,F6,F8:F11,F13,F15:F22,F24,F26:F34,F36,F38:F42,F44,F46:F59,F61,F63:F79,F81,F83:F92,F94,F96:F99,F101,F103:F104)</f>
        <v>0</v>
      </c>
      <c r="G105" s="12"/>
      <c r="H105" s="12">
        <f>SUM(H4,H6,H8:H11,H13,H15:H22,H24,H26:H34,H36,H38:H42,H44,H46:H59,H61,H63:H79,H81,H83:H92,H94,H96:H99,H101,H103:H104)</f>
        <v>0</v>
      </c>
      <c r="I105" s="12"/>
      <c r="J105" s="12">
        <f>SUM(J4,J6,J8:J11,J13,J15:J22,J24,J26:J34,J36,J38:J42,J44,J46:J59,J61,J63:J79,J81,J83:J92,J94,J96:J99,J101,J103:J104)</f>
        <v>0</v>
      </c>
      <c r="K105" s="3"/>
      <c r="L105" s="3"/>
    </row>
    <row r="106" spans="1:12">
      <c r="A106" s="6"/>
      <c r="B106" s="19" t="s">
        <v>11</v>
      </c>
      <c r="C106" s="6" t="s">
        <v>11</v>
      </c>
      <c r="D106" s="11"/>
      <c r="E106" s="11"/>
      <c r="F106" s="11"/>
      <c r="G106" s="11"/>
      <c r="H106" s="11"/>
      <c r="I106" s="11">
        <f>E106+G106</f>
        <v>0</v>
      </c>
      <c r="J106" s="11">
        <f>F106+H106</f>
        <v>0</v>
      </c>
      <c r="K106" s="3"/>
      <c r="L106" s="3"/>
    </row>
    <row r="107" spans="1:12">
      <c r="A107" s="4"/>
      <c r="B107" s="20" t="s">
        <v>134</v>
      </c>
      <c r="C107" s="4" t="s">
        <v>11</v>
      </c>
      <c r="D107" s="12"/>
      <c r="E107" s="12"/>
      <c r="F107" s="12"/>
      <c r="G107" s="12"/>
      <c r="H107" s="12"/>
      <c r="I107" s="12"/>
      <c r="J107" s="12"/>
      <c r="K107" s="3"/>
      <c r="L107" s="3"/>
    </row>
    <row r="108" spans="1:12">
      <c r="A108" s="6"/>
      <c r="B108" s="19" t="s">
        <v>11</v>
      </c>
      <c r="C108" s="6" t="s">
        <v>11</v>
      </c>
      <c r="D108" s="11"/>
      <c r="E108" s="11"/>
      <c r="F108" s="11"/>
      <c r="G108" s="11"/>
      <c r="H108" s="11"/>
      <c r="I108" s="11">
        <f>E108+G108</f>
        <v>0</v>
      </c>
      <c r="J108" s="11">
        <f>F108+H108</f>
        <v>0</v>
      </c>
      <c r="K108" s="3"/>
      <c r="L108" s="3"/>
    </row>
    <row r="109" spans="1:12">
      <c r="A109" s="28"/>
      <c r="B109" s="29" t="s">
        <v>135</v>
      </c>
      <c r="C109" s="28" t="s">
        <v>11</v>
      </c>
      <c r="D109" s="30"/>
      <c r="E109" s="30"/>
      <c r="F109" s="30"/>
      <c r="G109" s="30"/>
      <c r="H109" s="30"/>
      <c r="I109" s="30"/>
      <c r="J109" s="30"/>
      <c r="K109" s="3"/>
      <c r="L109" s="3"/>
    </row>
    <row r="110" spans="1:12">
      <c r="A110" s="25"/>
      <c r="B110" s="26" t="s">
        <v>136</v>
      </c>
      <c r="C110" s="25" t="s">
        <v>137</v>
      </c>
      <c r="D110" s="27">
        <v>30.98</v>
      </c>
      <c r="E110" s="27"/>
      <c r="F110" s="27">
        <f>D110*E110</f>
        <v>0</v>
      </c>
      <c r="G110" s="27"/>
      <c r="H110" s="27">
        <f>D110*G110</f>
        <v>0</v>
      </c>
      <c r="I110" s="27">
        <f>E110+G110</f>
        <v>0</v>
      </c>
      <c r="J110" s="27">
        <f>F110+H110</f>
        <v>0</v>
      </c>
      <c r="K110" s="3"/>
      <c r="L110" s="3"/>
    </row>
    <row r="111" spans="1:12">
      <c r="A111" s="28"/>
      <c r="B111" s="29" t="s">
        <v>138</v>
      </c>
      <c r="C111" s="28" t="s">
        <v>11</v>
      </c>
      <c r="D111" s="30"/>
      <c r="E111" s="30"/>
      <c r="F111" s="30"/>
      <c r="G111" s="30"/>
      <c r="H111" s="30"/>
      <c r="I111" s="30"/>
      <c r="J111" s="30"/>
      <c r="K111" s="3"/>
      <c r="L111" s="3"/>
    </row>
    <row r="112" spans="1:12">
      <c r="A112" s="25"/>
      <c r="B112" s="26" t="s">
        <v>139</v>
      </c>
      <c r="C112" s="25" t="s">
        <v>140</v>
      </c>
      <c r="D112" s="27">
        <v>206.48</v>
      </c>
      <c r="E112" s="27"/>
      <c r="F112" s="27">
        <f>D112*E112</f>
        <v>0</v>
      </c>
      <c r="G112" s="27"/>
      <c r="H112" s="27">
        <f>D112*G112</f>
        <v>0</v>
      </c>
      <c r="I112" s="27">
        <f>E112+G112</f>
        <v>0</v>
      </c>
      <c r="J112" s="27">
        <f>F112+H112</f>
        <v>0</v>
      </c>
      <c r="K112" s="3"/>
      <c r="L112" s="3"/>
    </row>
    <row r="113" spans="1:12">
      <c r="A113" s="28"/>
      <c r="B113" s="29" t="s">
        <v>141</v>
      </c>
      <c r="C113" s="28" t="s">
        <v>11</v>
      </c>
      <c r="D113" s="30"/>
      <c r="E113" s="30"/>
      <c r="F113" s="30"/>
      <c r="G113" s="30"/>
      <c r="H113" s="30"/>
      <c r="I113" s="30"/>
      <c r="J113" s="30"/>
      <c r="K113" s="3"/>
      <c r="L113" s="3"/>
    </row>
    <row r="114" spans="1:12">
      <c r="A114" s="25"/>
      <c r="B114" s="26" t="s">
        <v>142</v>
      </c>
      <c r="C114" s="25" t="s">
        <v>71</v>
      </c>
      <c r="D114" s="27">
        <v>350.02</v>
      </c>
      <c r="E114" s="27"/>
      <c r="F114" s="27">
        <f>D114*E114</f>
        <v>0</v>
      </c>
      <c r="G114" s="27"/>
      <c r="H114" s="27">
        <f>D114*G114</f>
        <v>0</v>
      </c>
      <c r="I114" s="27">
        <f t="shared" ref="I114:J117" si="12">E114+G114</f>
        <v>0</v>
      </c>
      <c r="J114" s="27">
        <f t="shared" si="12"/>
        <v>0</v>
      </c>
      <c r="K114" s="3"/>
      <c r="L114" s="3"/>
    </row>
    <row r="115" spans="1:12">
      <c r="A115" s="25"/>
      <c r="B115" s="26" t="s">
        <v>143</v>
      </c>
      <c r="C115" s="25" t="s">
        <v>71</v>
      </c>
      <c r="D115" s="27">
        <v>11.2</v>
      </c>
      <c r="E115" s="27"/>
      <c r="F115" s="27">
        <f>D115*E115</f>
        <v>0</v>
      </c>
      <c r="G115" s="27"/>
      <c r="H115" s="27">
        <f>D115*G115</f>
        <v>0</v>
      </c>
      <c r="I115" s="27">
        <f t="shared" si="12"/>
        <v>0</v>
      </c>
      <c r="J115" s="27">
        <f t="shared" si="12"/>
        <v>0</v>
      </c>
      <c r="K115" s="3"/>
      <c r="L115" s="3"/>
    </row>
    <row r="116" spans="1:12">
      <c r="A116" s="25"/>
      <c r="B116" s="26" t="s">
        <v>144</v>
      </c>
      <c r="C116" s="25" t="s">
        <v>71</v>
      </c>
      <c r="D116" s="27">
        <v>150.5</v>
      </c>
      <c r="E116" s="27"/>
      <c r="F116" s="27">
        <f>D116*E116</f>
        <v>0</v>
      </c>
      <c r="G116" s="27"/>
      <c r="H116" s="27">
        <f>D116*G116</f>
        <v>0</v>
      </c>
      <c r="I116" s="27">
        <f t="shared" si="12"/>
        <v>0</v>
      </c>
      <c r="J116" s="27">
        <f t="shared" si="12"/>
        <v>0</v>
      </c>
      <c r="K116" s="3"/>
      <c r="L116" s="3"/>
    </row>
    <row r="117" spans="1:12">
      <c r="A117" s="25"/>
      <c r="B117" s="26" t="s">
        <v>145</v>
      </c>
      <c r="C117" s="25" t="s">
        <v>71</v>
      </c>
      <c r="D117" s="27">
        <v>32.5</v>
      </c>
      <c r="E117" s="27"/>
      <c r="F117" s="27">
        <f>D117*E117</f>
        <v>0</v>
      </c>
      <c r="G117" s="27"/>
      <c r="H117" s="27">
        <f>D117*G117</f>
        <v>0</v>
      </c>
      <c r="I117" s="27">
        <f t="shared" si="12"/>
        <v>0</v>
      </c>
      <c r="J117" s="27">
        <f t="shared" si="12"/>
        <v>0</v>
      </c>
      <c r="K117" s="3"/>
      <c r="L117" s="3"/>
    </row>
    <row r="118" spans="1:12">
      <c r="A118" s="28"/>
      <c r="B118" s="29" t="s">
        <v>146</v>
      </c>
      <c r="C118" s="28" t="s">
        <v>11</v>
      </c>
      <c r="D118" s="30"/>
      <c r="E118" s="30"/>
      <c r="F118" s="30"/>
      <c r="G118" s="30"/>
      <c r="H118" s="30"/>
      <c r="I118" s="30"/>
      <c r="J118" s="30"/>
      <c r="K118" s="3"/>
      <c r="L118" s="3"/>
    </row>
    <row r="119" spans="1:12" ht="21.6">
      <c r="A119" s="25"/>
      <c r="B119" s="26" t="s">
        <v>147</v>
      </c>
      <c r="C119" s="25" t="s">
        <v>71</v>
      </c>
      <c r="D119" s="27">
        <v>544.41999999999996</v>
      </c>
      <c r="E119" s="27"/>
      <c r="F119" s="27">
        <f>D119*E119</f>
        <v>0</v>
      </c>
      <c r="G119" s="27"/>
      <c r="H119" s="27">
        <f>D119*G119</f>
        <v>0</v>
      </c>
      <c r="I119" s="27">
        <f>E119+G119</f>
        <v>0</v>
      </c>
      <c r="J119" s="27">
        <f>F119+H119</f>
        <v>0</v>
      </c>
      <c r="K119" s="3"/>
      <c r="L119" s="3"/>
    </row>
    <row r="120" spans="1:12">
      <c r="A120" s="15"/>
      <c r="B120" s="23" t="s">
        <v>148</v>
      </c>
      <c r="C120" s="15" t="s">
        <v>11</v>
      </c>
      <c r="D120" s="17"/>
      <c r="E120" s="17"/>
      <c r="F120" s="17"/>
      <c r="G120" s="17"/>
      <c r="H120" s="17"/>
      <c r="I120" s="17"/>
      <c r="J120" s="17"/>
      <c r="K120" s="3"/>
      <c r="L120" s="3"/>
    </row>
    <row r="121" spans="1:12">
      <c r="A121" s="6"/>
      <c r="B121" s="19" t="s">
        <v>149</v>
      </c>
      <c r="C121" s="6" t="s">
        <v>71</v>
      </c>
      <c r="D121" s="11">
        <v>544.22</v>
      </c>
      <c r="E121" s="11"/>
      <c r="F121" s="11">
        <f>D121*E121</f>
        <v>0</v>
      </c>
      <c r="G121" s="11"/>
      <c r="H121" s="11">
        <f>D121*G121</f>
        <v>0</v>
      </c>
      <c r="I121" s="11">
        <f>E121+G121</f>
        <v>0</v>
      </c>
      <c r="J121" s="11">
        <f>F121+H121</f>
        <v>0</v>
      </c>
      <c r="K121" s="3"/>
      <c r="L121" s="3"/>
    </row>
    <row r="122" spans="1:12">
      <c r="A122" s="28"/>
      <c r="B122" s="29" t="s">
        <v>150</v>
      </c>
      <c r="C122" s="28" t="s">
        <v>11</v>
      </c>
      <c r="D122" s="30"/>
      <c r="E122" s="30"/>
      <c r="F122" s="30"/>
      <c r="G122" s="30"/>
      <c r="H122" s="30"/>
      <c r="I122" s="30"/>
      <c r="J122" s="30"/>
      <c r="K122" s="3"/>
      <c r="L122" s="3"/>
    </row>
    <row r="123" spans="1:12">
      <c r="A123" s="25"/>
      <c r="B123" s="26" t="s">
        <v>142</v>
      </c>
      <c r="C123" s="25" t="s">
        <v>71</v>
      </c>
      <c r="D123" s="27">
        <v>350.02</v>
      </c>
      <c r="E123" s="27"/>
      <c r="F123" s="27">
        <f>D123*E123</f>
        <v>0</v>
      </c>
      <c r="G123" s="27"/>
      <c r="H123" s="27">
        <f>D123*G123</f>
        <v>0</v>
      </c>
      <c r="I123" s="27">
        <f t="shared" ref="I123:J126" si="13">E123+G123</f>
        <v>0</v>
      </c>
      <c r="J123" s="27">
        <f t="shared" si="13"/>
        <v>0</v>
      </c>
      <c r="K123" s="3"/>
      <c r="L123" s="3"/>
    </row>
    <row r="124" spans="1:12">
      <c r="A124" s="25"/>
      <c r="B124" s="26" t="s">
        <v>143</v>
      </c>
      <c r="C124" s="25" t="s">
        <v>71</v>
      </c>
      <c r="D124" s="27">
        <v>11.2</v>
      </c>
      <c r="E124" s="27"/>
      <c r="F124" s="27">
        <f>D124*E124</f>
        <v>0</v>
      </c>
      <c r="G124" s="27"/>
      <c r="H124" s="27">
        <f>D124*G124</f>
        <v>0</v>
      </c>
      <c r="I124" s="27">
        <f t="shared" si="13"/>
        <v>0</v>
      </c>
      <c r="J124" s="27">
        <f t="shared" si="13"/>
        <v>0</v>
      </c>
      <c r="K124" s="3"/>
      <c r="L124" s="3"/>
    </row>
    <row r="125" spans="1:12">
      <c r="A125" s="25"/>
      <c r="B125" s="26" t="s">
        <v>144</v>
      </c>
      <c r="C125" s="25" t="s">
        <v>71</v>
      </c>
      <c r="D125" s="27">
        <v>150.5</v>
      </c>
      <c r="E125" s="27"/>
      <c r="F125" s="27">
        <f>D125*E125</f>
        <v>0</v>
      </c>
      <c r="G125" s="27"/>
      <c r="H125" s="27">
        <f>D125*G125</f>
        <v>0</v>
      </c>
      <c r="I125" s="27">
        <f t="shared" si="13"/>
        <v>0</v>
      </c>
      <c r="J125" s="27">
        <f t="shared" si="13"/>
        <v>0</v>
      </c>
      <c r="K125" s="3"/>
      <c r="L125" s="3"/>
    </row>
    <row r="126" spans="1:12">
      <c r="A126" s="25"/>
      <c r="B126" s="26" t="s">
        <v>145</v>
      </c>
      <c r="C126" s="25" t="s">
        <v>71</v>
      </c>
      <c r="D126" s="27">
        <v>32.5</v>
      </c>
      <c r="E126" s="27"/>
      <c r="F126" s="27">
        <f>D126*E126</f>
        <v>0</v>
      </c>
      <c r="G126" s="27"/>
      <c r="H126" s="27">
        <f>D126*G126</f>
        <v>0</v>
      </c>
      <c r="I126" s="27">
        <f t="shared" si="13"/>
        <v>0</v>
      </c>
      <c r="J126" s="27">
        <f t="shared" si="13"/>
        <v>0</v>
      </c>
      <c r="K126" s="3"/>
      <c r="L126" s="3"/>
    </row>
    <row r="127" spans="1:12">
      <c r="A127" s="28"/>
      <c r="B127" s="29" t="s">
        <v>151</v>
      </c>
      <c r="C127" s="28" t="s">
        <v>11</v>
      </c>
      <c r="D127" s="30"/>
      <c r="E127" s="30"/>
      <c r="F127" s="30"/>
      <c r="G127" s="30"/>
      <c r="H127" s="30"/>
      <c r="I127" s="30"/>
      <c r="J127" s="30"/>
      <c r="K127" s="3"/>
      <c r="L127" s="3"/>
    </row>
    <row r="128" spans="1:12">
      <c r="A128" s="25"/>
      <c r="B128" s="26" t="s">
        <v>152</v>
      </c>
      <c r="C128" s="25" t="s">
        <v>137</v>
      </c>
      <c r="D128" s="27">
        <v>85.1</v>
      </c>
      <c r="E128" s="27"/>
      <c r="F128" s="27">
        <f>D128*E128</f>
        <v>0</v>
      </c>
      <c r="G128" s="27"/>
      <c r="H128" s="27">
        <f>D128*G128</f>
        <v>0</v>
      </c>
      <c r="I128" s="27">
        <f>E128+G128</f>
        <v>0</v>
      </c>
      <c r="J128" s="27">
        <f>F128+H128</f>
        <v>0</v>
      </c>
      <c r="K128" s="3"/>
      <c r="L128" s="3"/>
    </row>
    <row r="129" spans="1:12">
      <c r="A129" s="28"/>
      <c r="B129" s="29" t="s">
        <v>153</v>
      </c>
      <c r="C129" s="28" t="s">
        <v>11</v>
      </c>
      <c r="D129" s="30"/>
      <c r="E129" s="30"/>
      <c r="F129" s="30"/>
      <c r="G129" s="30"/>
      <c r="H129" s="30"/>
      <c r="I129" s="30"/>
      <c r="J129" s="30"/>
      <c r="K129" s="3"/>
      <c r="L129" s="3"/>
    </row>
    <row r="130" spans="1:12">
      <c r="A130" s="25"/>
      <c r="B130" s="26" t="s">
        <v>154</v>
      </c>
      <c r="C130" s="25" t="s">
        <v>140</v>
      </c>
      <c r="D130" s="27">
        <v>237.91</v>
      </c>
      <c r="E130" s="27"/>
      <c r="F130" s="27">
        <f>D130*E130</f>
        <v>0</v>
      </c>
      <c r="G130" s="27"/>
      <c r="H130" s="27">
        <f>D130*G130</f>
        <v>0</v>
      </c>
      <c r="I130" s="27">
        <f>E130+G130</f>
        <v>0</v>
      </c>
      <c r="J130" s="27">
        <f>F130+H130</f>
        <v>0</v>
      </c>
      <c r="K130" s="3"/>
      <c r="L130" s="3"/>
    </row>
    <row r="131" spans="1:12">
      <c r="A131" s="15"/>
      <c r="B131" s="23" t="s">
        <v>155</v>
      </c>
      <c r="C131" s="15" t="s">
        <v>11</v>
      </c>
      <c r="D131" s="16"/>
      <c r="E131" s="16"/>
      <c r="F131" s="16"/>
      <c r="G131" s="16"/>
      <c r="H131" s="16"/>
      <c r="I131" s="16"/>
      <c r="J131" s="16"/>
      <c r="K131" s="3"/>
      <c r="L131" s="3"/>
    </row>
    <row r="132" spans="1:12" s="32" customFormat="1">
      <c r="A132" s="25"/>
      <c r="B132" s="26" t="s">
        <v>156</v>
      </c>
      <c r="C132" s="25" t="s">
        <v>137</v>
      </c>
      <c r="D132" s="27">
        <v>3</v>
      </c>
      <c r="E132" s="27"/>
      <c r="F132" s="27">
        <f>D132*E132</f>
        <v>0</v>
      </c>
      <c r="G132" s="27"/>
      <c r="H132" s="27">
        <f>D132*G132</f>
        <v>0</v>
      </c>
      <c r="I132" s="27">
        <f>E132+G132</f>
        <v>0</v>
      </c>
      <c r="J132" s="27">
        <f>F132+H132</f>
        <v>0</v>
      </c>
      <c r="K132" s="31"/>
      <c r="L132" s="31"/>
    </row>
    <row r="133" spans="1:12">
      <c r="A133" s="6"/>
      <c r="B133" s="19" t="s">
        <v>157</v>
      </c>
      <c r="C133" s="6" t="s">
        <v>57</v>
      </c>
      <c r="D133" s="11">
        <v>3</v>
      </c>
      <c r="E133" s="11"/>
      <c r="F133" s="11">
        <f>D133*E133</f>
        <v>0</v>
      </c>
      <c r="G133" s="11"/>
      <c r="H133" s="11">
        <f>D133*G133</f>
        <v>0</v>
      </c>
      <c r="I133" s="11">
        <f>E133+G133</f>
        <v>0</v>
      </c>
      <c r="J133" s="11">
        <f>F133+H133</f>
        <v>0</v>
      </c>
      <c r="K133" s="3"/>
      <c r="L133" s="3"/>
    </row>
    <row r="134" spans="1:12" s="32" customFormat="1">
      <c r="A134" s="28"/>
      <c r="B134" s="29" t="s">
        <v>158</v>
      </c>
      <c r="C134" s="28" t="s">
        <v>11</v>
      </c>
      <c r="D134" s="33"/>
      <c r="E134" s="33"/>
      <c r="F134" s="33"/>
      <c r="G134" s="33"/>
      <c r="H134" s="33"/>
      <c r="I134" s="33"/>
      <c r="J134" s="33"/>
      <c r="K134" s="31"/>
      <c r="L134" s="31"/>
    </row>
    <row r="135" spans="1:12" s="32" customFormat="1">
      <c r="A135" s="25"/>
      <c r="B135" s="26" t="s">
        <v>159</v>
      </c>
      <c r="C135" s="25" t="s">
        <v>137</v>
      </c>
      <c r="D135" s="27">
        <v>2</v>
      </c>
      <c r="E135" s="27"/>
      <c r="F135" s="27">
        <f>D135*E135</f>
        <v>0</v>
      </c>
      <c r="G135" s="27"/>
      <c r="H135" s="27">
        <f>D135*G135</f>
        <v>0</v>
      </c>
      <c r="I135" s="27">
        <f>E135+G135</f>
        <v>0</v>
      </c>
      <c r="J135" s="27">
        <f>F135+H135</f>
        <v>0</v>
      </c>
      <c r="K135" s="31"/>
      <c r="L135" s="31"/>
    </row>
    <row r="136" spans="1:12" s="32" customFormat="1">
      <c r="A136" s="28"/>
      <c r="B136" s="29" t="s">
        <v>160</v>
      </c>
      <c r="C136" s="28" t="s">
        <v>11</v>
      </c>
      <c r="D136" s="33"/>
      <c r="E136" s="33"/>
      <c r="F136" s="33"/>
      <c r="G136" s="33"/>
      <c r="H136" s="33"/>
      <c r="I136" s="33"/>
      <c r="J136" s="33"/>
      <c r="K136" s="31"/>
      <c r="L136" s="31"/>
    </row>
    <row r="137" spans="1:12" s="32" customFormat="1">
      <c r="A137" s="28"/>
      <c r="B137" s="29" t="s">
        <v>161</v>
      </c>
      <c r="C137" s="28" t="s">
        <v>11</v>
      </c>
      <c r="D137" s="33"/>
      <c r="E137" s="33"/>
      <c r="F137" s="33"/>
      <c r="G137" s="33"/>
      <c r="H137" s="33"/>
      <c r="I137" s="33"/>
      <c r="J137" s="33"/>
      <c r="K137" s="31"/>
      <c r="L137" s="31"/>
    </row>
    <row r="138" spans="1:12" s="32" customFormat="1">
      <c r="A138" s="25"/>
      <c r="B138" s="26" t="s">
        <v>162</v>
      </c>
      <c r="C138" s="25" t="s">
        <v>137</v>
      </c>
      <c r="D138" s="27">
        <v>1</v>
      </c>
      <c r="E138" s="27"/>
      <c r="F138" s="27">
        <f>D138*E138</f>
        <v>0</v>
      </c>
      <c r="G138" s="27"/>
      <c r="H138" s="27">
        <f>D138*G138</f>
        <v>0</v>
      </c>
      <c r="I138" s="27">
        <f>E138+G138</f>
        <v>0</v>
      </c>
      <c r="J138" s="27">
        <f>F138+H138</f>
        <v>0</v>
      </c>
      <c r="K138" s="31"/>
      <c r="L138" s="31"/>
    </row>
    <row r="139" spans="1:12">
      <c r="A139" s="15"/>
      <c r="B139" s="23" t="s">
        <v>163</v>
      </c>
      <c r="C139" s="15" t="s">
        <v>11</v>
      </c>
      <c r="D139" s="16"/>
      <c r="E139" s="16"/>
      <c r="F139" s="16"/>
      <c r="G139" s="16"/>
      <c r="H139" s="16"/>
      <c r="I139" s="16"/>
      <c r="J139" s="16"/>
      <c r="K139" s="3"/>
      <c r="L139" s="3"/>
    </row>
    <row r="140" spans="1:12">
      <c r="A140" s="6"/>
      <c r="B140" s="19" t="s">
        <v>164</v>
      </c>
      <c r="C140" s="6" t="s">
        <v>71</v>
      </c>
      <c r="D140" s="11">
        <v>10</v>
      </c>
      <c r="E140" s="11"/>
      <c r="F140" s="11">
        <f>D140*E140</f>
        <v>0</v>
      </c>
      <c r="G140" s="11"/>
      <c r="H140" s="11">
        <f>D140*G140</f>
        <v>0</v>
      </c>
      <c r="I140" s="11">
        <f>E140+G140</f>
        <v>0</v>
      </c>
      <c r="J140" s="11">
        <f>F140+H140</f>
        <v>0</v>
      </c>
      <c r="K140" s="3"/>
      <c r="L140" s="3"/>
    </row>
    <row r="141" spans="1:12">
      <c r="A141" s="6"/>
      <c r="B141" s="19" t="s">
        <v>165</v>
      </c>
      <c r="C141" s="6" t="s">
        <v>119</v>
      </c>
      <c r="D141" s="11">
        <v>1</v>
      </c>
      <c r="E141" s="11"/>
      <c r="F141" s="11">
        <f>D141*E141</f>
        <v>0</v>
      </c>
      <c r="G141" s="11"/>
      <c r="H141" s="11">
        <f>D141*G141</f>
        <v>0</v>
      </c>
      <c r="I141" s="11">
        <f>E141+G141</f>
        <v>0</v>
      </c>
      <c r="J141" s="11">
        <f>F141+H141</f>
        <v>0</v>
      </c>
      <c r="K141" s="3"/>
      <c r="L141" s="3"/>
    </row>
    <row r="142" spans="1:12">
      <c r="A142" s="15"/>
      <c r="B142" s="23" t="s">
        <v>166</v>
      </c>
      <c r="C142" s="15" t="s">
        <v>11</v>
      </c>
      <c r="D142" s="16"/>
      <c r="E142" s="16"/>
      <c r="F142" s="16"/>
      <c r="G142" s="16"/>
      <c r="H142" s="16"/>
      <c r="I142" s="16"/>
      <c r="J142" s="16"/>
      <c r="K142" s="3"/>
      <c r="L142" s="3"/>
    </row>
    <row r="143" spans="1:12">
      <c r="A143" s="6"/>
      <c r="B143" s="19" t="s">
        <v>167</v>
      </c>
      <c r="C143" s="6" t="s">
        <v>57</v>
      </c>
      <c r="D143" s="11">
        <v>5</v>
      </c>
      <c r="E143" s="11"/>
      <c r="F143" s="11">
        <f>D143*E143</f>
        <v>0</v>
      </c>
      <c r="G143" s="11"/>
      <c r="H143" s="11">
        <f>D143*G143</f>
        <v>0</v>
      </c>
      <c r="I143" s="11">
        <f>E143+G143</f>
        <v>0</v>
      </c>
      <c r="J143" s="11">
        <f>F143+H143</f>
        <v>0</v>
      </c>
      <c r="K143" s="3"/>
      <c r="L143" s="3"/>
    </row>
    <row r="144" spans="1:12">
      <c r="A144" s="6"/>
      <c r="B144" s="19" t="s">
        <v>11</v>
      </c>
      <c r="C144" s="6" t="s">
        <v>11</v>
      </c>
      <c r="D144" s="11"/>
      <c r="E144" s="11"/>
      <c r="F144" s="11"/>
      <c r="G144" s="11"/>
      <c r="H144" s="11"/>
      <c r="I144" s="11">
        <f>E144+G144</f>
        <v>0</v>
      </c>
      <c r="J144" s="11">
        <f>F144+H144</f>
        <v>0</v>
      </c>
      <c r="K144" s="3"/>
      <c r="L144" s="3"/>
    </row>
    <row r="145" spans="1:12">
      <c r="A145" s="4"/>
      <c r="B145" s="20" t="s">
        <v>168</v>
      </c>
      <c r="C145" s="4" t="s">
        <v>11</v>
      </c>
      <c r="D145" s="12"/>
      <c r="E145" s="12"/>
      <c r="F145" s="12">
        <f>SUM(F108:F144)</f>
        <v>0</v>
      </c>
      <c r="G145" s="12"/>
      <c r="H145" s="12">
        <f>SUM(H108:H144)</f>
        <v>0</v>
      </c>
      <c r="I145" s="12"/>
      <c r="J145" s="12">
        <f>SUM(J108:J144)</f>
        <v>0</v>
      </c>
      <c r="K145" s="3"/>
      <c r="L145" s="3"/>
    </row>
    <row r="146" spans="1:12">
      <c r="A146" s="6"/>
      <c r="B146" s="19" t="s">
        <v>11</v>
      </c>
      <c r="C146" s="6" t="s">
        <v>11</v>
      </c>
      <c r="D146" s="11"/>
      <c r="E146" s="11"/>
      <c r="F146" s="11"/>
      <c r="G146" s="11"/>
      <c r="H146" s="11"/>
      <c r="I146" s="11">
        <f>E146+G146</f>
        <v>0</v>
      </c>
      <c r="J146" s="11">
        <f>F146+H146</f>
        <v>0</v>
      </c>
      <c r="K146" s="3"/>
      <c r="L146" s="3"/>
    </row>
  </sheetData>
  <pageMargins left="0.7" right="0.7" top="0.78740157499999996" bottom="0.78740157499999996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view="pageBreakPreview" zoomScale="130" zoomScaleNormal="100" zoomScaleSheetLayoutView="130" workbookViewId="0">
      <selection activeCell="B8" sqref="B8"/>
    </sheetView>
  </sheetViews>
  <sheetFormatPr defaultRowHeight="15.6"/>
  <cols>
    <col min="1" max="1" width="22.19921875" style="1" bestFit="1" customWidth="1"/>
    <col min="2" max="2" width="75.097656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>
      <c r="A3" s="2" t="s">
        <v>4</v>
      </c>
      <c r="B3" s="5" t="s">
        <v>201</v>
      </c>
      <c r="C3" s="3"/>
    </row>
    <row r="4" spans="1:3">
      <c r="A4" s="2" t="s">
        <v>5</v>
      </c>
      <c r="B4" s="5" t="s">
        <v>205</v>
      </c>
      <c r="C4" s="3"/>
    </row>
    <row r="5" spans="1:3">
      <c r="A5" s="2" t="s">
        <v>6</v>
      </c>
      <c r="B5" s="5" t="s">
        <v>7</v>
      </c>
      <c r="C5" s="3"/>
    </row>
    <row r="6" spans="1:3">
      <c r="A6" s="2" t="s">
        <v>8</v>
      </c>
      <c r="B6" s="5" t="s">
        <v>202</v>
      </c>
      <c r="C6" s="3"/>
    </row>
    <row r="7" spans="1:3">
      <c r="A7" s="2" t="s">
        <v>9</v>
      </c>
      <c r="B7" s="5" t="s">
        <v>206</v>
      </c>
      <c r="C7" s="3"/>
    </row>
    <row r="8" spans="1:3">
      <c r="A8" s="2" t="s">
        <v>10</v>
      </c>
      <c r="B8" s="5" t="s">
        <v>11</v>
      </c>
      <c r="C8" s="3"/>
    </row>
    <row r="9" spans="1:3">
      <c r="A9" s="2" t="s">
        <v>12</v>
      </c>
      <c r="B9" s="5" t="s">
        <v>13</v>
      </c>
      <c r="C9" s="3"/>
    </row>
    <row r="10" spans="1:3">
      <c r="A10" s="2" t="s">
        <v>14</v>
      </c>
      <c r="B10" s="5" t="s">
        <v>13</v>
      </c>
      <c r="C10" s="3"/>
    </row>
    <row r="11" spans="1:3">
      <c r="A11" s="2" t="s">
        <v>15</v>
      </c>
      <c r="B11" s="5" t="s">
        <v>203</v>
      </c>
      <c r="C11" s="3"/>
    </row>
    <row r="12" spans="1:3">
      <c r="A12" s="2" t="s">
        <v>16</v>
      </c>
      <c r="B12" s="5" t="s">
        <v>17</v>
      </c>
      <c r="C12" s="3"/>
    </row>
    <row r="13" spans="1:3">
      <c r="A13" s="2" t="s">
        <v>18</v>
      </c>
      <c r="B13" s="5" t="s">
        <v>204</v>
      </c>
      <c r="C13" s="3"/>
    </row>
    <row r="14" spans="1:3">
      <c r="A14" s="2" t="s">
        <v>19</v>
      </c>
      <c r="B14" s="5" t="s">
        <v>20</v>
      </c>
      <c r="C14" s="3"/>
    </row>
    <row r="15" spans="1:3">
      <c r="A15" s="2" t="s">
        <v>11</v>
      </c>
      <c r="B15" s="6" t="s">
        <v>11</v>
      </c>
      <c r="C15" s="3"/>
    </row>
    <row r="16" spans="1:3">
      <c r="A16" s="2" t="s">
        <v>21</v>
      </c>
      <c r="B16" s="7" t="s">
        <v>22</v>
      </c>
      <c r="C16" s="3"/>
    </row>
    <row r="17" spans="1:3">
      <c r="A17" s="2" t="s">
        <v>23</v>
      </c>
      <c r="B17" s="7" t="s">
        <v>24</v>
      </c>
      <c r="C17" s="3"/>
    </row>
    <row r="18" spans="1:3">
      <c r="A18" s="2" t="s">
        <v>25</v>
      </c>
      <c r="B18" s="7" t="s">
        <v>24</v>
      </c>
      <c r="C18" s="3"/>
    </row>
    <row r="19" spans="1:3">
      <c r="A19" s="2" t="s">
        <v>26</v>
      </c>
      <c r="B19" s="7" t="s">
        <v>22</v>
      </c>
      <c r="C19" s="3"/>
    </row>
    <row r="20" spans="1:3">
      <c r="A20" s="2" t="s">
        <v>27</v>
      </c>
      <c r="B20" s="7" t="s">
        <v>22</v>
      </c>
      <c r="C20" s="3"/>
    </row>
    <row r="21" spans="1:3">
      <c r="A21" s="2" t="s">
        <v>28</v>
      </c>
      <c r="B21" s="7" t="s">
        <v>22</v>
      </c>
      <c r="C21" s="3"/>
    </row>
    <row r="22" spans="1:3">
      <c r="A22" s="2" t="s">
        <v>29</v>
      </c>
      <c r="B22" s="7" t="s">
        <v>22</v>
      </c>
      <c r="C22" s="3"/>
    </row>
    <row r="23" spans="1:3">
      <c r="A23" s="2" t="s">
        <v>30</v>
      </c>
      <c r="B23" s="7" t="s">
        <v>31</v>
      </c>
      <c r="C23" s="3"/>
    </row>
    <row r="24" spans="1:3">
      <c r="A24" s="2" t="s">
        <v>32</v>
      </c>
      <c r="B24" s="7" t="s">
        <v>22</v>
      </c>
      <c r="C24" s="3"/>
    </row>
    <row r="25" spans="1:3">
      <c r="A25" s="2" t="s">
        <v>33</v>
      </c>
      <c r="B25" s="7" t="s">
        <v>22</v>
      </c>
      <c r="C25" s="3"/>
    </row>
    <row r="26" spans="1:3">
      <c r="A26" s="2" t="s">
        <v>34</v>
      </c>
      <c r="B26" s="7" t="s">
        <v>35</v>
      </c>
      <c r="C26" s="3"/>
    </row>
    <row r="27" spans="1:3">
      <c r="A27" s="2" t="s">
        <v>36</v>
      </c>
      <c r="B27" s="7" t="s">
        <v>22</v>
      </c>
      <c r="C27" s="3"/>
    </row>
    <row r="28" spans="1:3">
      <c r="A28" s="2" t="s">
        <v>37</v>
      </c>
      <c r="B28" s="7" t="s">
        <v>22</v>
      </c>
      <c r="C28" s="3"/>
    </row>
    <row r="29" spans="1:3">
      <c r="A29" s="2" t="s">
        <v>38</v>
      </c>
      <c r="B29" s="7" t="s">
        <v>22</v>
      </c>
      <c r="C29" s="3"/>
    </row>
    <row r="30" spans="1:3">
      <c r="A30" s="2" t="s">
        <v>39</v>
      </c>
      <c r="B30" s="7" t="s">
        <v>22</v>
      </c>
      <c r="C30" s="3"/>
    </row>
    <row r="31" spans="1:3" ht="21.6">
      <c r="A31" s="8" t="s">
        <v>40</v>
      </c>
      <c r="B31" s="7" t="s">
        <v>41</v>
      </c>
      <c r="C31" s="3"/>
    </row>
    <row r="32" spans="1:3">
      <c r="A32" s="2" t="s">
        <v>42</v>
      </c>
      <c r="B32" s="7" t="s">
        <v>43</v>
      </c>
      <c r="C32" s="3"/>
    </row>
    <row r="33" spans="1:2">
      <c r="A33" s="2" t="s">
        <v>44</v>
      </c>
      <c r="B33" s="7">
        <v>5</v>
      </c>
    </row>
    <row r="34" spans="1:2">
      <c r="A34" s="2" t="s">
        <v>45</v>
      </c>
      <c r="B34" s="7">
        <v>1</v>
      </c>
    </row>
  </sheetData>
  <pageMargins left="0.7" right="0.7" top="0.78740157499999996" bottom="0.78740157499999996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Zdenka Kubínová</cp:lastModifiedBy>
  <dcterms:created xsi:type="dcterms:W3CDTF">2022-01-05T22:00:38Z</dcterms:created>
  <dcterms:modified xsi:type="dcterms:W3CDTF">2025-01-14T09:30:26Z</dcterms:modified>
</cp:coreProperties>
</file>