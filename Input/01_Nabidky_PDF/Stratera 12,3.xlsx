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traterasro-my.sharepoint.com/personal/martinhrabcik_straterasro_onmicrosoft_com/Documents/Stratera/01_Zakázky/01_Realizace/2025_zakázky/25005_DEK Litvínov/04_Nabídky/SLP/Kelcom/"/>
    </mc:Choice>
  </mc:AlternateContent>
  <xr:revisionPtr revIDLastSave="13" documentId="13_ncr:1_{ABAE2C64-31C3-6E4A-BC29-70FCCC53C30C}" xr6:coauthVersionLast="47" xr6:coauthVersionMax="47" xr10:uidLastSave="{AF12736F-73CE-404B-873C-004C5F0A4291}"/>
  <bookViews>
    <workbookView xWindow="15264" yWindow="0" windowWidth="15552" windowHeight="16656" xr2:uid="{00000000-000D-0000-FFFF-FFFF00000000}"/>
  </bookViews>
  <sheets>
    <sheet name="List1" sheetId="1" r:id="rId1"/>
    <sheet name="List2" sheetId="2" r:id="rId2"/>
    <sheet name="Lis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" i="1" l="1"/>
  <c r="H42" i="1"/>
  <c r="H41" i="1"/>
  <c r="H40" i="1"/>
  <c r="H39" i="1"/>
  <c r="H38" i="1"/>
  <c r="H37" i="1"/>
  <c r="H36" i="1"/>
  <c r="H35" i="1"/>
  <c r="H34" i="1"/>
  <c r="H33" i="1"/>
  <c r="H44" i="1" s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45" i="1" l="1"/>
  <c r="H46" i="1"/>
</calcChain>
</file>

<file path=xl/sharedStrings.xml><?xml version="1.0" encoding="utf-8"?>
<sst xmlns="http://schemas.openxmlformats.org/spreadsheetml/2006/main" count="234" uniqueCount="92">
  <si>
    <t>Množství</t>
  </si>
  <si>
    <t>Kat. cena/MJ</t>
  </si>
  <si>
    <t>Bez DPH/MJ</t>
  </si>
  <si>
    <t>Bez DPH celk.</t>
  </si>
  <si>
    <t>Odběratel:</t>
  </si>
  <si>
    <t>Měna</t>
  </si>
  <si>
    <t>Cena bez DPH (Netto)</t>
  </si>
  <si>
    <t>Cena s DPH (Brutto)</t>
  </si>
  <si>
    <t>Název</t>
  </si>
  <si>
    <t>Zkratka 1</t>
  </si>
  <si>
    <t>Č. zboží</t>
  </si>
  <si>
    <t>MJ</t>
  </si>
  <si>
    <t>DPH 21%</t>
  </si>
  <si>
    <t>Nabídka: NAB/2025/543</t>
  </si>
  <si>
    <t>Dodavatel: Kelcom International,spol. s.r.o. Sídlo firmy: Pardubická 899, 500 04 Hradec Králové</t>
  </si>
  <si>
    <t>STRATERA S.R.O.</t>
  </si>
  <si>
    <t>Podnikatelská 565</t>
  </si>
  <si>
    <t>190 11 Praha 9</t>
  </si>
  <si>
    <t>CZ</t>
  </si>
  <si>
    <r>
      <t>Nabídka platí do:</t>
    </r>
    <r>
      <rPr>
        <sz val="11"/>
        <color theme="1"/>
        <rFont val="Calibri"/>
        <family val="2"/>
        <charset val="238"/>
        <scheme val="minor"/>
      </rPr>
      <t xml:space="preserve"> 11.04.2025</t>
    </r>
  </si>
  <si>
    <r>
      <t>Popis</t>
    </r>
    <r>
      <rPr>
        <sz val="11"/>
        <color theme="1"/>
        <rFont val="Calibri"/>
        <family val="2"/>
        <charset val="238"/>
        <scheme val="minor"/>
      </rPr>
      <t>: DEK Litvínov</t>
    </r>
  </si>
  <si>
    <t>GALAXY GD-520</t>
  </si>
  <si>
    <t>Ústředna EZS, až 520 zón, 32 podsystémů</t>
  </si>
  <si>
    <t>Kč</t>
  </si>
  <si>
    <t>E080-10</t>
  </si>
  <si>
    <t>TCP/IP komunikátor bez krytu pro GALAXYGD, verze dle EN norem. ISOM protokol</t>
  </si>
  <si>
    <t>G8P (CP072)</t>
  </si>
  <si>
    <t>Rozšiřovací modul 8sm., 4 výstupy pro Galaxy</t>
  </si>
  <si>
    <t>GRM4</t>
  </si>
  <si>
    <t>Volitelný reléový modul pro posílení proudové zatížitelnosti výstu</t>
  </si>
  <si>
    <t>GVM16P</t>
  </si>
  <si>
    <t>Výstupní modul s 16 pgm</t>
  </si>
  <si>
    <t>OS-365A</t>
  </si>
  <si>
    <t>J-Venkovní záloh. magnetodynamická siréna včetně NiCd akumulátoru</t>
  </si>
  <si>
    <t>SA-913</t>
  </si>
  <si>
    <t>J-Interiérová piezosiréna, bílý plast</t>
  </si>
  <si>
    <t>CAPTURE-Q20</t>
  </si>
  <si>
    <t>PIR detektor, QUAD sensor, dosah 20m, vestavěné EOL rezistory, volitelné PET, st.2</t>
  </si>
  <si>
    <t>PRESTIGE DRŽÁK</t>
  </si>
  <si>
    <t>Držák pro detektory Prestige na strop i stěnu</t>
  </si>
  <si>
    <t>JS-25</t>
  </si>
  <si>
    <t>J-PIR detektor kombinovaný s akustickým detektorem</t>
  </si>
  <si>
    <t>LX-402</t>
  </si>
  <si>
    <t>DETEKTOR OPTEX PIR LX-402 venkov.</t>
  </si>
  <si>
    <t>SL-200QDP</t>
  </si>
  <si>
    <t>4-paprsková IR závora, dosah 60 m, synchronizace - 4 kanály</t>
  </si>
  <si>
    <t>SL-350QDP</t>
  </si>
  <si>
    <t>4-paprsková IR závora, dosah 100 m, synchronizace - 4 kanály</t>
  </si>
  <si>
    <t>PTSSL</t>
  </si>
  <si>
    <t>Konzole pro instalaci Optex závor řady SL do sloupů Bunker</t>
  </si>
  <si>
    <t>PTH24V</t>
  </si>
  <si>
    <t>Vyhřívání pro sloupy CBIS, CBIP a CBID, 24V napájení.</t>
  </si>
  <si>
    <t>PTS</t>
  </si>
  <si>
    <t>Termostat pro sloupy CBIS, CBIP a CBID, CAV  a MALTA.</t>
  </si>
  <si>
    <t>CBID150</t>
  </si>
  <si>
    <t>Oboustranný sloup s mont. na zem, výška 1,5 m</t>
  </si>
  <si>
    <t>CBIS150</t>
  </si>
  <si>
    <t>Jednostranný sloup s mont. na zem, výška 1,5 m</t>
  </si>
  <si>
    <t>MAS 333</t>
  </si>
  <si>
    <t>MAGNETICKÝ KONTAKT PRO ZÁPUST. MONTÁŽ, ROZSAH 0-22 MM,STD.3M KABEL</t>
  </si>
  <si>
    <t>HPSG2-24V3A-C</t>
  </si>
  <si>
    <t>Zálohovací zdroj HPSG2-24V3A, prostor pro akumulátor 2x18 Ah</t>
  </si>
  <si>
    <t>18 AH (CGB)</t>
  </si>
  <si>
    <t>AKUMULÁTOR 18Ah, životnost až 10 let</t>
  </si>
  <si>
    <t>IPS24160G</t>
  </si>
  <si>
    <t>Zdroj 24V/5A pro EPS bez skříně</t>
  </si>
  <si>
    <t>AWZG2-12V3A-C</t>
  </si>
  <si>
    <t>Zálohovaný napájecí zdroj 12V/3A s transformátorem s technickými výstupy, 13.8V/3A/17Ah/OC</t>
  </si>
  <si>
    <t>MICROSWITCH</t>
  </si>
  <si>
    <t>Mechanický mikrospínač s přepínacím kontaktem</t>
  </si>
  <si>
    <t>JUMBO LED BZ</t>
  </si>
  <si>
    <t>OPTICKÁ LED SIGNALIZACE, ČERVENÁ LED, S BZUČÁKEM, 12V</t>
  </si>
  <si>
    <t>JUMBO LED BZ G</t>
  </si>
  <si>
    <t>OPTICKÁ LED SIGNALIZACE, ZELENÁ LED, S BZUČÁKEM, 12V</t>
  </si>
  <si>
    <t>RK700PR</t>
  </si>
  <si>
    <t>Odchodový PIR detektor, který nahrazuje funkci stisknutí odchodového tlačítka REX při odchodu z budovy s přístupovým systémem</t>
  </si>
  <si>
    <t>CP050</t>
  </si>
  <si>
    <t>Klávesnice MK8 pro systém Galaxy</t>
  </si>
  <si>
    <t>SLEVA Z CENY</t>
  </si>
  <si>
    <t>Nabídka: NAB/2025/544</t>
  </si>
  <si>
    <r>
      <t>Nabídka platí do:</t>
    </r>
    <r>
      <rPr>
        <sz val="11"/>
        <color theme="1"/>
        <rFont val="Calibri"/>
        <family val="2"/>
        <scheme val="minor"/>
      </rPr>
      <t xml:space="preserve"> 11.04.2025</t>
    </r>
  </si>
  <si>
    <r>
      <t>Popis</t>
    </r>
    <r>
      <rPr>
        <sz val="11"/>
        <color theme="1"/>
        <rFont val="Calibri"/>
        <family val="2"/>
        <scheme val="minor"/>
      </rPr>
      <t>: DEK Mimoň</t>
    </r>
  </si>
  <si>
    <t>AC-160-C</t>
  </si>
  <si>
    <t>Bezdrátové multifunkční relé do montážní krabice</t>
  </si>
  <si>
    <t>JA-152J MS II</t>
  </si>
  <si>
    <t>Obousměrný dálkový ovladač dvoutlačítkový</t>
  </si>
  <si>
    <t>TDW-S-4C-BOX</t>
  </si>
  <si>
    <t>Průmyslový digitální optopřevodník - sběrnice 2xRS485 nebo 1xRS422</t>
  </si>
  <si>
    <t>RDW-S-4C-BOX</t>
  </si>
  <si>
    <t>Termostat pro sloupy CBIS, CBIP a CBID, CAV  a MALTA.</t>
  </si>
  <si>
    <t>JB-104 WH</t>
  </si>
  <si>
    <t>montážní krabička na omítku, 24 šroubovacích svorek, bílá barva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</si>
</sst>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5" formatCode="_-* #,##0.0\ &quot;Kč&quot;_-;\-* #,##0.0\ &quot;Kč&quot;_-;_-* &quot;-&quot;??\ &quot;Kč&quot;_-;_-@_-"/>
  </numFmts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8">
    <xf numFmtId="0" fontId="0" fillId="0" borderId="0" xfId="0"/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1" fontId="0" fillId="0" borderId="0" xfId="0" applyNumberFormat="1"/>
    <xf numFmtId="49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  <xf numFmtId="1" fontId="1" fillId="0" borderId="1" xfId="0" applyNumberFormat="1" applyFont="1" applyBorder="1"/>
    <xf numFmtId="49" fontId="1" fillId="0" borderId="1" xfId="0" applyNumberFormat="1" applyFont="1" applyBorder="1" applyAlignment="1">
      <alignment horizontal="left"/>
    </xf>
    <xf numFmtId="2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1" fontId="0" fillId="0" borderId="2" xfId="0" applyNumberForma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2" fontId="0" fillId="0" borderId="2" xfId="0" applyNumberFormat="1" applyBorder="1" applyAlignment="1">
      <alignment horizontal="right" wrapText="1"/>
    </xf>
    <xf numFmtId="0" fontId="0" fillId="0" borderId="2" xfId="0" applyBorder="1" applyAlignment="1">
      <alignment wrapText="1"/>
    </xf>
    <xf numFmtId="1" fontId="0" fillId="0" borderId="3" xfId="0" applyNumberFormat="1" applyBorder="1" applyAlignment="1">
      <alignment wrapText="1"/>
    </xf>
    <xf numFmtId="49" fontId="1" fillId="0" borderId="3" xfId="0" applyNumberFormat="1" applyFont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2" fontId="0" fillId="0" borderId="3" xfId="0" applyNumberFormat="1" applyBorder="1" applyAlignment="1">
      <alignment horizontal="right" wrapText="1"/>
    </xf>
    <xf numFmtId="0" fontId="0" fillId="0" borderId="3" xfId="0" applyBorder="1" applyAlignment="1">
      <alignment wrapText="1"/>
    </xf>
    <xf numFmtId="1" fontId="0" fillId="0" borderId="4" xfId="0" applyNumberFormat="1" applyBorder="1" applyAlignment="1">
      <alignment wrapText="1"/>
    </xf>
    <xf numFmtId="49" fontId="1" fillId="0" borderId="4" xfId="0" applyNumberFormat="1" applyFont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2" fontId="0" fillId="0" borderId="4" xfId="0" applyNumberFormat="1" applyBorder="1" applyAlignment="1">
      <alignment horizontal="right" wrapText="1"/>
    </xf>
    <xf numFmtId="0" fontId="0" fillId="0" borderId="4" xfId="0" applyBorder="1" applyAlignment="1">
      <alignment wrapText="1"/>
    </xf>
    <xf numFmtId="0" fontId="2" fillId="0" borderId="0" xfId="0" applyFont="1"/>
    <xf numFmtId="0" fontId="3" fillId="0" borderId="0" xfId="0" applyFont="1"/>
    <xf numFmtId="2" fontId="2" fillId="0" borderId="0" xfId="0" applyNumberFormat="1" applyFont="1"/>
    <xf numFmtId="2" fontId="0" fillId="0" borderId="0" xfId="0" applyNumberFormat="1"/>
    <xf numFmtId="2" fontId="3" fillId="0" borderId="0" xfId="0" applyNumberFormat="1" applyFont="1"/>
    <xf numFmtId="44" fontId="0" fillId="0" borderId="2" xfId="1" applyFont="1" applyBorder="1" applyAlignment="1">
      <alignment horizontal="right" wrapText="1"/>
    </xf>
    <xf numFmtId="44" fontId="0" fillId="0" borderId="3" xfId="1" applyFont="1" applyBorder="1" applyAlignment="1">
      <alignment horizontal="right" wrapText="1"/>
    </xf>
    <xf numFmtId="44" fontId="0" fillId="0" borderId="4" xfId="1" applyFont="1" applyBorder="1" applyAlignment="1">
      <alignment horizontal="right" wrapText="1"/>
    </xf>
    <xf numFmtId="165" fontId="0" fillId="0" borderId="2" xfId="1" applyNumberFormat="1" applyFont="1" applyBorder="1" applyAlignment="1">
      <alignment horizontal="right" wrapText="1"/>
    </xf>
    <xf numFmtId="165" fontId="0" fillId="0" borderId="3" xfId="1" applyNumberFormat="1" applyFont="1" applyBorder="1" applyAlignment="1">
      <alignment horizontal="right" wrapText="1"/>
    </xf>
    <xf numFmtId="165" fontId="0" fillId="0" borderId="4" xfId="1" applyNumberFormat="1" applyFont="1" applyBorder="1" applyAlignment="1">
      <alignment horizontal="right" wrapText="1"/>
    </xf>
  </cellXfs>
  <cellStyles count="2">
    <cellStyle name="Měna" xfId="1" builtinId="4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>
    <pageSetUpPr fitToPage="1"/>
  </sheetPr>
  <dimension ref="A1:I100"/>
  <sheetViews>
    <sheetView tabSelected="1" topLeftCell="B13" zoomScaleNormal="100" workbookViewId="0">
      <selection activeCell="C37" sqref="C37"/>
    </sheetView>
  </sheetViews>
  <sheetFormatPr defaultColWidth="8.77734375" defaultRowHeight="14.4" x14ac:dyDescent="0.3"/>
  <cols>
    <col min="1" max="1" width="7.6640625" style="3" customWidth="1"/>
    <col min="2" max="2" width="27" style="1" customWidth="1"/>
    <col min="3" max="3" width="57.33203125" style="1" customWidth="1"/>
    <col min="4" max="4" width="6.77734375" style="2" customWidth="1"/>
    <col min="5" max="5" width="0.77734375" style="1" customWidth="1"/>
    <col min="6" max="6" width="0.77734375" style="2" customWidth="1"/>
    <col min="7" max="7" width="13.5546875" style="2" customWidth="1"/>
    <col min="8" max="8" width="15" style="2" customWidth="1"/>
    <col min="9" max="9" width="6.6640625" customWidth="1"/>
  </cols>
  <sheetData>
    <row r="1" spans="1:9" x14ac:dyDescent="0.3">
      <c r="B1" s="4" t="s">
        <v>13</v>
      </c>
      <c r="C1" s="4"/>
    </row>
    <row r="2" spans="1:9" x14ac:dyDescent="0.3">
      <c r="B2" s="4" t="s">
        <v>14</v>
      </c>
      <c r="C2" s="4"/>
    </row>
    <row r="4" spans="1:9" x14ac:dyDescent="0.3">
      <c r="B4" s="4" t="s">
        <v>4</v>
      </c>
      <c r="C4" s="4"/>
    </row>
    <row r="5" spans="1:9" x14ac:dyDescent="0.3">
      <c r="B5" s="1" t="s">
        <v>15</v>
      </c>
    </row>
    <row r="6" spans="1:9" x14ac:dyDescent="0.3">
      <c r="B6" s="1" t="s">
        <v>16</v>
      </c>
    </row>
    <row r="7" spans="1:9" x14ac:dyDescent="0.3">
      <c r="B7" s="1" t="s">
        <v>17</v>
      </c>
    </row>
    <row r="8" spans="1:9" x14ac:dyDescent="0.3">
      <c r="B8" s="1" t="s">
        <v>18</v>
      </c>
    </row>
    <row r="10" spans="1:9" x14ac:dyDescent="0.3">
      <c r="B10" s="4" t="s">
        <v>19</v>
      </c>
    </row>
    <row r="12" spans="1:9" x14ac:dyDescent="0.3">
      <c r="B12" s="4" t="s">
        <v>20</v>
      </c>
    </row>
    <row r="14" spans="1:9" ht="15" thickBot="1" x14ac:dyDescent="0.35">
      <c r="A14" s="8" t="s">
        <v>10</v>
      </c>
      <c r="B14" s="9" t="s">
        <v>9</v>
      </c>
      <c r="C14" s="9" t="s">
        <v>8</v>
      </c>
      <c r="D14" s="10" t="s">
        <v>0</v>
      </c>
      <c r="E14" s="9" t="s">
        <v>11</v>
      </c>
      <c r="F14" s="10" t="s">
        <v>1</v>
      </c>
      <c r="G14" s="10" t="s">
        <v>2</v>
      </c>
      <c r="H14" s="10" t="s">
        <v>3</v>
      </c>
      <c r="I14" s="11" t="s">
        <v>5</v>
      </c>
    </row>
    <row r="15" spans="1:9" s="7" customFormat="1" ht="15" thickTop="1" x14ac:dyDescent="0.3">
      <c r="A15" s="12">
        <v>8559</v>
      </c>
      <c r="B15" s="13" t="s">
        <v>21</v>
      </c>
      <c r="C15" s="14" t="s">
        <v>22</v>
      </c>
      <c r="D15" s="15">
        <v>1</v>
      </c>
      <c r="E15" s="14"/>
      <c r="F15" s="15">
        <v>27970</v>
      </c>
      <c r="G15" s="32">
        <v>16222.6</v>
      </c>
      <c r="H15" s="35">
        <f t="shared" ref="H15:H43" si="0" xml:space="preserve"> D15*G15</f>
        <v>16222.6</v>
      </c>
      <c r="I15" s="16" t="s">
        <v>23</v>
      </c>
    </row>
    <row r="16" spans="1:9" s="7" customFormat="1" ht="28.8" x14ac:dyDescent="0.3">
      <c r="A16" s="17">
        <v>20298</v>
      </c>
      <c r="B16" s="18" t="s">
        <v>24</v>
      </c>
      <c r="C16" s="19" t="s">
        <v>25</v>
      </c>
      <c r="D16" s="20">
        <v>1</v>
      </c>
      <c r="E16" s="19"/>
      <c r="F16" s="20">
        <v>13440</v>
      </c>
      <c r="G16" s="33">
        <v>8064</v>
      </c>
      <c r="H16" s="36">
        <f t="shared" si="0"/>
        <v>8064</v>
      </c>
      <c r="I16" s="21" t="s">
        <v>23</v>
      </c>
    </row>
    <row r="17" spans="1:9" s="7" customFormat="1" x14ac:dyDescent="0.3">
      <c r="A17" s="17">
        <v>5830</v>
      </c>
      <c r="B17" s="18" t="s">
        <v>26</v>
      </c>
      <c r="C17" s="19" t="s">
        <v>27</v>
      </c>
      <c r="D17" s="20">
        <v>5</v>
      </c>
      <c r="E17" s="19"/>
      <c r="F17" s="20">
        <v>4150</v>
      </c>
      <c r="G17" s="33">
        <v>2324</v>
      </c>
      <c r="H17" s="36">
        <f t="shared" si="0"/>
        <v>11620</v>
      </c>
      <c r="I17" s="21" t="s">
        <v>23</v>
      </c>
    </row>
    <row r="18" spans="1:9" s="7" customFormat="1" x14ac:dyDescent="0.3">
      <c r="A18" s="17">
        <v>7046</v>
      </c>
      <c r="B18" s="18" t="s">
        <v>28</v>
      </c>
      <c r="C18" s="19" t="s">
        <v>29</v>
      </c>
      <c r="D18" s="20">
        <v>5</v>
      </c>
      <c r="E18" s="19"/>
      <c r="F18" s="20">
        <v>765</v>
      </c>
      <c r="G18" s="33">
        <v>612</v>
      </c>
      <c r="H18" s="36">
        <f t="shared" si="0"/>
        <v>3060</v>
      </c>
      <c r="I18" s="21" t="s">
        <v>23</v>
      </c>
    </row>
    <row r="19" spans="1:9" s="7" customFormat="1" x14ac:dyDescent="0.3">
      <c r="A19" s="17">
        <v>8563</v>
      </c>
      <c r="B19" s="18" t="s">
        <v>30</v>
      </c>
      <c r="C19" s="19" t="s">
        <v>31</v>
      </c>
      <c r="D19" s="20">
        <v>1</v>
      </c>
      <c r="E19" s="19"/>
      <c r="F19" s="20">
        <v>6340</v>
      </c>
      <c r="G19" s="33">
        <v>5008.6000000000004</v>
      </c>
      <c r="H19" s="36">
        <f t="shared" si="0"/>
        <v>5008.6000000000004</v>
      </c>
      <c r="I19" s="21" t="s">
        <v>23</v>
      </c>
    </row>
    <row r="20" spans="1:9" s="7" customFormat="1" ht="28.8" x14ac:dyDescent="0.3">
      <c r="A20" s="17">
        <v>8342</v>
      </c>
      <c r="B20" s="18" t="s">
        <v>32</v>
      </c>
      <c r="C20" s="19" t="s">
        <v>33</v>
      </c>
      <c r="D20" s="20">
        <v>2</v>
      </c>
      <c r="E20" s="19"/>
      <c r="F20" s="20">
        <v>2200</v>
      </c>
      <c r="G20" s="33">
        <v>1738</v>
      </c>
      <c r="H20" s="36">
        <f t="shared" si="0"/>
        <v>3476</v>
      </c>
      <c r="I20" s="21" t="s">
        <v>23</v>
      </c>
    </row>
    <row r="21" spans="1:9" s="7" customFormat="1" x14ac:dyDescent="0.3">
      <c r="A21" s="17">
        <v>4888</v>
      </c>
      <c r="B21" s="18" t="s">
        <v>34</v>
      </c>
      <c r="C21" s="19" t="s">
        <v>35</v>
      </c>
      <c r="D21" s="20">
        <v>4</v>
      </c>
      <c r="E21" s="19"/>
      <c r="F21" s="20">
        <v>227</v>
      </c>
      <c r="G21" s="33">
        <v>179</v>
      </c>
      <c r="H21" s="36">
        <f t="shared" si="0"/>
        <v>716</v>
      </c>
      <c r="I21" s="21" t="s">
        <v>23</v>
      </c>
    </row>
    <row r="22" spans="1:9" s="7" customFormat="1" ht="28.8" x14ac:dyDescent="0.3">
      <c r="A22" s="17">
        <v>22715</v>
      </c>
      <c r="B22" s="18" t="s">
        <v>36</v>
      </c>
      <c r="C22" s="19" t="s">
        <v>37</v>
      </c>
      <c r="D22" s="20">
        <v>3</v>
      </c>
      <c r="E22" s="19"/>
      <c r="F22" s="20">
        <v>518</v>
      </c>
      <c r="G22" s="33">
        <v>389</v>
      </c>
      <c r="H22" s="36">
        <f t="shared" si="0"/>
        <v>1167</v>
      </c>
      <c r="I22" s="21" t="s">
        <v>23</v>
      </c>
    </row>
    <row r="23" spans="1:9" s="7" customFormat="1" x14ac:dyDescent="0.3">
      <c r="A23" s="17">
        <v>18271</v>
      </c>
      <c r="B23" s="18" t="s">
        <v>38</v>
      </c>
      <c r="C23" s="19" t="s">
        <v>39</v>
      </c>
      <c r="D23" s="20">
        <v>3</v>
      </c>
      <c r="E23" s="19"/>
      <c r="F23" s="20">
        <v>145</v>
      </c>
      <c r="G23" s="33">
        <v>123</v>
      </c>
      <c r="H23" s="36">
        <f t="shared" si="0"/>
        <v>369</v>
      </c>
      <c r="I23" s="21" t="s">
        <v>23</v>
      </c>
    </row>
    <row r="24" spans="1:9" s="7" customFormat="1" x14ac:dyDescent="0.3">
      <c r="A24" s="17">
        <v>4559</v>
      </c>
      <c r="B24" s="18" t="s">
        <v>40</v>
      </c>
      <c r="C24" s="19" t="s">
        <v>41</v>
      </c>
      <c r="D24" s="20">
        <v>7</v>
      </c>
      <c r="E24" s="19"/>
      <c r="F24" s="20">
        <v>556</v>
      </c>
      <c r="G24" s="33">
        <v>439</v>
      </c>
      <c r="H24" s="36">
        <f t="shared" si="0"/>
        <v>3073</v>
      </c>
      <c r="I24" s="21" t="s">
        <v>23</v>
      </c>
    </row>
    <row r="25" spans="1:9" s="7" customFormat="1" x14ac:dyDescent="0.3">
      <c r="A25" s="17">
        <v>1058</v>
      </c>
      <c r="B25" s="18" t="s">
        <v>42</v>
      </c>
      <c r="C25" s="19" t="s">
        <v>43</v>
      </c>
      <c r="D25" s="20">
        <v>7</v>
      </c>
      <c r="E25" s="19"/>
      <c r="F25" s="20">
        <v>2485</v>
      </c>
      <c r="G25" s="33">
        <v>1814.05</v>
      </c>
      <c r="H25" s="36">
        <f t="shared" si="0"/>
        <v>12698.35</v>
      </c>
      <c r="I25" s="21" t="s">
        <v>23</v>
      </c>
    </row>
    <row r="26" spans="1:9" s="7" customFormat="1" x14ac:dyDescent="0.3">
      <c r="A26" s="17">
        <v>15128</v>
      </c>
      <c r="B26" s="18" t="s">
        <v>44</v>
      </c>
      <c r="C26" s="19" t="s">
        <v>45</v>
      </c>
      <c r="D26" s="20">
        <v>6</v>
      </c>
      <c r="E26" s="19"/>
      <c r="F26" s="20">
        <v>14389</v>
      </c>
      <c r="G26" s="33">
        <v>9928.41</v>
      </c>
      <c r="H26" s="36">
        <f t="shared" si="0"/>
        <v>59570.46</v>
      </c>
      <c r="I26" s="21" t="s">
        <v>23</v>
      </c>
    </row>
    <row r="27" spans="1:9" s="7" customFormat="1" x14ac:dyDescent="0.3">
      <c r="A27" s="17">
        <v>15129</v>
      </c>
      <c r="B27" s="18" t="s">
        <v>46</v>
      </c>
      <c r="C27" s="19" t="s">
        <v>47</v>
      </c>
      <c r="D27" s="20">
        <v>7</v>
      </c>
      <c r="E27" s="19"/>
      <c r="F27" s="20">
        <v>14989</v>
      </c>
      <c r="G27" s="33">
        <v>10642.19</v>
      </c>
      <c r="H27" s="36">
        <f t="shared" si="0"/>
        <v>74495.33</v>
      </c>
      <c r="I27" s="21" t="s">
        <v>23</v>
      </c>
    </row>
    <row r="28" spans="1:9" s="7" customFormat="1" x14ac:dyDescent="0.3">
      <c r="A28" s="17">
        <v>25113</v>
      </c>
      <c r="B28" s="18" t="s">
        <v>48</v>
      </c>
      <c r="C28" s="19" t="s">
        <v>49</v>
      </c>
      <c r="D28" s="20">
        <v>13</v>
      </c>
      <c r="E28" s="19"/>
      <c r="F28" s="20">
        <v>345</v>
      </c>
      <c r="G28" s="33">
        <v>259</v>
      </c>
      <c r="H28" s="36">
        <f t="shared" si="0"/>
        <v>3367</v>
      </c>
      <c r="I28" s="21" t="s">
        <v>23</v>
      </c>
    </row>
    <row r="29" spans="1:9" s="7" customFormat="1" x14ac:dyDescent="0.3">
      <c r="A29" s="17">
        <v>10147</v>
      </c>
      <c r="B29" s="18" t="s">
        <v>50</v>
      </c>
      <c r="C29" s="19" t="s">
        <v>51</v>
      </c>
      <c r="D29" s="20">
        <v>52</v>
      </c>
      <c r="E29" s="19"/>
      <c r="F29" s="20">
        <v>619</v>
      </c>
      <c r="G29" s="33">
        <v>464</v>
      </c>
      <c r="H29" s="36">
        <f t="shared" si="0"/>
        <v>24128</v>
      </c>
      <c r="I29" s="21" t="s">
        <v>23</v>
      </c>
    </row>
    <row r="30" spans="1:9" s="7" customFormat="1" x14ac:dyDescent="0.3">
      <c r="A30" s="17">
        <v>8979</v>
      </c>
      <c r="B30" s="18" t="s">
        <v>52</v>
      </c>
      <c r="C30" s="19" t="s">
        <v>53</v>
      </c>
      <c r="D30" s="20">
        <v>26</v>
      </c>
      <c r="E30" s="19"/>
      <c r="F30" s="20">
        <v>956</v>
      </c>
      <c r="G30" s="33">
        <v>717</v>
      </c>
      <c r="H30" s="36">
        <f t="shared" si="0"/>
        <v>18642</v>
      </c>
      <c r="I30" s="21" t="s">
        <v>23</v>
      </c>
    </row>
    <row r="31" spans="1:9" s="7" customFormat="1" x14ac:dyDescent="0.3">
      <c r="A31" s="17">
        <v>9563</v>
      </c>
      <c r="B31" s="18" t="s">
        <v>54</v>
      </c>
      <c r="C31" s="19" t="s">
        <v>55</v>
      </c>
      <c r="D31" s="20">
        <v>24</v>
      </c>
      <c r="E31" s="19"/>
      <c r="F31" s="20">
        <v>9015</v>
      </c>
      <c r="G31" s="33">
        <v>6400.65</v>
      </c>
      <c r="H31" s="36">
        <f t="shared" si="0"/>
        <v>153615.59999999998</v>
      </c>
      <c r="I31" s="21" t="s">
        <v>23</v>
      </c>
    </row>
    <row r="32" spans="1:9" s="7" customFormat="1" x14ac:dyDescent="0.3">
      <c r="A32" s="17">
        <v>8997</v>
      </c>
      <c r="B32" s="18" t="s">
        <v>56</v>
      </c>
      <c r="C32" s="19" t="s">
        <v>57</v>
      </c>
      <c r="D32" s="20">
        <v>2</v>
      </c>
      <c r="E32" s="19"/>
      <c r="F32" s="20">
        <v>6829</v>
      </c>
      <c r="G32" s="33">
        <v>4916.88</v>
      </c>
      <c r="H32" s="36">
        <f t="shared" si="0"/>
        <v>9833.76</v>
      </c>
      <c r="I32" s="21" t="s">
        <v>23</v>
      </c>
    </row>
    <row r="33" spans="1:9" s="7" customFormat="1" ht="28.8" x14ac:dyDescent="0.3">
      <c r="A33" s="17">
        <v>5324</v>
      </c>
      <c r="B33" s="18" t="s">
        <v>58</v>
      </c>
      <c r="C33" s="19" t="s">
        <v>59</v>
      </c>
      <c r="D33" s="20">
        <v>10</v>
      </c>
      <c r="E33" s="19"/>
      <c r="F33" s="20">
        <v>238</v>
      </c>
      <c r="G33" s="33">
        <v>4916.88</v>
      </c>
      <c r="H33" s="36">
        <f t="shared" si="0"/>
        <v>49168.800000000003</v>
      </c>
      <c r="I33" s="21" t="s">
        <v>23</v>
      </c>
    </row>
    <row r="34" spans="1:9" s="7" customFormat="1" x14ac:dyDescent="0.3">
      <c r="A34" s="17">
        <v>23653</v>
      </c>
      <c r="B34" s="18" t="s">
        <v>60</v>
      </c>
      <c r="C34" s="19" t="s">
        <v>61</v>
      </c>
      <c r="D34" s="20">
        <v>5</v>
      </c>
      <c r="E34" s="19"/>
      <c r="F34" s="20">
        <v>3419</v>
      </c>
      <c r="G34" s="33">
        <v>2564</v>
      </c>
      <c r="H34" s="36">
        <f t="shared" si="0"/>
        <v>12820</v>
      </c>
      <c r="I34" s="21" t="s">
        <v>23</v>
      </c>
    </row>
    <row r="35" spans="1:9" s="7" customFormat="1" x14ac:dyDescent="0.3">
      <c r="A35" s="17">
        <v>8400</v>
      </c>
      <c r="B35" s="18" t="s">
        <v>62</v>
      </c>
      <c r="C35" s="19" t="s">
        <v>63</v>
      </c>
      <c r="D35" s="20">
        <v>10</v>
      </c>
      <c r="E35" s="19"/>
      <c r="F35" s="20">
        <v>1149</v>
      </c>
      <c r="G35" s="33">
        <v>977</v>
      </c>
      <c r="H35" s="36">
        <f t="shared" si="0"/>
        <v>9770</v>
      </c>
      <c r="I35" s="21" t="s">
        <v>23</v>
      </c>
    </row>
    <row r="36" spans="1:9" s="7" customFormat="1" x14ac:dyDescent="0.3">
      <c r="A36" s="17">
        <v>16976</v>
      </c>
      <c r="B36" s="18" t="s">
        <v>64</v>
      </c>
      <c r="C36" s="19" t="s">
        <v>65</v>
      </c>
      <c r="D36" s="20">
        <v>5</v>
      </c>
      <c r="E36" s="19"/>
      <c r="F36" s="20">
        <v>3357</v>
      </c>
      <c r="G36" s="33">
        <v>2350</v>
      </c>
      <c r="H36" s="36">
        <f t="shared" si="0"/>
        <v>11750</v>
      </c>
      <c r="I36" s="21" t="s">
        <v>23</v>
      </c>
    </row>
    <row r="37" spans="1:9" s="7" customFormat="1" ht="28.8" x14ac:dyDescent="0.3">
      <c r="A37" s="17">
        <v>22358</v>
      </c>
      <c r="B37" s="18" t="s">
        <v>66</v>
      </c>
      <c r="C37" s="19" t="s">
        <v>67</v>
      </c>
      <c r="D37" s="20">
        <v>1</v>
      </c>
      <c r="E37" s="19"/>
      <c r="F37" s="20">
        <v>2625</v>
      </c>
      <c r="G37" s="33">
        <v>2100</v>
      </c>
      <c r="H37" s="36">
        <f t="shared" si="0"/>
        <v>2100</v>
      </c>
      <c r="I37" s="21" t="s">
        <v>23</v>
      </c>
    </row>
    <row r="38" spans="1:9" s="7" customFormat="1" x14ac:dyDescent="0.3">
      <c r="A38" s="17">
        <v>7736</v>
      </c>
      <c r="B38" s="18" t="s">
        <v>68</v>
      </c>
      <c r="C38" s="19" t="s">
        <v>69</v>
      </c>
      <c r="D38" s="20">
        <v>20</v>
      </c>
      <c r="E38" s="19"/>
      <c r="F38" s="20">
        <v>27</v>
      </c>
      <c r="G38" s="33">
        <v>22</v>
      </c>
      <c r="H38" s="36">
        <f t="shared" si="0"/>
        <v>440</v>
      </c>
      <c r="I38" s="21" t="s">
        <v>23</v>
      </c>
    </row>
    <row r="39" spans="1:9" s="7" customFormat="1" x14ac:dyDescent="0.3">
      <c r="A39" s="17">
        <v>6691</v>
      </c>
      <c r="B39" s="18" t="s">
        <v>70</v>
      </c>
      <c r="C39" s="19" t="s">
        <v>71</v>
      </c>
      <c r="D39" s="20">
        <v>2</v>
      </c>
      <c r="E39" s="19"/>
      <c r="F39" s="20">
        <v>223</v>
      </c>
      <c r="G39" s="33">
        <v>190</v>
      </c>
      <c r="H39" s="36">
        <f t="shared" si="0"/>
        <v>380</v>
      </c>
      <c r="I39" s="21" t="s">
        <v>23</v>
      </c>
    </row>
    <row r="40" spans="1:9" s="7" customFormat="1" x14ac:dyDescent="0.3">
      <c r="A40" s="17">
        <v>7250</v>
      </c>
      <c r="B40" s="18" t="s">
        <v>72</v>
      </c>
      <c r="C40" s="19" t="s">
        <v>73</v>
      </c>
      <c r="D40" s="20">
        <v>2</v>
      </c>
      <c r="E40" s="19"/>
      <c r="F40" s="20">
        <v>223</v>
      </c>
      <c r="G40" s="33">
        <v>190</v>
      </c>
      <c r="H40" s="36">
        <f t="shared" si="0"/>
        <v>380</v>
      </c>
      <c r="I40" s="21" t="s">
        <v>23</v>
      </c>
    </row>
    <row r="41" spans="1:9" s="7" customFormat="1" ht="43.2" x14ac:dyDescent="0.3">
      <c r="A41" s="17">
        <v>22728</v>
      </c>
      <c r="B41" s="18" t="s">
        <v>74</v>
      </c>
      <c r="C41" s="19" t="s">
        <v>75</v>
      </c>
      <c r="D41" s="20">
        <v>1</v>
      </c>
      <c r="E41" s="19"/>
      <c r="F41" s="20">
        <v>2300</v>
      </c>
      <c r="G41" s="33">
        <v>1840</v>
      </c>
      <c r="H41" s="36">
        <f t="shared" si="0"/>
        <v>1840</v>
      </c>
      <c r="I41" s="21" t="s">
        <v>23</v>
      </c>
    </row>
    <row r="42" spans="1:9" s="7" customFormat="1" x14ac:dyDescent="0.3">
      <c r="A42" s="17">
        <v>12149</v>
      </c>
      <c r="B42" s="18" t="s">
        <v>76</v>
      </c>
      <c r="C42" s="19" t="s">
        <v>77</v>
      </c>
      <c r="D42" s="20">
        <v>2</v>
      </c>
      <c r="E42" s="19"/>
      <c r="F42" s="20">
        <v>4995</v>
      </c>
      <c r="G42" s="33">
        <v>3096.9</v>
      </c>
      <c r="H42" s="36">
        <f t="shared" si="0"/>
        <v>6193.8</v>
      </c>
      <c r="I42" s="21" t="s">
        <v>23</v>
      </c>
    </row>
    <row r="43" spans="1:9" s="7" customFormat="1" ht="15" thickBot="1" x14ac:dyDescent="0.35">
      <c r="A43" s="22">
        <v>13991</v>
      </c>
      <c r="B43" s="23" t="s">
        <v>78</v>
      </c>
      <c r="C43" s="24" t="s">
        <v>78</v>
      </c>
      <c r="D43" s="25">
        <v>-1</v>
      </c>
      <c r="E43" s="24"/>
      <c r="F43" s="25">
        <v>4567</v>
      </c>
      <c r="G43" s="34">
        <v>6850</v>
      </c>
      <c r="H43" s="37">
        <f t="shared" si="0"/>
        <v>-6850</v>
      </c>
      <c r="I43" s="26" t="s">
        <v>23</v>
      </c>
    </row>
    <row r="44" spans="1:9" ht="15" thickTop="1" x14ac:dyDescent="0.3">
      <c r="B44" s="4" t="s">
        <v>6</v>
      </c>
      <c r="C44" s="4"/>
      <c r="H44" s="5">
        <f xml:space="preserve"> SUM(H15:H43)</f>
        <v>497119.29999999993</v>
      </c>
      <c r="I44" s="6" t="s">
        <v>23</v>
      </c>
    </row>
    <row r="45" spans="1:9" x14ac:dyDescent="0.3">
      <c r="B45" s="4" t="s">
        <v>12</v>
      </c>
      <c r="H45" s="2">
        <f>H44*0.21</f>
        <v>104395.05299999999</v>
      </c>
      <c r="I45" t="s">
        <v>23</v>
      </c>
    </row>
    <row r="46" spans="1:9" x14ac:dyDescent="0.3">
      <c r="B46" s="4" t="s">
        <v>7</v>
      </c>
      <c r="C46" s="4"/>
      <c r="H46" s="5">
        <f>H44*1.21</f>
        <v>601514.35299999989</v>
      </c>
      <c r="I46" s="6" t="s">
        <v>23</v>
      </c>
    </row>
    <row r="51" spans="1:9" x14ac:dyDescent="0.3">
      <c r="A51" s="27"/>
      <c r="B51" s="28" t="s">
        <v>79</v>
      </c>
      <c r="C51" s="28"/>
      <c r="D51" s="27"/>
      <c r="E51" s="27"/>
      <c r="F51" s="29"/>
      <c r="G51" s="29"/>
      <c r="H51" s="29"/>
      <c r="I51" s="27"/>
    </row>
    <row r="52" spans="1:9" x14ac:dyDescent="0.3">
      <c r="A52" s="27"/>
      <c r="B52" s="28" t="s">
        <v>14</v>
      </c>
      <c r="C52" s="27"/>
      <c r="D52" s="27"/>
      <c r="E52" s="27"/>
      <c r="F52" s="29"/>
      <c r="G52" s="30"/>
      <c r="H52" s="30"/>
    </row>
    <row r="53" spans="1:9" x14ac:dyDescent="0.3">
      <c r="A53" s="27"/>
      <c r="B53" s="27"/>
      <c r="C53" s="27"/>
      <c r="D53" s="27"/>
      <c r="E53" s="27"/>
      <c r="F53" s="29"/>
      <c r="G53" s="29"/>
      <c r="H53" s="29"/>
      <c r="I53" s="27"/>
    </row>
    <row r="54" spans="1:9" x14ac:dyDescent="0.3">
      <c r="A54" s="27"/>
      <c r="B54" s="28" t="s">
        <v>4</v>
      </c>
      <c r="C54" s="28"/>
      <c r="D54" s="27"/>
      <c r="E54" s="27"/>
      <c r="F54" s="29"/>
      <c r="G54" s="29"/>
      <c r="H54" s="29"/>
      <c r="I54" s="27"/>
    </row>
    <row r="55" spans="1:9" x14ac:dyDescent="0.3">
      <c r="A55" s="27"/>
      <c r="B55" s="27" t="s">
        <v>15</v>
      </c>
      <c r="C55" s="27"/>
      <c r="D55" s="27"/>
      <c r="E55" s="27"/>
      <c r="F55" s="29"/>
      <c r="G55" s="29"/>
      <c r="H55" s="29"/>
      <c r="I55" s="27"/>
    </row>
    <row r="56" spans="1:9" x14ac:dyDescent="0.3">
      <c r="A56" s="27"/>
      <c r="B56" s="27" t="s">
        <v>16</v>
      </c>
      <c r="C56" s="27"/>
      <c r="D56" s="27"/>
      <c r="E56" s="27"/>
      <c r="F56" s="29"/>
      <c r="G56" s="29"/>
      <c r="H56" s="29"/>
      <c r="I56" s="27"/>
    </row>
    <row r="57" spans="1:9" x14ac:dyDescent="0.3">
      <c r="A57" s="27"/>
      <c r="B57" s="27" t="s">
        <v>17</v>
      </c>
      <c r="C57" s="27"/>
      <c r="D57" s="27"/>
      <c r="E57" s="27"/>
      <c r="F57" s="29"/>
      <c r="G57" s="29"/>
      <c r="H57" s="29"/>
      <c r="I57" s="27"/>
    </row>
    <row r="58" spans="1:9" x14ac:dyDescent="0.3">
      <c r="A58" s="27"/>
      <c r="B58" s="27" t="s">
        <v>18</v>
      </c>
      <c r="C58" s="27"/>
      <c r="D58" s="27"/>
      <c r="E58" s="27"/>
      <c r="F58" s="29"/>
      <c r="G58" s="29"/>
      <c r="H58" s="29"/>
      <c r="I58" s="27"/>
    </row>
    <row r="59" spans="1:9" x14ac:dyDescent="0.3">
      <c r="A59" s="27"/>
      <c r="B59" s="27"/>
      <c r="C59" s="27"/>
      <c r="D59" s="27"/>
      <c r="E59" s="27"/>
      <c r="F59" s="29"/>
      <c r="G59" s="29"/>
      <c r="H59" s="29"/>
      <c r="I59" s="27"/>
    </row>
    <row r="60" spans="1:9" x14ac:dyDescent="0.3">
      <c r="A60" s="27"/>
      <c r="B60" s="28" t="s">
        <v>80</v>
      </c>
      <c r="C60" s="27"/>
      <c r="D60" s="27"/>
      <c r="E60" s="27"/>
      <c r="F60" s="29"/>
      <c r="G60" s="29"/>
      <c r="H60" s="29"/>
    </row>
    <row r="61" spans="1:9" x14ac:dyDescent="0.3">
      <c r="A61" s="27"/>
      <c r="B61" s="27"/>
      <c r="C61" s="27"/>
      <c r="D61" s="27"/>
      <c r="E61" s="27"/>
      <c r="F61" s="29"/>
      <c r="G61" s="29"/>
      <c r="H61" s="29"/>
      <c r="I61" s="27"/>
    </row>
    <row r="62" spans="1:9" x14ac:dyDescent="0.3">
      <c r="A62" s="27"/>
      <c r="B62" s="28" t="s">
        <v>81</v>
      </c>
      <c r="C62" s="27"/>
      <c r="D62" s="27"/>
      <c r="E62" s="27"/>
      <c r="F62" s="29"/>
      <c r="G62" s="29"/>
      <c r="H62" s="29"/>
      <c r="I62" s="27"/>
    </row>
    <row r="63" spans="1:9" x14ac:dyDescent="0.3">
      <c r="A63" s="27"/>
      <c r="B63" s="27"/>
      <c r="C63" s="27"/>
      <c r="D63" s="27"/>
      <c r="E63" s="27"/>
      <c r="F63" s="29"/>
      <c r="G63" s="29"/>
      <c r="H63" s="29"/>
      <c r="I63" s="27"/>
    </row>
    <row r="64" spans="1:9" x14ac:dyDescent="0.3">
      <c r="A64" s="28" t="s">
        <v>10</v>
      </c>
      <c r="B64" s="28" t="s">
        <v>9</v>
      </c>
      <c r="C64" s="28" t="s">
        <v>8</v>
      </c>
      <c r="D64" s="28" t="s">
        <v>0</v>
      </c>
      <c r="E64" s="28" t="s">
        <v>11</v>
      </c>
      <c r="F64" s="31" t="s">
        <v>1</v>
      </c>
      <c r="G64" s="31" t="s">
        <v>2</v>
      </c>
      <c r="H64" s="31" t="s">
        <v>3</v>
      </c>
      <c r="I64" s="28" t="s">
        <v>5</v>
      </c>
    </row>
    <row r="65" spans="1:9" x14ac:dyDescent="0.3">
      <c r="A65" s="27">
        <v>8559</v>
      </c>
      <c r="B65" s="28" t="s">
        <v>21</v>
      </c>
      <c r="C65" s="27" t="s">
        <v>22</v>
      </c>
      <c r="D65" s="27">
        <v>1</v>
      </c>
      <c r="E65" s="27"/>
      <c r="F65" s="29">
        <v>27970</v>
      </c>
      <c r="G65" s="29">
        <v>16222.6</v>
      </c>
      <c r="H65" s="29">
        <v>16222.6</v>
      </c>
      <c r="I65" s="27" t="s">
        <v>23</v>
      </c>
    </row>
    <row r="66" spans="1:9" x14ac:dyDescent="0.3">
      <c r="A66" s="27">
        <v>5830</v>
      </c>
      <c r="B66" s="28" t="s">
        <v>26</v>
      </c>
      <c r="C66" s="27" t="s">
        <v>27</v>
      </c>
      <c r="D66" s="27">
        <v>4</v>
      </c>
      <c r="E66" s="27"/>
      <c r="F66" s="29">
        <v>4150</v>
      </c>
      <c r="G66" s="29">
        <v>2324</v>
      </c>
      <c r="H66" s="29">
        <v>9296</v>
      </c>
      <c r="I66" s="27" t="s">
        <v>23</v>
      </c>
    </row>
    <row r="67" spans="1:9" x14ac:dyDescent="0.3">
      <c r="A67" s="27">
        <v>7046</v>
      </c>
      <c r="B67" s="28" t="s">
        <v>28</v>
      </c>
      <c r="C67" s="27" t="s">
        <v>29</v>
      </c>
      <c r="D67" s="27">
        <v>4</v>
      </c>
      <c r="E67" s="27"/>
      <c r="F67" s="29">
        <v>765</v>
      </c>
      <c r="G67" s="29">
        <v>612</v>
      </c>
      <c r="H67" s="29">
        <v>2448</v>
      </c>
      <c r="I67" s="27" t="s">
        <v>23</v>
      </c>
    </row>
    <row r="68" spans="1:9" x14ac:dyDescent="0.3">
      <c r="A68" s="27">
        <v>8563</v>
      </c>
      <c r="B68" s="28" t="s">
        <v>30</v>
      </c>
      <c r="C68" s="27" t="s">
        <v>31</v>
      </c>
      <c r="D68" s="27">
        <v>0</v>
      </c>
      <c r="E68" s="27"/>
      <c r="F68" s="29">
        <v>6340</v>
      </c>
      <c r="G68" s="29">
        <v>5008.6000000000004</v>
      </c>
      <c r="H68" s="29">
        <v>0</v>
      </c>
      <c r="I68" s="27" t="s">
        <v>23</v>
      </c>
    </row>
    <row r="69" spans="1:9" x14ac:dyDescent="0.3">
      <c r="A69" s="27">
        <v>8342</v>
      </c>
      <c r="B69" s="28" t="s">
        <v>32</v>
      </c>
      <c r="C69" s="27" t="s">
        <v>33</v>
      </c>
      <c r="D69" s="27">
        <v>1</v>
      </c>
      <c r="E69" s="27"/>
      <c r="F69" s="29">
        <v>2200</v>
      </c>
      <c r="G69" s="29">
        <v>1738</v>
      </c>
      <c r="H69" s="29">
        <v>1738</v>
      </c>
      <c r="I69" s="27" t="s">
        <v>23</v>
      </c>
    </row>
    <row r="70" spans="1:9" x14ac:dyDescent="0.3">
      <c r="A70" s="27">
        <v>4888</v>
      </c>
      <c r="B70" s="28" t="s">
        <v>34</v>
      </c>
      <c r="C70" s="27" t="s">
        <v>35</v>
      </c>
      <c r="D70" s="27">
        <v>1</v>
      </c>
      <c r="E70" s="27"/>
      <c r="F70" s="29">
        <v>227</v>
      </c>
      <c r="G70" s="29">
        <v>179</v>
      </c>
      <c r="H70" s="29">
        <v>179</v>
      </c>
      <c r="I70" s="27" t="s">
        <v>23</v>
      </c>
    </row>
    <row r="71" spans="1:9" x14ac:dyDescent="0.3">
      <c r="A71" s="27">
        <v>4559</v>
      </c>
      <c r="B71" s="28" t="s">
        <v>40</v>
      </c>
      <c r="C71" s="27" t="s">
        <v>41</v>
      </c>
      <c r="D71" s="27">
        <v>3</v>
      </c>
      <c r="E71" s="27"/>
      <c r="F71" s="29">
        <v>556</v>
      </c>
      <c r="G71" s="29">
        <v>439</v>
      </c>
      <c r="H71" s="29">
        <v>1317</v>
      </c>
      <c r="I71" s="27" t="s">
        <v>23</v>
      </c>
    </row>
    <row r="72" spans="1:9" x14ac:dyDescent="0.3">
      <c r="A72" s="27">
        <v>1058</v>
      </c>
      <c r="B72" s="28" t="s">
        <v>42</v>
      </c>
      <c r="C72" s="27" t="s">
        <v>43</v>
      </c>
      <c r="D72" s="27">
        <v>4</v>
      </c>
      <c r="E72" s="27"/>
      <c r="F72" s="29">
        <v>2485</v>
      </c>
      <c r="G72" s="29">
        <v>1814.05</v>
      </c>
      <c r="H72" s="29">
        <v>7256.2</v>
      </c>
      <c r="I72" s="27" t="s">
        <v>23</v>
      </c>
    </row>
    <row r="73" spans="1:9" x14ac:dyDescent="0.3">
      <c r="A73" s="27">
        <v>15129</v>
      </c>
      <c r="B73" s="28" t="s">
        <v>46</v>
      </c>
      <c r="C73" s="27" t="s">
        <v>47</v>
      </c>
      <c r="D73" s="27">
        <v>10</v>
      </c>
      <c r="E73" s="27"/>
      <c r="F73" s="29">
        <v>14989</v>
      </c>
      <c r="G73" s="29">
        <v>10642.19</v>
      </c>
      <c r="H73" s="29">
        <v>106421.9</v>
      </c>
      <c r="I73" s="27" t="s">
        <v>23</v>
      </c>
    </row>
    <row r="74" spans="1:9" x14ac:dyDescent="0.3">
      <c r="A74" s="27">
        <v>5324</v>
      </c>
      <c r="B74" s="28" t="s">
        <v>58</v>
      </c>
      <c r="C74" s="27" t="s">
        <v>59</v>
      </c>
      <c r="D74" s="27">
        <v>0</v>
      </c>
      <c r="E74" s="27"/>
      <c r="F74" s="29">
        <v>238</v>
      </c>
      <c r="G74" s="29">
        <v>190</v>
      </c>
      <c r="H74" s="29">
        <v>0</v>
      </c>
      <c r="I74" s="27" t="s">
        <v>23</v>
      </c>
    </row>
    <row r="75" spans="1:9" x14ac:dyDescent="0.3">
      <c r="A75" s="27">
        <v>22358</v>
      </c>
      <c r="B75" s="28" t="s">
        <v>66</v>
      </c>
      <c r="C75" s="27" t="s">
        <v>67</v>
      </c>
      <c r="D75" s="27">
        <v>2</v>
      </c>
      <c r="E75" s="27"/>
      <c r="F75" s="29">
        <v>2625</v>
      </c>
      <c r="G75" s="29">
        <v>2100</v>
      </c>
      <c r="H75" s="29">
        <v>4200</v>
      </c>
      <c r="I75" s="27" t="s">
        <v>23</v>
      </c>
    </row>
    <row r="76" spans="1:9" x14ac:dyDescent="0.3">
      <c r="A76" s="27">
        <v>7736</v>
      </c>
      <c r="B76" s="28" t="s">
        <v>68</v>
      </c>
      <c r="C76" s="27" t="s">
        <v>69</v>
      </c>
      <c r="D76" s="27">
        <v>4</v>
      </c>
      <c r="E76" s="27"/>
      <c r="F76" s="29">
        <v>27</v>
      </c>
      <c r="G76" s="29">
        <v>22</v>
      </c>
      <c r="H76" s="29">
        <v>88</v>
      </c>
      <c r="I76" s="27" t="s">
        <v>23</v>
      </c>
    </row>
    <row r="77" spans="1:9" x14ac:dyDescent="0.3">
      <c r="A77" s="27">
        <v>16782</v>
      </c>
      <c r="B77" s="28" t="s">
        <v>82</v>
      </c>
      <c r="C77" s="27" t="s">
        <v>83</v>
      </c>
      <c r="D77" s="27">
        <v>1</v>
      </c>
      <c r="E77" s="27"/>
      <c r="F77" s="29">
        <v>1534</v>
      </c>
      <c r="G77" s="29">
        <v>1212</v>
      </c>
      <c r="H77" s="29">
        <v>1212</v>
      </c>
      <c r="I77" s="27" t="s">
        <v>23</v>
      </c>
    </row>
    <row r="78" spans="1:9" x14ac:dyDescent="0.3">
      <c r="A78" s="27">
        <v>17305</v>
      </c>
      <c r="B78" s="28" t="s">
        <v>84</v>
      </c>
      <c r="C78" s="27" t="s">
        <v>85</v>
      </c>
      <c r="D78" s="27">
        <v>10</v>
      </c>
      <c r="E78" s="27"/>
      <c r="F78" s="29">
        <v>1031</v>
      </c>
      <c r="G78" s="29">
        <v>814</v>
      </c>
      <c r="H78" s="29">
        <v>8140</v>
      </c>
      <c r="I78" s="27" t="s">
        <v>23</v>
      </c>
    </row>
    <row r="79" spans="1:9" x14ac:dyDescent="0.3">
      <c r="A79" s="27">
        <v>12149</v>
      </c>
      <c r="B79" s="28" t="s">
        <v>76</v>
      </c>
      <c r="C79" s="27" t="s">
        <v>77</v>
      </c>
      <c r="D79" s="27">
        <v>2</v>
      </c>
      <c r="E79" s="27"/>
      <c r="F79" s="29">
        <v>4995</v>
      </c>
      <c r="G79" s="29">
        <v>3096.9</v>
      </c>
      <c r="H79" s="29">
        <v>6193.8</v>
      </c>
      <c r="I79" s="27" t="s">
        <v>23</v>
      </c>
    </row>
    <row r="80" spans="1:9" x14ac:dyDescent="0.3">
      <c r="A80" s="27">
        <v>18043</v>
      </c>
      <c r="B80" s="28" t="s">
        <v>86</v>
      </c>
      <c r="C80" s="27" t="s">
        <v>87</v>
      </c>
      <c r="D80" s="27">
        <v>2</v>
      </c>
      <c r="E80" s="27"/>
      <c r="F80" s="29">
        <v>10149</v>
      </c>
      <c r="G80" s="29">
        <v>7612</v>
      </c>
      <c r="H80" s="29">
        <v>15224</v>
      </c>
      <c r="I80" s="27" t="s">
        <v>23</v>
      </c>
    </row>
    <row r="81" spans="1:9" x14ac:dyDescent="0.3">
      <c r="A81" s="27">
        <v>18042</v>
      </c>
      <c r="B81" s="28" t="s">
        <v>88</v>
      </c>
      <c r="C81" s="27" t="s">
        <v>87</v>
      </c>
      <c r="D81" s="27">
        <v>2</v>
      </c>
      <c r="E81" s="27"/>
      <c r="F81" s="29">
        <v>10149</v>
      </c>
      <c r="G81" s="29">
        <v>7612</v>
      </c>
      <c r="H81" s="29">
        <v>15224</v>
      </c>
      <c r="I81" s="27" t="s">
        <v>23</v>
      </c>
    </row>
    <row r="82" spans="1:9" x14ac:dyDescent="0.3">
      <c r="A82" s="27">
        <v>15128</v>
      </c>
      <c r="B82" s="28" t="s">
        <v>44</v>
      </c>
      <c r="C82" s="27" t="s">
        <v>45</v>
      </c>
      <c r="D82" s="27">
        <v>7</v>
      </c>
      <c r="E82" s="27"/>
      <c r="F82" s="29">
        <v>14389</v>
      </c>
      <c r="G82" s="29">
        <v>9928.41</v>
      </c>
      <c r="H82" s="29">
        <v>69498.87</v>
      </c>
      <c r="I82" s="27" t="s">
        <v>23</v>
      </c>
    </row>
    <row r="83" spans="1:9" x14ac:dyDescent="0.3">
      <c r="A83" s="27">
        <v>25113</v>
      </c>
      <c r="B83" s="28" t="s">
        <v>48</v>
      </c>
      <c r="C83" s="27" t="s">
        <v>49</v>
      </c>
      <c r="D83" s="27">
        <v>17</v>
      </c>
      <c r="E83" s="27"/>
      <c r="F83" s="29">
        <v>345</v>
      </c>
      <c r="G83" s="29">
        <v>259</v>
      </c>
      <c r="H83" s="29">
        <v>4403</v>
      </c>
      <c r="I83" s="27" t="s">
        <v>23</v>
      </c>
    </row>
    <row r="84" spans="1:9" x14ac:dyDescent="0.3">
      <c r="A84" s="27">
        <v>9563</v>
      </c>
      <c r="B84" s="28" t="s">
        <v>54</v>
      </c>
      <c r="C84" s="27" t="s">
        <v>55</v>
      </c>
      <c r="D84" s="27">
        <v>32</v>
      </c>
      <c r="E84" s="27"/>
      <c r="F84" s="29">
        <v>9015</v>
      </c>
      <c r="G84" s="29">
        <v>6400.65</v>
      </c>
      <c r="H84" s="29">
        <v>204820.8</v>
      </c>
      <c r="I84" s="27" t="s">
        <v>23</v>
      </c>
    </row>
    <row r="85" spans="1:9" x14ac:dyDescent="0.3">
      <c r="A85" s="27">
        <v>8997</v>
      </c>
      <c r="B85" s="28" t="s">
        <v>56</v>
      </c>
      <c r="C85" s="27" t="s">
        <v>57</v>
      </c>
      <c r="D85" s="27">
        <v>2</v>
      </c>
      <c r="E85" s="27"/>
      <c r="F85" s="29">
        <v>6829</v>
      </c>
      <c r="G85" s="29">
        <v>4916.88</v>
      </c>
      <c r="H85" s="29">
        <v>9833.76</v>
      </c>
      <c r="I85" s="27" t="s">
        <v>23</v>
      </c>
    </row>
    <row r="86" spans="1:9" x14ac:dyDescent="0.3">
      <c r="A86" s="27">
        <v>10147</v>
      </c>
      <c r="B86" s="28" t="s">
        <v>50</v>
      </c>
      <c r="C86" s="27" t="s">
        <v>51</v>
      </c>
      <c r="D86" s="27">
        <v>68</v>
      </c>
      <c r="E86" s="27"/>
      <c r="F86" s="29">
        <v>619</v>
      </c>
      <c r="G86" s="29">
        <v>464</v>
      </c>
      <c r="H86" s="29">
        <v>31552</v>
      </c>
      <c r="I86" s="27" t="s">
        <v>23</v>
      </c>
    </row>
    <row r="87" spans="1:9" x14ac:dyDescent="0.3">
      <c r="A87" s="27">
        <v>8979</v>
      </c>
      <c r="B87" s="28" t="s">
        <v>52</v>
      </c>
      <c r="C87" s="27" t="s">
        <v>89</v>
      </c>
      <c r="D87" s="27">
        <v>34</v>
      </c>
      <c r="E87" s="27"/>
      <c r="F87" s="29">
        <v>956</v>
      </c>
      <c r="G87" s="29">
        <v>717</v>
      </c>
      <c r="H87" s="29">
        <v>24378</v>
      </c>
      <c r="I87" s="27" t="s">
        <v>23</v>
      </c>
    </row>
    <row r="88" spans="1:9" x14ac:dyDescent="0.3">
      <c r="A88" s="27">
        <v>23653</v>
      </c>
      <c r="B88" s="28" t="s">
        <v>60</v>
      </c>
      <c r="C88" s="27" t="s">
        <v>61</v>
      </c>
      <c r="D88" s="27">
        <v>6</v>
      </c>
      <c r="E88" s="27"/>
      <c r="F88" s="29">
        <v>3419</v>
      </c>
      <c r="G88" s="29">
        <v>2564</v>
      </c>
      <c r="H88" s="29">
        <v>15384</v>
      </c>
      <c r="I88" s="27" t="s">
        <v>23</v>
      </c>
    </row>
    <row r="89" spans="1:9" x14ac:dyDescent="0.3">
      <c r="A89" s="27">
        <v>8400</v>
      </c>
      <c r="B89" s="28" t="s">
        <v>62</v>
      </c>
      <c r="C89" s="27" t="s">
        <v>63</v>
      </c>
      <c r="D89" s="27">
        <v>15</v>
      </c>
      <c r="E89" s="27"/>
      <c r="F89" s="29">
        <v>1149</v>
      </c>
      <c r="G89" s="29">
        <v>977</v>
      </c>
      <c r="H89" s="29">
        <v>14655</v>
      </c>
      <c r="I89" s="27" t="s">
        <v>23</v>
      </c>
    </row>
    <row r="90" spans="1:9" x14ac:dyDescent="0.3">
      <c r="A90" s="27">
        <v>16976</v>
      </c>
      <c r="B90" s="28" t="s">
        <v>64</v>
      </c>
      <c r="C90" s="27" t="s">
        <v>65</v>
      </c>
      <c r="D90" s="27">
        <v>6</v>
      </c>
      <c r="E90" s="27"/>
      <c r="F90" s="29">
        <v>3357</v>
      </c>
      <c r="G90" s="29">
        <v>2350</v>
      </c>
      <c r="H90" s="29">
        <v>14100</v>
      </c>
      <c r="I90" s="27" t="s">
        <v>23</v>
      </c>
    </row>
    <row r="91" spans="1:9" x14ac:dyDescent="0.3">
      <c r="A91" s="27">
        <v>17463</v>
      </c>
      <c r="B91" s="28" t="s">
        <v>90</v>
      </c>
      <c r="C91" s="27" t="s">
        <v>91</v>
      </c>
      <c r="D91" s="27">
        <v>4</v>
      </c>
      <c r="E91" s="27"/>
      <c r="F91" s="29">
        <v>139</v>
      </c>
      <c r="G91" s="29">
        <v>104</v>
      </c>
      <c r="H91" s="29">
        <v>416</v>
      </c>
      <c r="I91" s="27" t="s">
        <v>23</v>
      </c>
    </row>
    <row r="92" spans="1:9" x14ac:dyDescent="0.3">
      <c r="A92" s="27">
        <v>20298</v>
      </c>
      <c r="B92" s="28" t="s">
        <v>24</v>
      </c>
      <c r="C92" s="27" t="s">
        <v>25</v>
      </c>
      <c r="D92" s="27">
        <v>1</v>
      </c>
      <c r="E92" s="27"/>
      <c r="F92" s="29">
        <v>13440</v>
      </c>
      <c r="G92" s="29">
        <v>8064</v>
      </c>
      <c r="H92" s="29">
        <v>8064</v>
      </c>
      <c r="I92" s="27" t="s">
        <v>23</v>
      </c>
    </row>
    <row r="93" spans="1:9" x14ac:dyDescent="0.3">
      <c r="A93" s="27">
        <v>22715</v>
      </c>
      <c r="B93" s="28" t="s">
        <v>36</v>
      </c>
      <c r="C93" s="27" t="s">
        <v>37</v>
      </c>
      <c r="D93" s="27">
        <v>3</v>
      </c>
      <c r="E93" s="27"/>
      <c r="F93" s="29">
        <v>518</v>
      </c>
      <c r="G93" s="29">
        <v>389</v>
      </c>
      <c r="H93" s="29">
        <v>1167</v>
      </c>
      <c r="I93" s="27" t="s">
        <v>23</v>
      </c>
    </row>
    <row r="94" spans="1:9" x14ac:dyDescent="0.3">
      <c r="A94" s="27">
        <v>18271</v>
      </c>
      <c r="B94" s="28" t="s">
        <v>38</v>
      </c>
      <c r="C94" s="27" t="s">
        <v>39</v>
      </c>
      <c r="D94" s="27">
        <v>3</v>
      </c>
      <c r="E94" s="27"/>
      <c r="F94" s="29">
        <v>145</v>
      </c>
      <c r="G94" s="29">
        <v>123</v>
      </c>
      <c r="H94" s="29">
        <v>369</v>
      </c>
      <c r="I94" s="27" t="s">
        <v>23</v>
      </c>
    </row>
    <row r="95" spans="1:9" x14ac:dyDescent="0.3">
      <c r="A95" s="27">
        <v>6691</v>
      </c>
      <c r="B95" s="28" t="s">
        <v>70</v>
      </c>
      <c r="C95" s="27" t="s">
        <v>71</v>
      </c>
      <c r="D95" s="27">
        <v>1</v>
      </c>
      <c r="E95" s="27"/>
      <c r="F95" s="29">
        <v>223</v>
      </c>
      <c r="G95" s="29">
        <v>190</v>
      </c>
      <c r="H95" s="29">
        <v>190</v>
      </c>
      <c r="I95" s="27" t="s">
        <v>23</v>
      </c>
    </row>
    <row r="96" spans="1:9" x14ac:dyDescent="0.3">
      <c r="A96" s="27">
        <v>7250</v>
      </c>
      <c r="B96" s="28" t="s">
        <v>72</v>
      </c>
      <c r="C96" s="27" t="s">
        <v>73</v>
      </c>
      <c r="D96" s="27">
        <v>1</v>
      </c>
      <c r="E96" s="27"/>
      <c r="F96" s="29">
        <v>223</v>
      </c>
      <c r="G96" s="29">
        <v>190</v>
      </c>
      <c r="H96" s="29">
        <v>190</v>
      </c>
      <c r="I96" s="27" t="s">
        <v>23</v>
      </c>
    </row>
    <row r="97" spans="1:9" x14ac:dyDescent="0.3">
      <c r="A97" s="27">
        <v>13991</v>
      </c>
      <c r="B97" s="28" t="s">
        <v>78</v>
      </c>
      <c r="C97" s="27" t="s">
        <v>78</v>
      </c>
      <c r="D97" s="27">
        <v>-1</v>
      </c>
      <c r="E97" s="27"/>
      <c r="F97" s="29">
        <v>8912</v>
      </c>
      <c r="G97" s="29">
        <v>8912</v>
      </c>
      <c r="H97" s="29">
        <v>-8912</v>
      </c>
      <c r="I97" s="27" t="s">
        <v>23</v>
      </c>
    </row>
    <row r="98" spans="1:9" x14ac:dyDescent="0.3">
      <c r="A98" s="27"/>
      <c r="B98" s="28" t="s">
        <v>6</v>
      </c>
      <c r="C98" s="28"/>
      <c r="D98" s="27"/>
      <c r="E98" s="27"/>
      <c r="F98" s="29"/>
      <c r="G98" s="29"/>
      <c r="H98" s="31">
        <v>585269.93000000005</v>
      </c>
      <c r="I98" s="28" t="s">
        <v>23</v>
      </c>
    </row>
    <row r="99" spans="1:9" x14ac:dyDescent="0.3">
      <c r="A99" s="27"/>
      <c r="B99" s="28" t="s">
        <v>12</v>
      </c>
      <c r="C99" s="27"/>
      <c r="D99" s="27"/>
      <c r="E99" s="27"/>
      <c r="F99" s="29"/>
      <c r="G99" s="29"/>
      <c r="H99" s="29">
        <v>122906.69</v>
      </c>
      <c r="I99" s="27" t="s">
        <v>23</v>
      </c>
    </row>
    <row r="100" spans="1:9" x14ac:dyDescent="0.3">
      <c r="A100" s="27"/>
      <c r="B100" s="28" t="s">
        <v>7</v>
      </c>
      <c r="C100" s="28"/>
      <c r="D100" s="27"/>
      <c r="E100" s="27"/>
      <c r="F100" s="29"/>
      <c r="G100" s="29"/>
      <c r="H100" s="31">
        <v>708176.62</v>
      </c>
      <c r="I100" s="28" t="s">
        <v>23</v>
      </c>
    </row>
  </sheetData>
  <pageMargins left="0.7" right="0.7" top="0.78740157499999996" bottom="0.78740157499999996" header="0.3" footer="0.3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"/>
  <sheetViews>
    <sheetView workbookViewId="0"/>
  </sheetViews>
  <sheetFormatPr defaultColWidth="8.77734375" defaultRowHeight="14.4" x14ac:dyDescent="0.3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List3"/>
  <dimension ref="A1"/>
  <sheetViews>
    <sheetView workbookViewId="0"/>
  </sheetViews>
  <sheetFormatPr defaultColWidth="8.77734375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milan_mac_air</dc:creator>
  <cp:lastModifiedBy>Martin Hrabcik</cp:lastModifiedBy>
  <cp:lastPrinted>2019-11-29T09:44:45Z</cp:lastPrinted>
  <dcterms:created xsi:type="dcterms:W3CDTF">2019-11-28T08:33:36Z</dcterms:created>
  <dcterms:modified xsi:type="dcterms:W3CDTF">2025-03-13T11:50:09Z</dcterms:modified>
</cp:coreProperties>
</file>