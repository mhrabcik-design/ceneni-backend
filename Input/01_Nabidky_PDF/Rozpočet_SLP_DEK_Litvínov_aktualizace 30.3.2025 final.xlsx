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5_zakázky/25005_DEK Litvínov/04_Nabídky/SLP/DEK/"/>
    </mc:Choice>
  </mc:AlternateContent>
  <xr:revisionPtr revIDLastSave="3" documentId="13_ncr:1_{EDD4EB2A-C453-4AC8-9754-6512BA61B67A}" xr6:coauthVersionLast="47" xr6:coauthVersionMax="47" xr10:uidLastSave="{CEA32532-5741-4F23-9BB8-9EFD3D03A3EA}"/>
  <bookViews>
    <workbookView xWindow="-103" yWindow="-103" windowWidth="33120" windowHeight="181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18" i="1"/>
  <c r="T138" i="1"/>
  <c r="S139" i="1"/>
  <c r="L96" i="1" l="1"/>
  <c r="M96" i="1"/>
  <c r="S96" i="1" l="1"/>
  <c r="L84" i="1" l="1"/>
  <c r="M84" i="1"/>
  <c r="L85" i="1"/>
  <c r="S85" i="1" s="1"/>
  <c r="M85" i="1"/>
  <c r="L86" i="1"/>
  <c r="M86" i="1"/>
  <c r="S86" i="1"/>
  <c r="S84" i="1" l="1"/>
  <c r="L14" i="1"/>
  <c r="M14" i="1"/>
  <c r="L15" i="1"/>
  <c r="M15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M29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M47" i="1"/>
  <c r="L48" i="1"/>
  <c r="M48" i="1"/>
  <c r="L49" i="1"/>
  <c r="M49" i="1"/>
  <c r="L50" i="1"/>
  <c r="M50" i="1"/>
  <c r="M13" i="1"/>
  <c r="L13" i="1"/>
  <c r="M12" i="1"/>
  <c r="L12" i="1"/>
  <c r="M11" i="1"/>
  <c r="L11" i="1"/>
  <c r="M132" i="1"/>
  <c r="L132" i="1"/>
  <c r="M129" i="1"/>
  <c r="L129" i="1"/>
  <c r="M128" i="1"/>
  <c r="L128" i="1"/>
  <c r="M127" i="1"/>
  <c r="L127" i="1"/>
  <c r="M126" i="1"/>
  <c r="L126" i="1"/>
  <c r="M120" i="1"/>
  <c r="L120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8" i="1"/>
  <c r="M88" i="1"/>
  <c r="L89" i="1"/>
  <c r="M89" i="1"/>
  <c r="L90" i="1"/>
  <c r="M90" i="1"/>
  <c r="L92" i="1"/>
  <c r="M92" i="1"/>
  <c r="L93" i="1"/>
  <c r="M93" i="1"/>
  <c r="L94" i="1"/>
  <c r="M94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L104" i="1"/>
  <c r="M104" i="1"/>
  <c r="L105" i="1"/>
  <c r="M105" i="1"/>
  <c r="L106" i="1"/>
  <c r="M106" i="1"/>
  <c r="L107" i="1"/>
  <c r="M107" i="1"/>
  <c r="L110" i="1"/>
  <c r="M110" i="1"/>
  <c r="L111" i="1"/>
  <c r="M111" i="1"/>
  <c r="L112" i="1"/>
  <c r="M112" i="1"/>
  <c r="L113" i="1"/>
  <c r="M113" i="1"/>
  <c r="M75" i="1"/>
  <c r="L75" i="1"/>
  <c r="M74" i="1"/>
  <c r="L74" i="1"/>
  <c r="M73" i="1"/>
  <c r="L73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G132" i="1"/>
  <c r="G131" i="1"/>
  <c r="G129" i="1"/>
  <c r="G128" i="1"/>
  <c r="G127" i="1"/>
  <c r="G126" i="1"/>
  <c r="G125" i="1"/>
  <c r="G124" i="1"/>
  <c r="G123" i="1"/>
  <c r="G122" i="1"/>
  <c r="G121" i="1"/>
  <c r="G120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66" i="1"/>
  <c r="G65" i="1"/>
  <c r="G64" i="1"/>
  <c r="G63" i="1"/>
  <c r="G62" i="1"/>
  <c r="G61" i="1"/>
  <c r="G60" i="1"/>
  <c r="G59" i="1"/>
  <c r="G58" i="1"/>
  <c r="G57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S90" i="1" l="1"/>
  <c r="S101" i="1"/>
  <c r="S78" i="1"/>
  <c r="S58" i="1"/>
  <c r="S63" i="1"/>
  <c r="S130" i="1"/>
  <c r="S113" i="1"/>
  <c r="S89" i="1"/>
  <c r="S94" i="1"/>
  <c r="S23" i="1"/>
  <c r="S107" i="1"/>
  <c r="G133" i="1"/>
  <c r="G134" i="1" s="1"/>
  <c r="S112" i="1"/>
  <c r="S100" i="1"/>
  <c r="S41" i="1"/>
  <c r="S60" i="1"/>
  <c r="S106" i="1"/>
  <c r="S102" i="1"/>
  <c r="S57" i="1"/>
  <c r="S20" i="1"/>
  <c r="S47" i="1"/>
  <c r="S29" i="1"/>
  <c r="S50" i="1"/>
  <c r="S32" i="1"/>
  <c r="S35" i="1"/>
  <c r="S38" i="1"/>
  <c r="S66" i="1"/>
  <c r="S44" i="1"/>
  <c r="S26" i="1"/>
  <c r="S14" i="1"/>
  <c r="S49" i="1"/>
  <c r="S46" i="1"/>
  <c r="S42" i="1"/>
  <c r="S37" i="1"/>
  <c r="S24" i="1"/>
  <c r="S19" i="1"/>
  <c r="S43" i="1"/>
  <c r="S25" i="1"/>
  <c r="S48" i="1"/>
  <c r="S36" i="1"/>
  <c r="S31" i="1"/>
  <c r="S18" i="1"/>
  <c r="S40" i="1"/>
  <c r="S34" i="1"/>
  <c r="S28" i="1"/>
  <c r="S22" i="1"/>
  <c r="S45" i="1"/>
  <c r="S39" i="1"/>
  <c r="S33" i="1"/>
  <c r="S27" i="1"/>
  <c r="S21" i="1"/>
  <c r="S15" i="1"/>
  <c r="S13" i="1"/>
  <c r="S12" i="1"/>
  <c r="S11" i="1"/>
  <c r="S132" i="1"/>
  <c r="S129" i="1"/>
  <c r="S128" i="1"/>
  <c r="S127" i="1"/>
  <c r="S126" i="1"/>
  <c r="S120" i="1"/>
  <c r="S110" i="1"/>
  <c r="S104" i="1"/>
  <c r="S98" i="1"/>
  <c r="S92" i="1"/>
  <c r="S79" i="1"/>
  <c r="S103" i="1"/>
  <c r="S97" i="1"/>
  <c r="S83" i="1"/>
  <c r="S76" i="1"/>
  <c r="S82" i="1"/>
  <c r="S111" i="1"/>
  <c r="S105" i="1"/>
  <c r="S99" i="1"/>
  <c r="S93" i="1"/>
  <c r="S80" i="1"/>
  <c r="S88" i="1"/>
  <c r="S81" i="1"/>
  <c r="S77" i="1"/>
  <c r="S75" i="1"/>
  <c r="S74" i="1"/>
  <c r="S73" i="1"/>
  <c r="S65" i="1"/>
  <c r="S64" i="1"/>
  <c r="S62" i="1"/>
  <c r="S61" i="1"/>
  <c r="S59" i="1"/>
  <c r="G114" i="1"/>
  <c r="G115" i="1" s="1"/>
  <c r="G67" i="1"/>
  <c r="S134" i="1" l="1"/>
  <c r="T135" i="1" s="1"/>
  <c r="S133" i="1"/>
  <c r="S136" i="1" l="1"/>
</calcChain>
</file>

<file path=xl/sharedStrings.xml><?xml version="1.0" encoding="utf-8"?>
<sst xmlns="http://schemas.openxmlformats.org/spreadsheetml/2006/main" count="454" uniqueCount="320">
  <si>
    <r>
      <t xml:space="preserve">LITVÍNOV, ULICE LOMSKÁ, PRODEJNA PRO DŮM A ZAHRADU
SO 01 - ADMINISTRATIVNÍ A SKLADOVACÍ OBJEKT
SO 02 - NAKLÁDACÍ HALA - TERMINÁL
D1.4.4 - Slaboproudé elektroinstalace 
DOKUMENTACE PRO PROVEDENÍ STAVBY </t>
    </r>
    <r>
      <rPr>
        <b/>
        <i/>
        <sz val="14"/>
        <color rgb="FFFF0000"/>
        <rFont val="Arial CE"/>
        <charset val="238"/>
      </rPr>
      <t>– REVIZE 2</t>
    </r>
  </si>
  <si>
    <t xml:space="preserve">   Tato revize 2 ruší a plně nahrazuje v celém rozsahu původní výýkaz výměr v projektovou dokumentaci ve stupni pro provedení stavby z 9/2018 (včetně přípočtů odpočtů v revizi 1 z 11/2021), jelikož  jsou investorem stanoveny nové uživatelské i technické požadavky na slaboproudé rozvody.</t>
  </si>
  <si>
    <t>No.</t>
  </si>
  <si>
    <t>Číslo položky</t>
  </si>
  <si>
    <t>Popis položky</t>
  </si>
  <si>
    <t>Počet</t>
  </si>
  <si>
    <t>Jedn. cena</t>
  </si>
  <si>
    <t>Celkem</t>
  </si>
  <si>
    <t>ks</t>
  </si>
  <si>
    <t>m</t>
  </si>
  <si>
    <t>kpl</t>
  </si>
  <si>
    <t>Sazba 21 proc.</t>
  </si>
  <si>
    <t>Rozvod univ.kabelové sítě - dodávka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</si>
  <si>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</si>
  <si>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</si>
  <si>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</si>
  <si>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</si>
  <si>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</si>
  <si>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</si>
  <si>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</si>
  <si>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</si>
  <si>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</si>
  <si>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</si>
  <si>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</si>
  <si>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</si>
  <si>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</si>
  <si>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</si>
  <si>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136811-1</t>
  </si>
  <si>
    <t>ABB,modul zásuvkový, 22,5x45, Profil 45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</si>
  <si>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</si>
  <si>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</si>
  <si>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</si>
  <si>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</si>
  <si>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</si>
  <si>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</si>
  <si>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</si>
  <si>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</si>
  <si>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</si>
  <si>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19" rozvaděč 600x600, 42U RAL 7035, skleněné dveře</t>
  </si>
  <si>
    <t>VJ19-3-T-B</t>
  </si>
  <si>
    <t xml:space="preserve">Chladící jednotka 19" 1U 3 ventilátory s bimetalovým termostatem BK </t>
  </si>
  <si>
    <t>Panel podstavce s kartáčovou lištou 600, výška 100mm, RAL7035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</si>
  <si>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</si>
  <si>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</si>
  <si>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</si>
  <si>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</si>
  <si>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</si>
  <si>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</si>
  <si>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</si>
  <si>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</si>
  <si>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</si>
  <si>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POD-07-76-80-G</t>
  </si>
  <si>
    <t>Podstavec rozvaděče LC-07+ 800x700x600, RAL 7035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</si>
  <si>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</si>
  <si>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</si>
  <si>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</si>
  <si>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</si>
  <si>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</si>
  <si>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</si>
  <si>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</si>
  <si>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</si>
  <si>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</si>
  <si>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</si>
  <si>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</si>
  <si>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</si>
  <si>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</si>
  <si>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</si>
  <si>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</si>
  <si>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</si>
  <si>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</si>
  <si>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</si>
  <si>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SXKO-MINI-4-OS-HDPE</t>
  </si>
  <si>
    <t xml:space="preserve">Zafukovací kabel 4vl 9/125 </t>
  </si>
  <si>
    <t>SXKJ-6-UTP-BK-NA</t>
  </si>
  <si>
    <t>Rychlozařezávací keystone CAT6 UTP Component Level a 4PPoE certifikace</t>
  </si>
  <si>
    <t> SXKJ-6-STP-BK-NA</t>
  </si>
  <si>
    <t>Rychlozařezávací keystone CAT6 STP</t>
  </si>
  <si>
    <t>SX24-6-UTP-BK</t>
  </si>
  <si>
    <t>19" patch panel Solarix 24 x RJ45 CAT6 UTP 350 MHz černý 1U</t>
  </si>
  <si>
    <t>SX24-6-STP-BK</t>
  </si>
  <si>
    <t>19" patch panel Solarix 24 x RJ45 CAT6 STP černý 1U</t>
  </si>
  <si>
    <t>VP-08-1-00-B</t>
  </si>
  <si>
    <t>Solarix:  Vyvazovací panel 19" 1U BK ocelový</t>
  </si>
  <si>
    <t>SXKD-6-UTP-PVC</t>
  </si>
  <si>
    <t>Instalační kabel Solarix CAT6 UTP PVC 450MHz</t>
  </si>
  <si>
    <t>SXKD-6-FTP-PE</t>
  </si>
  <si>
    <t>Instalační kabel Solarix CAT6 FTP PE Fca venkovní 500m/cívka</t>
  </si>
  <si>
    <t>C6-114GY-0,5MB</t>
  </si>
  <si>
    <t>Patch kabel CAT6 UTP PVC 0,5m šedý snag-proof</t>
  </si>
  <si>
    <t>C6-315GY-1MB</t>
  </si>
  <si>
    <t xml:space="preserve">Patch kabel CAT6 SFTP PVC 1m šedý snag-proof </t>
  </si>
  <si>
    <t>Rozvod uzavř.televizního okruhu - dodávka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</si>
  <si>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</si>
  <si>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</si>
  <si>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</si>
  <si>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</si>
  <si>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DS-2CD3346G2-ISU/SL</t>
  </si>
  <si>
    <t>IP ball kamera, 4MP, f=2.8mm, IR 40m, strobe light, WDR, VA, IP67</t>
  </si>
  <si>
    <t>DS-9664NI-M8</t>
  </si>
  <si>
    <t>NVR pro 64 IP kamer, až 32MP, HDMI, bez HDD, podpora RAID, redundantní PSU</t>
  </si>
  <si>
    <t>WD40PURX</t>
  </si>
  <si>
    <t>Přídavný HDD k rekordérům, 4TB</t>
  </si>
  <si>
    <t>HPE JL809A</t>
  </si>
  <si>
    <t>HPE Networking Instant On Switch 40p Gigabit CL4 8p Gigabit CL6 PoE 2p 10GBT 2p SFP+ 600W 1960</t>
  </si>
  <si>
    <t>HPE JL681A</t>
  </si>
  <si>
    <t>HPE Networking Instant On Switch 8p Gigabit CL4 PoE 2p SFP 124W 1930</t>
  </si>
  <si>
    <t>S0G20A</t>
  </si>
  <si>
    <t xml:space="preserve">HPE Networking Instant On 1G LX SFP LC 10km SMF Transceiver        </t>
  </si>
  <si>
    <t>SUA750RMI1U</t>
  </si>
  <si>
    <t>APC Smart-UPS 750I RM 1U black/USB</t>
  </si>
  <si>
    <t>SC450RMI1U</t>
  </si>
  <si>
    <t>APC Smart-UPS SC450RMI1U</t>
  </si>
  <si>
    <t>Rozvod e.zabezpečovací signalizace - dodávka</t>
  </si>
  <si>
    <t>GALAXYGD-520</t>
  </si>
  <si>
    <t>Ústředna až 520 zón a 32 grup v krytu bez klávesnice s komunikátorem a zdrojem</t>
  </si>
  <si>
    <t>E080-10</t>
  </si>
  <si>
    <t>TCP/IP komunikátor bez krytu pro GALAXYGD, verze dle EN norem. ISOM protokol</t>
  </si>
  <si>
    <t>G8P</t>
  </si>
  <si>
    <t>Koncentrátor v plastovém krytu pro 8 zón a 4 PGM výstupy</t>
  </si>
  <si>
    <t>GRM4</t>
  </si>
  <si>
    <t>Reléový modul se 4-mi relé</t>
  </si>
  <si>
    <t>GVM16P</t>
  </si>
  <si>
    <t xml:space="preserve">Výstupní modul v krytu s 16-ti tranzistorovými PGM výstupy </t>
  </si>
  <si>
    <t>OS365</t>
  </si>
  <si>
    <t>Zálohovaná plastová siréna venkovní 110dB/1m s majákem a akumulátorem</t>
  </si>
  <si>
    <t>SA913</t>
  </si>
  <si>
    <t>Nezálohovaná plastová vnitřní siréna 110dB/1m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</si>
  <si>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</si>
  <si>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</si>
  <si>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</si>
  <si>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</si>
  <si>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JS25 COMBO</t>
  </si>
  <si>
    <t>Kombinace PIR detektoru s dosahem 12m a detektoru tříštění skla s dosahem 9m</t>
  </si>
  <si>
    <t>LX402</t>
  </si>
  <si>
    <t>Venkovní PIR detektor, det. char. 12 m / 120°, mont. výška 2,5 m / 1,2 - 1,5 m</t>
  </si>
  <si>
    <t>A045</t>
  </si>
  <si>
    <t>Plastová krabice na povrchovou montáž klávesnic CP045/CP046</t>
  </si>
  <si>
    <t>SL-200QDP</t>
  </si>
  <si>
    <t>4-paprsková IR závora, dosah 60 m, synchronizace - 4 kanály</t>
  </si>
  <si>
    <t xml:space="preserve">SL-350QDP  </t>
  </si>
  <si>
    <t xml:space="preserve">4-paprsková IR závora, dosah 100 m, synchronizace - 4 kanály </t>
  </si>
  <si>
    <t xml:space="preserve">SL-650QDP  </t>
  </si>
  <si>
    <t xml:space="preserve">4-paprsková IR závora, dosah 200 m, synchronizace - 4 kanály </t>
  </si>
  <si>
    <t>TAKH</t>
  </si>
  <si>
    <t>Sada držáků (2 ks) pro montáž IR závor řady SL do sloupů MB/PB/TAx</t>
  </si>
  <si>
    <t>TWH24V</t>
  </si>
  <si>
    <t>Vyhřívací prvek pro sloupy TAS / TAW / TAD</t>
  </si>
  <si>
    <t>PTS</t>
  </si>
  <si>
    <t>Termostat pro řízení vyhřívacích prvků PTH24V, TWH24V a MAH24V</t>
  </si>
  <si>
    <t>Patka betonová typová pro sloupek</t>
  </si>
  <si>
    <t>TAD150</t>
  </si>
  <si>
    <t>Oboustranný sloup pro IR závory Optex &amp; Takex, montáž na patku, výška 1,5 m</t>
  </si>
  <si>
    <t>TAS-150</t>
  </si>
  <si>
    <t>Jednostranný sloup pro IR závory Optex &amp; Takex, montáž na patku, výška 1,5 m</t>
  </si>
  <si>
    <t>KSK 100</t>
  </si>
  <si>
    <t>krabice v uzavřeném provedení (plastová) s IP krytím 66</t>
  </si>
  <si>
    <t>Kabelové průchodky do krabice IP66</t>
  </si>
  <si>
    <t>J241</t>
  </si>
  <si>
    <t>Plastová propojovací krabice, 24+2 šroubovací svorky, s větší výškou</t>
  </si>
  <si>
    <t>MAS333</t>
  </si>
  <si>
    <t>Mag. kontakt závrtný čtyřdrátový s pracovní mezerou 16 mm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</si>
  <si>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</si>
  <si>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</si>
  <si>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</si>
  <si>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</si>
  <si>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</si>
  <si>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</si>
  <si>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UNIPOWER MINI/K</t>
  </si>
  <si>
    <t>Spínaný zdroj v kovovém krytu 13,8 Vss / 3A s výstupy a odpojovačem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</si>
  <si>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</si>
  <si>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</si>
  <si>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</si>
  <si>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</si>
  <si>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</si>
  <si>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</si>
  <si>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</si>
  <si>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</si>
  <si>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</si>
  <si>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KEV.000.1150</t>
  </si>
  <si>
    <t>CYKY 2AX2,5</t>
  </si>
  <si>
    <t>Univerzální bezdrátový přijímač v krytu se třemi výstupy</t>
  </si>
  <si>
    <t xml:space="preserve">Plastový box IP66 s kabel.průchodkami pro přijímač a diody 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</si>
  <si>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</si>
  <si>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</si>
  <si>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</si>
  <si>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</si>
  <si>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RK700PR</t>
  </si>
  <si>
    <t>Odchodový PIR detektor</t>
  </si>
  <si>
    <t>CP045-00</t>
  </si>
  <si>
    <t xml:space="preserve">Klávesnice s dotykovým displejem, zápustná montáž, pokročilé uživatelské menu </t>
  </si>
  <si>
    <t>Rozvod místního rozhlasu - dodávka</t>
  </si>
  <si>
    <t>KEV.000.1100</t>
  </si>
  <si>
    <t>CYKY 4BX1,5</t>
  </si>
  <si>
    <t>Systémová kabeláž</t>
  </si>
  <si>
    <t>Systémové konektory</t>
  </si>
  <si>
    <t>Pomocný instalační materiál</t>
  </si>
  <si>
    <t>Ostatní drobný instlalační materiál</t>
  </si>
  <si>
    <t>Další drobné kabeláže</t>
  </si>
  <si>
    <t>RPT 83Z 
(Dexon)</t>
  </si>
  <si>
    <t>Závěsná reprosoustava 10 W / 100 V, 150 – 15 000 Hz, 92 dB, Ø 194 × 170 mm</t>
  </si>
  <si>
    <t>RPT 94 
(Dexon)</t>
  </si>
  <si>
    <t>Podhledový reproduktor, plastový koš, kovová mřížka, 6 W / 100 V, 90 dB, 90 – 20 000 Hz, Ø 187 mm</t>
  </si>
  <si>
    <t>JPA 1504</t>
  </si>
  <si>
    <t>Rozhlasová ústředna s internetovým rádiem
1 mic + 3 mic/line + 2 line + 1 emg vstupy, 6 zón, 500 W, priorita, přehrávač MP3, SD + USB čtečka, FM tuner, Bluetooth, IR dálkové ovládání, směrovatelné hlášení pomocí mikrofonu PA 115, technologie Smart Audio: WiFi, LAN, internetová rádia, přehrávání z lokální sítě, z internetu, smartphonu, tabletu, počítače, DLNA, AirPlay, UpnP, Spotify, Tune-In, I-Heart Radio, Napster, Deezer, streamovací aplikace jakékoliv a zdarma, vysoká účinnost, kvalitní . 6 zón i internetové rá­dio</t>
  </si>
  <si>
    <t xml:space="preserve">Konektor JACK 3,5 stereo </t>
  </si>
  <si>
    <t>Zásuvka JACK 3,5 stereo - design dle zásuvek rozvodu NN</t>
  </si>
  <si>
    <t>Koaxiální kabel</t>
  </si>
  <si>
    <t>Kód</t>
  </si>
  <si>
    <t>kód Agenda</t>
  </si>
  <si>
    <t>název</t>
  </si>
  <si>
    <t>Množství</t>
  </si>
  <si>
    <t>MJ</t>
  </si>
  <si>
    <t>Ceníková cena za MJ</t>
  </si>
  <si>
    <t>Sleva</t>
  </si>
  <si>
    <t>Cena po slevě za MJ</t>
  </si>
  <si>
    <t>Recyklační poplatek</t>
  </si>
  <si>
    <t>Cena celkem bez DPH</t>
  </si>
  <si>
    <t>HAGER Nosná deska 2nás.pro Commscope-Systimax mod.konektory Cat.5, Cat.6</t>
  </si>
  <si>
    <t>HAGER Rámeček 1nás BERKER S1 bílá/lesk</t>
  </si>
  <si>
    <t>HAGER Centrální díl s protiprachovou ochranou a popis.polem Berker S.1/B.x, bílá, lesk</t>
  </si>
  <si>
    <t>HAGER Rámeček 1nás BERKER Q.3 bílá/samet</t>
  </si>
  <si>
    <t>HAGER Centrální díl pro nosnou desku 2-nás, Berker Q.x, bílá sametová</t>
  </si>
  <si>
    <t>ABB Modul zásuvk. 22,5x45 záclonka PROFIL 45 bílá</t>
  </si>
  <si>
    <t>Jednotka elektrického vytápění pro LC-07 a LC-07+ RAL 7035</t>
  </si>
  <si>
    <t>Termostatická jednotka 1U bimetalová pro chlazení RAL 7035 do 19" lišt</t>
  </si>
  <si>
    <t>Termostatická jednotka 1U bimetalová pro topení RAL 7035 do 19" lišt</t>
  </si>
  <si>
    <t>Rozvaděč termoizolovaný LC-07+, 24U 700x600, RAL 7035 ventilace v obou bočnicích</t>
  </si>
  <si>
    <t>Chladící jednotka 19" 1U 3 větráky s bimetalovým termostatem BK do 19" lišt</t>
  </si>
  <si>
    <t>Rozvaděč LC-50 42U;600x600 RAL7035,skleněné dveře</t>
  </si>
  <si>
    <t>Univerzální sada rohů podstavců v.100mm vč. montážní sady RAL7035</t>
  </si>
  <si>
    <t>Napájecí panel ACAR S8 FA 3m 8 pozic vč.držáků</t>
  </si>
  <si>
    <t>Police 19" 1U 450mm, pevná BK úchyt na př. i z. lišty UP-14</t>
  </si>
  <si>
    <t>ceníme alternativu UP-14 (přidáno k řádku výše)</t>
  </si>
  <si>
    <t>mikrotrubička HDPE - OD - DB - 12 - 08 - BU</t>
  </si>
  <si>
    <t>Vana optická 19" 1U BK;výs.šuplík bez čela v2 FOS2-1U-B</t>
  </si>
  <si>
    <t>Čelo opt.vany 1U pro 12 SC simplex BK;mont.otv.v2 FP2-1U-12SCS-B</t>
  </si>
  <si>
    <t>Ochrana sváru Solarix 2.2 x 60mm SXOS-60</t>
  </si>
  <si>
    <t>Optická kazeta pro 24 svárů SXOK-24</t>
  </si>
  <si>
    <t>Adaptér LC SM OS duplex SXAD-LC-PC-OS-D</t>
  </si>
  <si>
    <t>Optický pigtail 9/125 LCupc SM OS 1,5m SXPI-LC-UPC-OS-1,5M</t>
  </si>
  <si>
    <t>Patch kabel 9/125 LCupc/LCupc 1m SXPC-LC/LC-UPC-OS-1M-D</t>
  </si>
  <si>
    <t>Patch kabel 9/125 LCupc/LCupc 2m SXPC-LC/LC-UPC-OS-2M-D</t>
  </si>
  <si>
    <t>Zafukovací kabel MINI Solarix 4vl 9/125 HDPE Fca černý SXKO-MINI-4-OS-HDPE</t>
  </si>
  <si>
    <t>Keystone SOLARIX CAT6 UTP RJ45 černý pro kleště  SXKJ-NA-BU</t>
  </si>
  <si>
    <t>Keystone Solarix CAT6 STP RJ45 černý SXKJ-6-STP-BK-NA pro kleště SXKJ-NA-BU</t>
  </si>
  <si>
    <t>NOVÝ Patch panel Solarix 24 x RJ45 CAT6 UTP s vyv. lištou 1U SX24L-6-UTP-BK-N</t>
  </si>
  <si>
    <t>Patch panel SOLARIX 19";24xRJ45 CAT6 STP 1U</t>
  </si>
  <si>
    <t>Vyvazovací panel 19";1U BK ocelový VP-08</t>
  </si>
  <si>
    <t>Instal.kabel UTP Solarix CAT6 PVC 305m/box</t>
  </si>
  <si>
    <t>Venk.instal.kabel FTP Solarix CAT6 PE 500m</t>
  </si>
  <si>
    <t>Patch kabel CAT6 UTP 0,5m snag C6-114GY-0,5MB</t>
  </si>
  <si>
    <t>Patch kabel CAT6 SFTP 1m snag C6-315GY-1MB</t>
  </si>
  <si>
    <t>Instal.kabel FTP Solarix CAT5E PVC 305m/box</t>
  </si>
  <si>
    <t>HIKVISION 4MPix IP Bullet AcuSense kamera; IR 60m, Audio, Alarm, IK10</t>
  </si>
  <si>
    <t>HIKVISION 8MPix IP Bullet AcuSense kamera; IR 60m, Audio, Alarm, IP66, IK10</t>
  </si>
  <si>
    <t>DS-2CD3346G2-ISU</t>
  </si>
  <si>
    <t>HIKVISION 4MPix IP Bullet AcuSense Turret kamera; IR 40m, Audio, Mikrofon, Alarm, IP67, IK10</t>
  </si>
  <si>
    <t>HIKVISION 64 kanálový NVR pro IP kamery (400Mb/400Mb); 8K, 8xHDD, RAID, Alarm I/O</t>
  </si>
  <si>
    <t>Western Digital PURPLE 4TB 256MB</t>
  </si>
  <si>
    <t>HDD 4TB WD43PURZ</t>
  </si>
  <si>
    <t>RPT 83Z závěsná reprosoustava</t>
  </si>
  <si>
    <t>RPT 94 podhledový reproduktor</t>
  </si>
  <si>
    <t>JPA 1504 rozhlasová ústředna</t>
  </si>
  <si>
    <t>Jack 3.5 stereo on kabel</t>
  </si>
  <si>
    <t>Dopravné a balné, základní sazba</t>
  </si>
  <si>
    <t>EMOS Kabel koaxiální CB100F (100m/bal)</t>
  </si>
  <si>
    <t>JL809A</t>
  </si>
  <si>
    <t>JL681A</t>
  </si>
  <si>
    <t>HPE Networking Instant On 1G LX SFP LC 10km SMF Transceiver</t>
  </si>
  <si>
    <t>Kabel CYKY-J 4x1,5 RE (v metráži)</t>
  </si>
  <si>
    <t>GALAXY GD-520   Ústředna EZS, až 520 zón, 32 podsystémů</t>
  </si>
  <si>
    <t>E080-10   TCP/IP komunikátor bez krytu pro GALAXYGD, verze dle EN norem. ISOM protokol</t>
  </si>
  <si>
    <t>G8P (CP072)   Rozšiřovací modul 8sm., 4 výstupy pro Galaxy</t>
  </si>
  <si>
    <t>GRM4   Volitelný reléový modul pro posílení proudové zatížitelnosti výstu</t>
  </si>
  <si>
    <t>GVM16P   Výstupní modul s 16 pgm</t>
  </si>
  <si>
    <t>OS-365A   J-Venkovní záloh. magnetodynamická siréna včetně NiCd akumulátoru</t>
  </si>
  <si>
    <t>SA-913   J-Interiérová piezosiréna, bílý plast</t>
  </si>
  <si>
    <t>CAPTURE-Q20   PIR detektor, QUAD sensor, dosah 20m, vestavěné EOL rezistory, volitelné PET, st.2</t>
  </si>
  <si>
    <t>PRESTIGE DRŽÁK   Držák pro detektory Prestige na strop i stěnu</t>
  </si>
  <si>
    <t>JS-25   J-PIR detektor kombinovaný s akustickým detektorem</t>
  </si>
  <si>
    <t>LX-402   DETEKTOR OPTEX PIR LX-402 venkov.</t>
  </si>
  <si>
    <t>SL-200QDP   4-paprsková IR závora, dosah 60 m, synchronizace - 4 kanály</t>
  </si>
  <si>
    <t>SL-350QDP   4-paprsková IR závora, dosah 100 m, synchronizace - 4 kanály</t>
  </si>
  <si>
    <t>PTSSL   Konzole pro instalaci Optex závor řady SL do sloupů Bunker</t>
  </si>
  <si>
    <t>PTH24V   Vyhřívání pro sloupy CBIS, CBIP a CBID, 24V napájení.</t>
  </si>
  <si>
    <t>PTS   Termostat pro sloupy CBIS, CBIP a CBID, CAV  a MALTA.</t>
  </si>
  <si>
    <t>CBID150   Oboustranný sloup s mont. na zem, výška 1,5 m</t>
  </si>
  <si>
    <t>CBIS150   Jednostranný sloup s mont. na zem, výška 1,5 m</t>
  </si>
  <si>
    <t>MAS 333   MAGNETICKÝ KONTAKT PRO ZÁPUST. MONTÁŽ, ROZSAH 0-22 MM,STD.3M KABEL</t>
  </si>
  <si>
    <t>HPSG2-24V3A-C  Zálohovací zdroj HPSG2-24V3A, prostor pro akumulátor 2x18 Ah</t>
  </si>
  <si>
    <t>18 AH (CGB)   AKUMULÁTOR 18Ah, životnost až 10 let</t>
  </si>
  <si>
    <t>AWZG2-12V3A-C   Zálohovaný napájecí zdroj 12V/3A s transformátorem s technickými výstupy, 13.8V/3A/17Ah/OC</t>
  </si>
  <si>
    <t>IPS24160G  Zdroj 24V/5A pro EPS bez skříně</t>
  </si>
  <si>
    <t>JUMBO LED BZ G   OPTICKÁ LED SIGNALIZACE, ZELENÁ LED, S BZUČÁKEM, 12V</t>
  </si>
  <si>
    <t>JUMBO LED BZ   OPTICKÁ LED SIGNALIZACE, ČERVENÁ LED, S BZUČÁKEM, 12V</t>
  </si>
  <si>
    <t>MICROSWITCH   Mechanický mikrospínač s přepínacím kontaktem</t>
  </si>
  <si>
    <t>RK700PR   Odchodový PIR detektor, který nahrazuje funkci stisknutí odchodového tlačítka REX při odchodu z budovy s přístupovým systémem</t>
  </si>
  <si>
    <t>CP050   Klávesnice MK8 pro systém Galaxy</t>
  </si>
  <si>
    <t>SMT750RMI2UC</t>
  </si>
  <si>
    <t>Smart-UPS, 750VA, montáž do stojanu 2U</t>
  </si>
  <si>
    <t>Záložní zdroj APC Smart-UPS SC 450 VA Ra</t>
  </si>
  <si>
    <t>nevyrábí se</t>
  </si>
  <si>
    <t>Krabice s krytím IP66, PP, KSK 100 KA</t>
  </si>
  <si>
    <t>JB-104 WH</t>
  </si>
  <si>
    <t>montážní krabička na omítku, 24 šroubovacích svorek, bílá barva</t>
  </si>
  <si>
    <t>Kabel SYKFY 3x2x0,5 (v metráži)</t>
  </si>
  <si>
    <t>Sdělovací kabel TCEPKPFLE 3 x 4 x 0,8</t>
  </si>
  <si>
    <t>Kabel JYTY-O 4x1 (v metráži)</t>
  </si>
  <si>
    <t>Kabel CYKY-O 2x2,5 RE</t>
  </si>
  <si>
    <t>cena celkem bez DPH</t>
  </si>
  <si>
    <t>Poznámka:</t>
  </si>
  <si>
    <t>Cenová nabídka je platná jako celek. V případě vyjmutí či změně zboží je třeba cenovou nabídku aktualizovat.</t>
  </si>
  <si>
    <t>Před objednáním je potřeba odsouhlasit s investorem/s projektantem.</t>
  </si>
  <si>
    <t>Finální výše recyklačního poplatku ve faktuře se může lišit/případně může být doúčtována.</t>
  </si>
  <si>
    <t>Doprava bude účtována dle skutečných nákladů.</t>
  </si>
  <si>
    <t xml:space="preserve">HPE Networking Instant On Switch 40p Gigabit CL4 8p Gigabit CL6 PoE
2p 10GBT 2p SFP+ 600W 1960 </t>
  </si>
  <si>
    <t>EZS nová cena</t>
  </si>
  <si>
    <t>EZS stará cena</t>
  </si>
  <si>
    <t>nová cena video</t>
  </si>
  <si>
    <t>stará cena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</si>
</sst>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.00\ &quot;Kč&quot;"/>
    <numFmt numFmtId="166" formatCode="0\ %"/>
    <numFmt numFmtId="167" formatCode="_-* #,##0.00\ [$Kč-405]_-;\-* #,##0.00\ [$Kč-405]_-;_-* \-??\ [$Kč-405]_-;_-@_-"/>
    <numFmt numFmtId="168" formatCode="_-* #,##0.00\ [$Kč-405]_-;\-* #,##0.00\ [$Kč-405]_-;_-* &quot;-&quot;??\ [$Kč-405]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i/>
      <sz val="10"/>
      <name val="Times New Roman CE"/>
      <family val="1"/>
      <charset val="238"/>
    </font>
    <font>
      <sz val="9"/>
      <name val="Arial CE"/>
      <charset val="238"/>
    </font>
    <font>
      <sz val="10"/>
      <name val="Arial CE"/>
      <charset val="238"/>
    </font>
    <font>
      <b/>
      <i/>
      <sz val="14"/>
      <name val="Arial CE"/>
      <family val="2"/>
      <charset val="238"/>
    </font>
    <font>
      <b/>
      <i/>
      <sz val="14"/>
      <color rgb="FFFF0000"/>
      <name val="Arial CE"/>
      <charset val="238"/>
    </font>
    <font>
      <b/>
      <sz val="10"/>
      <color rgb="FFFF0000"/>
      <name val="Arial CE"/>
      <charset val="238"/>
    </font>
    <font>
      <b/>
      <sz val="12"/>
      <name val="Arial CE"/>
      <family val="2"/>
      <charset val="238"/>
    </font>
    <font>
      <sz val="9"/>
      <name val="Arial CE"/>
      <family val="2"/>
      <charset val="238"/>
    </font>
    <font>
      <b/>
      <sz val="11"/>
      <name val="Arial CE"/>
      <family val="2"/>
      <charset val="238"/>
    </font>
    <font>
      <sz val="11"/>
      <name val="Arial CE"/>
      <family val="2"/>
      <charset val="238"/>
    </font>
    <font>
      <b/>
      <sz val="10"/>
      <name val="Arial CE"/>
      <family val="2"/>
      <charset val="238"/>
    </font>
    <font>
      <sz val="10"/>
      <name val="Arial CE"/>
      <family val="2"/>
      <charset val="238"/>
    </font>
    <font>
      <b/>
      <sz val="10"/>
      <color rgb="FF0070C0"/>
      <name val="Arial CE"/>
      <charset val="238"/>
    </font>
    <font>
      <sz val="11"/>
      <color theme="1"/>
      <name val="Calibri"/>
      <family val="2"/>
      <scheme val="minor"/>
    </font>
    <font>
      <b/>
      <sz val="8"/>
      <name val="Arial Narrow"/>
      <family val="2"/>
      <charset val="238"/>
    </font>
    <font>
      <b/>
      <sz val="10"/>
      <color indexed="8"/>
      <name val="Arial"/>
      <family val="2"/>
      <charset val="238"/>
    </font>
    <font>
      <sz val="8"/>
      <name val="Arial Narrow"/>
      <family val="2"/>
      <charset val="238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8"/>
      <name val="Calibri"/>
      <family val="2"/>
      <scheme val="minor"/>
    </font>
    <font>
      <sz val="8"/>
      <color rgb="FF000000"/>
      <name val="Calibri"/>
      <family val="2"/>
      <charset val="238"/>
    </font>
    <font>
      <sz val="8"/>
      <color rgb="FFFF0000"/>
      <name val="Arial Narrow"/>
      <family val="2"/>
      <charset val="238"/>
    </font>
    <font>
      <b/>
      <sz val="10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3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3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9" fontId="15" fillId="0" borderId="0" applyFont="0" applyFill="0" applyBorder="0" applyAlignment="0" applyProtection="0"/>
    <xf numFmtId="0" fontId="17" fillId="0" borderId="0"/>
    <xf numFmtId="0" fontId="19" fillId="0" borderId="0"/>
    <xf numFmtId="0" fontId="19" fillId="0" borderId="0"/>
    <xf numFmtId="0" fontId="20" fillId="0" borderId="0"/>
    <xf numFmtId="0" fontId="1" fillId="0" borderId="0"/>
    <xf numFmtId="0" fontId="22" fillId="0" borderId="0"/>
  </cellStyleXfs>
  <cellXfs count="114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164" fontId="3" fillId="0" borderId="1" xfId="0" applyNumberFormat="1" applyFont="1" applyBorder="1"/>
    <xf numFmtId="164" fontId="0" fillId="0" borderId="0" xfId="0" applyNumberFormat="1"/>
    <xf numFmtId="0" fontId="8" fillId="0" borderId="0" xfId="0" applyFont="1"/>
    <xf numFmtId="0" fontId="0" fillId="0" borderId="0" xfId="0" applyAlignment="1">
      <alignment vertical="center"/>
    </xf>
    <xf numFmtId="164" fontId="3" fillId="0" borderId="0" xfId="0" applyNumberFormat="1" applyFont="1"/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0" fillId="0" borderId="2" xfId="0" applyBorder="1"/>
    <xf numFmtId="0" fontId="10" fillId="0" borderId="2" xfId="0" applyFont="1" applyBorder="1"/>
    <xf numFmtId="0" fontId="9" fillId="0" borderId="2" xfId="0" applyFont="1" applyBorder="1" applyAlignment="1">
      <alignment vertical="center"/>
    </xf>
    <xf numFmtId="0" fontId="11" fillId="0" borderId="2" xfId="0" applyFont="1" applyBorder="1"/>
    <xf numFmtId="164" fontId="3" fillId="0" borderId="2" xfId="0" applyNumberFormat="1" applyFont="1" applyBorder="1"/>
    <xf numFmtId="165" fontId="10" fillId="0" borderId="2" xfId="0" applyNumberFormat="1" applyFont="1" applyBorder="1"/>
    <xf numFmtId="0" fontId="0" fillId="0" borderId="0" xfId="0" applyAlignment="1">
      <alignment horizontal="right"/>
    </xf>
    <xf numFmtId="0" fontId="12" fillId="0" borderId="0" xfId="0" applyFont="1"/>
    <xf numFmtId="0" fontId="13" fillId="0" borderId="0" xfId="0" applyFont="1"/>
    <xf numFmtId="165" fontId="12" fillId="0" borderId="0" xfId="0" applyNumberFormat="1" applyFont="1"/>
    <xf numFmtId="0" fontId="9" fillId="4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2" fontId="3" fillId="3" borderId="0" xfId="0" applyNumberFormat="1" applyFont="1" applyFill="1" applyAlignment="1">
      <alignment vertical="center" wrapText="1"/>
    </xf>
    <xf numFmtId="2" fontId="0" fillId="0" borderId="0" xfId="0" applyNumberFormat="1" applyAlignment="1">
      <alignment vertical="center"/>
    </xf>
    <xf numFmtId="2" fontId="3" fillId="5" borderId="0" xfId="0" applyNumberFormat="1" applyFont="1" applyFill="1" applyAlignment="1">
      <alignment vertical="center" wrapText="1"/>
    </xf>
    <xf numFmtId="0" fontId="3" fillId="6" borderId="0" xfId="0" applyFont="1" applyFill="1" applyAlignment="1">
      <alignment vertical="center"/>
    </xf>
    <xf numFmtId="1" fontId="9" fillId="0" borderId="0" xfId="0" applyNumberFormat="1" applyFont="1" applyAlignment="1">
      <alignment vertical="center"/>
    </xf>
    <xf numFmtId="2" fontId="3" fillId="6" borderId="0" xfId="0" applyNumberFormat="1" applyFont="1" applyFill="1" applyAlignment="1">
      <alignment vertical="center" wrapText="1"/>
    </xf>
    <xf numFmtId="2" fontId="9" fillId="0" borderId="0" xfId="0" applyNumberFormat="1" applyFont="1" applyAlignment="1">
      <alignment vertical="center"/>
    </xf>
    <xf numFmtId="2" fontId="3" fillId="2" borderId="0" xfId="0" applyNumberFormat="1" applyFont="1" applyFill="1" applyAlignment="1">
      <alignment vertical="center" wrapText="1"/>
    </xf>
    <xf numFmtId="2" fontId="3" fillId="7" borderId="0" xfId="0" applyNumberFormat="1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9" fillId="5" borderId="0" xfId="0" applyFont="1" applyFill="1" applyAlignment="1">
      <alignment vertical="center"/>
    </xf>
    <xf numFmtId="0" fontId="3" fillId="8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 wrapText="1"/>
    </xf>
    <xf numFmtId="3" fontId="3" fillId="0" borderId="0" xfId="0" applyNumberFormat="1" applyFont="1" applyAlignment="1">
      <alignment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vertical="center" wrapText="1"/>
    </xf>
    <xf numFmtId="0" fontId="0" fillId="0" borderId="2" xfId="0" applyBorder="1" applyAlignment="1">
      <alignment vertical="center"/>
    </xf>
    <xf numFmtId="0" fontId="16" fillId="3" borderId="3" xfId="0" applyFont="1" applyFill="1" applyBorder="1" applyAlignment="1">
      <alignment horizontal="center" vertical="center" wrapText="1"/>
    </xf>
    <xf numFmtId="4" fontId="16" fillId="3" borderId="3" xfId="0" applyNumberFormat="1" applyFont="1" applyFill="1" applyBorder="1" applyAlignment="1">
      <alignment horizontal="center" vertical="center" wrapText="1"/>
    </xf>
    <xf numFmtId="9" fontId="16" fillId="3" borderId="3" xfId="2" applyFont="1" applyFill="1" applyBorder="1" applyAlignment="1">
      <alignment horizontal="center" vertical="center" wrapText="1"/>
    </xf>
    <xf numFmtId="0" fontId="18" fillId="0" borderId="3" xfId="3" applyFont="1" applyBorder="1"/>
    <xf numFmtId="1" fontId="18" fillId="0" borderId="3" xfId="3" applyNumberFormat="1" applyFont="1" applyBorder="1"/>
    <xf numFmtId="4" fontId="18" fillId="0" borderId="3" xfId="3" applyNumberFormat="1" applyFont="1" applyBorder="1"/>
    <xf numFmtId="166" fontId="18" fillId="0" borderId="3" xfId="0" applyNumberFormat="1" applyFont="1" applyBorder="1" applyAlignment="1">
      <alignment horizontal="center"/>
    </xf>
    <xf numFmtId="167" fontId="16" fillId="0" borderId="3" xfId="0" applyNumberFormat="1" applyFont="1" applyBorder="1"/>
    <xf numFmtId="167" fontId="18" fillId="0" borderId="3" xfId="0" applyNumberFormat="1" applyFont="1" applyBorder="1"/>
    <xf numFmtId="0" fontId="18" fillId="0" borderId="3" xfId="0" applyFont="1" applyBorder="1"/>
    <xf numFmtId="0" fontId="18" fillId="0" borderId="3" xfId="0" applyFont="1" applyBorder="1" applyAlignment="1">
      <alignment vertical="center"/>
    </xf>
    <xf numFmtId="0" fontId="23" fillId="10" borderId="3" xfId="0" applyFont="1" applyFill="1" applyBorder="1" applyAlignment="1">
      <alignment horizontal="center"/>
    </xf>
    <xf numFmtId="0" fontId="18" fillId="0" borderId="3" xfId="0" applyFont="1" applyBorder="1" applyAlignment="1">
      <alignment wrapText="1"/>
    </xf>
    <xf numFmtId="0" fontId="18" fillId="11" borderId="0" xfId="0" applyFont="1" applyFill="1" applyAlignment="1">
      <alignment horizontal="center"/>
    </xf>
    <xf numFmtId="0" fontId="16" fillId="11" borderId="0" xfId="0" applyFont="1" applyFill="1" applyAlignment="1">
      <alignment horizontal="right"/>
    </xf>
    <xf numFmtId="167" fontId="16" fillId="11" borderId="0" xfId="0" applyNumberFormat="1" applyFont="1" applyFill="1"/>
    <xf numFmtId="0" fontId="18" fillId="0" borderId="0" xfId="0" applyFont="1"/>
    <xf numFmtId="0" fontId="24" fillId="0" borderId="0" xfId="0" applyFont="1"/>
    <xf numFmtId="0" fontId="18" fillId="12" borderId="3" xfId="3" applyFont="1" applyFill="1" applyBorder="1"/>
    <xf numFmtId="1" fontId="18" fillId="12" borderId="3" xfId="3" applyNumberFormat="1" applyFont="1" applyFill="1" applyBorder="1"/>
    <xf numFmtId="4" fontId="18" fillId="12" borderId="3" xfId="3" applyNumberFormat="1" applyFont="1" applyFill="1" applyBorder="1"/>
    <xf numFmtId="166" fontId="18" fillId="12" borderId="3" xfId="0" applyNumberFormat="1" applyFont="1" applyFill="1" applyBorder="1" applyAlignment="1">
      <alignment horizontal="center"/>
    </xf>
    <xf numFmtId="167" fontId="16" fillId="12" borderId="3" xfId="0" applyNumberFormat="1" applyFont="1" applyFill="1" applyBorder="1"/>
    <xf numFmtId="167" fontId="18" fillId="12" borderId="3" xfId="0" applyNumberFormat="1" applyFont="1" applyFill="1" applyBorder="1"/>
    <xf numFmtId="0" fontId="18" fillId="12" borderId="3" xfId="0" applyFont="1" applyFill="1" applyBorder="1"/>
    <xf numFmtId="3" fontId="18" fillId="13" borderId="3" xfId="3" applyNumberFormat="1" applyFont="1" applyFill="1" applyBorder="1"/>
    <xf numFmtId="1" fontId="18" fillId="13" borderId="3" xfId="3" applyNumberFormat="1" applyFont="1" applyFill="1" applyBorder="1"/>
    <xf numFmtId="4" fontId="18" fillId="13" borderId="3" xfId="3" applyNumberFormat="1" applyFont="1" applyFill="1" applyBorder="1"/>
    <xf numFmtId="166" fontId="18" fillId="13" borderId="3" xfId="0" applyNumberFormat="1" applyFont="1" applyFill="1" applyBorder="1" applyAlignment="1">
      <alignment horizontal="center"/>
    </xf>
    <xf numFmtId="167" fontId="16" fillId="13" borderId="3" xfId="0" applyNumberFormat="1" applyFont="1" applyFill="1" applyBorder="1"/>
    <xf numFmtId="167" fontId="18" fillId="13" borderId="3" xfId="0" applyNumberFormat="1" applyFont="1" applyFill="1" applyBorder="1"/>
    <xf numFmtId="0" fontId="18" fillId="13" borderId="3" xfId="0" applyFont="1" applyFill="1" applyBorder="1"/>
    <xf numFmtId="0" fontId="0" fillId="13" borderId="0" xfId="0" applyFill="1"/>
    <xf numFmtId="0" fontId="18" fillId="13" borderId="3" xfId="3" applyFont="1" applyFill="1" applyBorder="1"/>
    <xf numFmtId="2" fontId="18" fillId="13" borderId="3" xfId="5" applyNumberFormat="1" applyFont="1" applyFill="1" applyBorder="1"/>
    <xf numFmtId="4" fontId="18" fillId="13" borderId="3" xfId="3" applyNumberFormat="1" applyFont="1" applyFill="1" applyBorder="1" applyAlignment="1">
      <alignment wrapText="1"/>
    </xf>
    <xf numFmtId="0" fontId="18" fillId="13" borderId="3" xfId="0" applyFont="1" applyFill="1" applyBorder="1" applyAlignment="1">
      <alignment vertical="center"/>
    </xf>
    <xf numFmtId="0" fontId="4" fillId="14" borderId="0" xfId="1" applyFill="1"/>
    <xf numFmtId="0" fontId="4" fillId="14" borderId="0" xfId="1" applyFill="1" applyAlignment="1">
      <alignment horizontal="right"/>
    </xf>
    <xf numFmtId="167" fontId="16" fillId="15" borderId="0" xfId="0" applyNumberFormat="1" applyFont="1" applyFill="1"/>
    <xf numFmtId="0" fontId="4" fillId="16" borderId="0" xfId="1" applyFill="1"/>
    <xf numFmtId="0" fontId="4" fillId="16" borderId="0" xfId="1" applyFill="1" applyAlignment="1">
      <alignment horizontal="right"/>
    </xf>
    <xf numFmtId="167" fontId="16" fillId="17" borderId="0" xfId="0" applyNumberFormat="1" applyFont="1" applyFill="1"/>
    <xf numFmtId="10" fontId="4" fillId="0" borderId="0" xfId="2" applyNumberFormat="1" applyFont="1"/>
    <xf numFmtId="166" fontId="18" fillId="18" borderId="3" xfId="0" applyNumberFormat="1" applyFont="1" applyFill="1" applyBorder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167" fontId="16" fillId="19" borderId="0" xfId="0" applyNumberFormat="1" applyFont="1" applyFill="1"/>
    <xf numFmtId="168" fontId="0" fillId="0" borderId="0" xfId="0" applyNumberFormat="1"/>
    <xf numFmtId="0" fontId="5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0" xfId="0"/>
  </cellXfs>
  <cellStyles count="9">
    <cellStyle name="Normální" xfId="0" builtinId="0"/>
    <cellStyle name="Normální 2" xfId="1" xr:uid="{4DEEB9E2-2D7C-4384-99A3-5F9042A0677E}"/>
    <cellStyle name="Normální 3" xfId="3" xr:uid="{67E4550D-9439-4797-BFC0-E43995F1ABB0}"/>
    <cellStyle name="Normální 4" xfId="4" xr:uid="{BD324C17-954E-4C4D-9FD3-24F432B54906}"/>
    <cellStyle name="Normální 5" xfId="6" xr:uid="{4A07440D-0BD1-4868-B7EB-58B45F9B271D}"/>
    <cellStyle name="Normální 6" xfId="7" xr:uid="{C1AF2CAA-6CAF-4A41-92EA-C7DE86987CFB}"/>
    <cellStyle name="Normální 7" xfId="5" xr:uid="{2FB1FFD1-CEC7-4AD6-BF6F-764B2533C5DD}"/>
    <cellStyle name="Normální 8" xfId="8" xr:uid="{7C33B4E5-176D-4F21-9993-B4E4F3294B8F}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.com/cz/cs/product/SC450RMI1U" TargetMode="External"/><Relationship Id="rId1" Type="http://schemas.openxmlformats.org/officeDocument/2006/relationships/hyperlink" Target="https://www.se.com/cz/cs/product/SMT750RMI2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3"/>
  <sheetViews>
    <sheetView tabSelected="1" topLeftCell="H1" zoomScale="160" zoomScaleNormal="160" workbookViewId="0">
      <pane ySplit="1" topLeftCell="A2" activePane="bottomLeft" state="frozen"/>
      <selection pane="bottomLeft" activeCell="K146" sqref="K146"/>
    </sheetView>
  </sheetViews>
  <sheetFormatPr defaultRowHeight="14.6" outlineLevelCol="1" x14ac:dyDescent="0.4"/>
  <cols>
    <col min="1" max="1" width="3.15234375" bestFit="1" customWidth="1"/>
    <col min="2" max="2" width="21.53515625" bestFit="1" customWidth="1"/>
    <col min="3" max="3" width="62.3046875" bestFit="1" customWidth="1"/>
    <col min="4" max="4" width="5.3046875" style="7" bestFit="1" customWidth="1" outlineLevel="1"/>
    <col min="5" max="5" width="4.84375" bestFit="1" customWidth="1" outlineLevel="1"/>
    <col min="6" max="6" width="8.53515625" style="8" bestFit="1" customWidth="1" outlineLevel="1"/>
    <col min="7" max="7" width="14" bestFit="1" customWidth="1" outlineLevel="1"/>
    <col min="9" max="9" width="16.84375" customWidth="1"/>
    <col min="11" max="11" width="48.3828125" customWidth="1"/>
    <col min="16" max="16" width="9.69140625" customWidth="1"/>
    <col min="19" max="19" width="12.3046875" customWidth="1"/>
    <col min="20" max="20" width="12.84375" bestFit="1" customWidth="1"/>
  </cols>
  <sheetData>
    <row r="1" spans="1:19" ht="20.6" x14ac:dyDescent="0.4">
      <c r="A1" s="1"/>
      <c r="B1" s="1"/>
      <c r="C1" s="1"/>
      <c r="D1" s="2"/>
      <c r="E1" s="3"/>
      <c r="F1" s="4"/>
      <c r="G1" s="3"/>
      <c r="I1" s="57" t="s">
        <v>207</v>
      </c>
      <c r="J1" s="57" t="s">
        <v>208</v>
      </c>
      <c r="K1" s="57" t="s">
        <v>209</v>
      </c>
      <c r="L1" s="57" t="s">
        <v>210</v>
      </c>
      <c r="M1" s="57" t="s">
        <v>211</v>
      </c>
      <c r="N1" s="58" t="s">
        <v>212</v>
      </c>
      <c r="O1" s="59" t="s">
        <v>213</v>
      </c>
      <c r="P1" s="58" t="s">
        <v>214</v>
      </c>
      <c r="Q1" s="58" t="s">
        <v>215</v>
      </c>
      <c r="R1" s="58"/>
      <c r="S1" s="58" t="s">
        <v>216</v>
      </c>
    </row>
    <row r="2" spans="1:19" x14ac:dyDescent="0.4">
      <c r="A2" s="108" t="s">
        <v>0</v>
      </c>
      <c r="B2" s="109"/>
      <c r="C2" s="109"/>
      <c r="D2" s="109"/>
      <c r="E2" s="109"/>
      <c r="F2" s="109"/>
      <c r="G2" s="109"/>
    </row>
    <row r="3" spans="1:19" x14ac:dyDescent="0.4">
      <c r="A3" s="110"/>
      <c r="B3" s="110"/>
      <c r="C3" s="110"/>
      <c r="D3" s="110"/>
      <c r="E3" s="110"/>
      <c r="F3" s="110"/>
      <c r="G3" s="110"/>
    </row>
    <row r="4" spans="1:19" x14ac:dyDescent="0.4">
      <c r="A4" s="111" t="s">
        <v>1</v>
      </c>
      <c r="B4" s="111"/>
      <c r="C4" s="111"/>
      <c r="D4" s="111"/>
      <c r="E4" s="111"/>
      <c r="F4" s="112"/>
      <c r="G4" s="112"/>
    </row>
    <row r="5" spans="1:19" x14ac:dyDescent="0.4">
      <c r="A5" s="113"/>
      <c r="B5" s="113"/>
      <c r="C5" s="113"/>
      <c r="D5" s="113"/>
      <c r="E5" s="113"/>
      <c r="F5" s="113"/>
      <c r="G5" s="113"/>
    </row>
    <row r="6" spans="1:19" x14ac:dyDescent="0.4">
      <c r="D6"/>
      <c r="F6" s="5"/>
    </row>
    <row r="9" spans="1:19" ht="15.45" x14ac:dyDescent="0.4">
      <c r="C9" s="6" t="s">
        <v>12</v>
      </c>
    </row>
    <row r="10" spans="1:19" x14ac:dyDescent="0.4">
      <c r="A10" s="9" t="s">
        <v>2</v>
      </c>
      <c r="B10" s="9" t="s">
        <v>3</v>
      </c>
      <c r="C10" s="9" t="s">
        <v>4</v>
      </c>
      <c r="D10" s="10"/>
      <c r="E10" s="11" t="s">
        <v>5</v>
      </c>
      <c r="F10" s="12" t="s">
        <v>6</v>
      </c>
      <c r="G10" s="11" t="s">
        <v>7</v>
      </c>
    </row>
    <row r="11" spans="1:19" s="7" customFormat="1" x14ac:dyDescent="0.25">
      <c r="A11" s="13">
        <v>18</v>
      </c>
      <c r="B11" s="28" t="s">
        <v>13</v>
      </c>
      <c r="C11" s="28" t="s">
        <v>14</v>
      </c>
      <c r="D11" s="15">
        <v>54</v>
      </c>
      <c r="E11" s="13" t="s">
        <v>8</v>
      </c>
      <c r="F11" s="16"/>
      <c r="G11" s="17">
        <f t="shared" ref="G11:G50" si="0">D11*F11</f>
        <v>0</v>
      </c>
      <c r="I11" s="90">
        <v>454202</v>
      </c>
      <c r="J11" s="83">
        <v>8500700925</v>
      </c>
      <c r="K11" s="84" t="s">
        <v>217</v>
      </c>
      <c r="L11" s="84">
        <f t="shared" ref="L11:M13" si="1">D11</f>
        <v>54</v>
      </c>
      <c r="M11" s="84" t="str">
        <f t="shared" si="1"/>
        <v>ks</v>
      </c>
      <c r="N11" s="84"/>
      <c r="O11" s="85"/>
      <c r="P11" s="86">
        <v>66.522222222222211</v>
      </c>
      <c r="Q11" s="86">
        <v>0</v>
      </c>
      <c r="R11" s="86"/>
      <c r="S11" s="87">
        <f>(P11*L11)+(Q11*L11)</f>
        <v>3592.1999999999994</v>
      </c>
    </row>
    <row r="12" spans="1:19" s="7" customFormat="1" x14ac:dyDescent="0.25">
      <c r="A12" s="13">
        <v>19</v>
      </c>
      <c r="B12" s="28" t="s">
        <v>15</v>
      </c>
      <c r="C12" s="28" t="s">
        <v>16</v>
      </c>
      <c r="D12" s="15">
        <v>49</v>
      </c>
      <c r="E12" s="13" t="s">
        <v>8</v>
      </c>
      <c r="F12" s="16"/>
      <c r="G12" s="17">
        <f t="shared" si="0"/>
        <v>0</v>
      </c>
      <c r="I12" s="90">
        <v>5310118989</v>
      </c>
      <c r="J12" s="83">
        <v>8500303230</v>
      </c>
      <c r="K12" s="84" t="s">
        <v>218</v>
      </c>
      <c r="L12" s="84">
        <f t="shared" si="1"/>
        <v>49</v>
      </c>
      <c r="M12" s="84" t="str">
        <f t="shared" si="1"/>
        <v>ks</v>
      </c>
      <c r="N12" s="84"/>
      <c r="O12" s="85"/>
      <c r="P12" s="86">
        <v>15.722222222222221</v>
      </c>
      <c r="Q12" s="86">
        <v>0</v>
      </c>
      <c r="R12" s="86"/>
      <c r="S12" s="87">
        <f>(P12*L12)+(Q12*L12)</f>
        <v>770.3888888888888</v>
      </c>
    </row>
    <row r="13" spans="1:19" s="7" customFormat="1" x14ac:dyDescent="0.25">
      <c r="A13" s="13">
        <v>20</v>
      </c>
      <c r="B13" s="28" t="s">
        <v>17</v>
      </c>
      <c r="C13" s="28" t="s">
        <v>18</v>
      </c>
      <c r="D13" s="15">
        <v>49</v>
      </c>
      <c r="E13" s="13" t="s">
        <v>8</v>
      </c>
      <c r="F13" s="16"/>
      <c r="G13" s="17">
        <f t="shared" si="0"/>
        <v>0</v>
      </c>
      <c r="I13" s="90">
        <v>11818989</v>
      </c>
      <c r="J13" s="83">
        <v>8500700689</v>
      </c>
      <c r="K13" s="84" t="s">
        <v>219</v>
      </c>
      <c r="L13" s="84">
        <f t="shared" si="1"/>
        <v>49</v>
      </c>
      <c r="M13" s="84" t="str">
        <f t="shared" si="1"/>
        <v>ks</v>
      </c>
      <c r="N13" s="84"/>
      <c r="O13" s="85"/>
      <c r="P13" s="86">
        <v>127.85555555555554</v>
      </c>
      <c r="Q13" s="86">
        <v>0</v>
      </c>
      <c r="R13" s="86"/>
      <c r="S13" s="87">
        <f>(P13*L13)+(Q13*L13)</f>
        <v>6264.9222222222215</v>
      </c>
    </row>
    <row r="14" spans="1:19" s="7" customFormat="1" x14ac:dyDescent="0.25">
      <c r="A14" s="13">
        <v>21</v>
      </c>
      <c r="B14" s="28" t="s">
        <v>19</v>
      </c>
      <c r="C14" s="28" t="s">
        <v>20</v>
      </c>
      <c r="D14" s="15">
        <v>5</v>
      </c>
      <c r="E14" s="13" t="s">
        <v>8</v>
      </c>
      <c r="F14" s="16"/>
      <c r="G14" s="17">
        <f t="shared" si="0"/>
        <v>0</v>
      </c>
      <c r="I14" s="90">
        <v>10116099</v>
      </c>
      <c r="J14" s="83">
        <v>8500303252</v>
      </c>
      <c r="K14" s="84" t="s">
        <v>220</v>
      </c>
      <c r="L14" s="84">
        <f t="shared" ref="L14:L50" si="2">D14</f>
        <v>5</v>
      </c>
      <c r="M14" s="84" t="str">
        <f t="shared" ref="M14:M50" si="3">E14</f>
        <v>ks</v>
      </c>
      <c r="N14" s="84"/>
      <c r="O14" s="85"/>
      <c r="P14" s="86">
        <v>29.333333333333332</v>
      </c>
      <c r="Q14" s="86">
        <v>0</v>
      </c>
      <c r="R14" s="86"/>
      <c r="S14" s="87">
        <f t="shared" ref="S14:S50" si="4">(P14*L14)+(Q14*L14)</f>
        <v>146.66666666666666</v>
      </c>
    </row>
    <row r="15" spans="1:19" s="7" customFormat="1" x14ac:dyDescent="0.25">
      <c r="A15" s="13">
        <v>22</v>
      </c>
      <c r="B15" s="28" t="s">
        <v>21</v>
      </c>
      <c r="C15" s="28" t="s">
        <v>22</v>
      </c>
      <c r="D15" s="15">
        <v>5</v>
      </c>
      <c r="E15" s="13" t="s">
        <v>8</v>
      </c>
      <c r="F15" s="16"/>
      <c r="G15" s="17">
        <f t="shared" si="0"/>
        <v>0</v>
      </c>
      <c r="I15" s="90">
        <v>11816089</v>
      </c>
      <c r="J15" s="83">
        <v>8500700688</v>
      </c>
      <c r="K15" s="84" t="s">
        <v>221</v>
      </c>
      <c r="L15" s="84">
        <f t="shared" si="2"/>
        <v>5</v>
      </c>
      <c r="M15" s="84" t="str">
        <f t="shared" si="3"/>
        <v>ks</v>
      </c>
      <c r="N15" s="84"/>
      <c r="O15" s="85"/>
      <c r="P15" s="86">
        <v>126.72222222222221</v>
      </c>
      <c r="Q15" s="86">
        <v>0</v>
      </c>
      <c r="R15" s="86"/>
      <c r="S15" s="87">
        <f t="shared" si="4"/>
        <v>633.61111111111109</v>
      </c>
    </row>
    <row r="16" spans="1:19" s="7" customFormat="1" x14ac:dyDescent="0.4">
      <c r="A16" s="13">
        <v>23</v>
      </c>
      <c r="B16" s="28" t="s">
        <v>23</v>
      </c>
      <c r="C16" s="28" t="s">
        <v>24</v>
      </c>
      <c r="D16" s="15">
        <v>0</v>
      </c>
      <c r="E16" s="13" t="s">
        <v>8</v>
      </c>
      <c r="F16" s="16"/>
      <c r="G16" s="17">
        <f t="shared" si="0"/>
        <v>0</v>
      </c>
      <c r="I16"/>
      <c r="J16"/>
      <c r="K16"/>
      <c r="L16"/>
      <c r="M16"/>
      <c r="N16"/>
      <c r="O16"/>
      <c r="P16"/>
      <c r="Q16"/>
      <c r="R16"/>
      <c r="S16"/>
    </row>
    <row r="17" spans="1:19" s="7" customFormat="1" x14ac:dyDescent="0.4">
      <c r="A17" s="13">
        <v>24</v>
      </c>
      <c r="B17" s="28" t="s">
        <v>25</v>
      </c>
      <c r="C17" s="28" t="s">
        <v>26</v>
      </c>
      <c r="D17" s="15">
        <v>0</v>
      </c>
      <c r="E17" s="13" t="s">
        <v>8</v>
      </c>
      <c r="F17" s="16"/>
      <c r="G17" s="17">
        <f t="shared" si="0"/>
        <v>0</v>
      </c>
      <c r="I17"/>
      <c r="J17"/>
      <c r="K17"/>
      <c r="L17"/>
      <c r="M17"/>
      <c r="N17"/>
      <c r="O17"/>
      <c r="P17"/>
      <c r="Q17"/>
      <c r="R17"/>
      <c r="S17"/>
    </row>
    <row r="18" spans="1:19" s="7" customFormat="1" x14ac:dyDescent="0.25">
      <c r="A18" s="13">
        <v>25</v>
      </c>
      <c r="B18" s="28" t="s">
        <v>27</v>
      </c>
      <c r="C18" s="28" t="s">
        <v>28</v>
      </c>
      <c r="D18" s="15">
        <v>72</v>
      </c>
      <c r="E18" s="13" t="s">
        <v>8</v>
      </c>
      <c r="F18" s="16"/>
      <c r="G18" s="17">
        <f t="shared" si="0"/>
        <v>0</v>
      </c>
      <c r="I18" s="90"/>
      <c r="J18" s="83">
        <v>8500148370</v>
      </c>
      <c r="K18" s="84" t="s">
        <v>222</v>
      </c>
      <c r="L18" s="84">
        <f t="shared" si="2"/>
        <v>72</v>
      </c>
      <c r="M18" s="84" t="str">
        <f t="shared" si="3"/>
        <v>ks</v>
      </c>
      <c r="N18" s="84"/>
      <c r="O18" s="85"/>
      <c r="P18" s="86">
        <v>57.526881720430104</v>
      </c>
      <c r="Q18" s="86">
        <v>0</v>
      </c>
      <c r="R18" s="86">
        <f>P18+Q18</f>
        <v>57.526881720430104</v>
      </c>
      <c r="S18" s="87">
        <f t="shared" si="4"/>
        <v>4141.9354838709678</v>
      </c>
    </row>
    <row r="19" spans="1:19" x14ac:dyDescent="0.4">
      <c r="A19" s="34">
        <v>9</v>
      </c>
      <c r="B19" s="29" t="s">
        <v>29</v>
      </c>
      <c r="C19" s="29" t="s">
        <v>30</v>
      </c>
      <c r="D19" s="15">
        <v>1</v>
      </c>
      <c r="E19" s="13" t="s">
        <v>8</v>
      </c>
      <c r="F19" s="16"/>
      <c r="G19" s="17">
        <f t="shared" si="0"/>
        <v>0</v>
      </c>
      <c r="I19" s="93">
        <v>80871010</v>
      </c>
      <c r="J19" s="93"/>
      <c r="K19" s="93" t="s">
        <v>223</v>
      </c>
      <c r="L19" s="84">
        <f t="shared" si="2"/>
        <v>1</v>
      </c>
      <c r="M19" s="84" t="str">
        <f t="shared" si="3"/>
        <v>ks</v>
      </c>
      <c r="N19" s="84"/>
      <c r="O19" s="85"/>
      <c r="P19" s="86">
        <v>3513.9784946236559</v>
      </c>
      <c r="Q19" s="86">
        <v>5.04</v>
      </c>
      <c r="R19" s="86">
        <f t="shared" ref="R19:R66" si="5">P19+Q19</f>
        <v>3519.0184946236559</v>
      </c>
      <c r="S19" s="87">
        <f t="shared" si="4"/>
        <v>3519.0184946236559</v>
      </c>
    </row>
    <row r="20" spans="1:19" x14ac:dyDescent="0.4">
      <c r="A20" s="34">
        <v>10</v>
      </c>
      <c r="B20" s="29" t="s">
        <v>31</v>
      </c>
      <c r="C20" s="29" t="s">
        <v>32</v>
      </c>
      <c r="D20" s="15">
        <v>1</v>
      </c>
      <c r="E20" s="13" t="s">
        <v>8</v>
      </c>
      <c r="F20" s="16"/>
      <c r="G20" s="17">
        <f t="shared" si="0"/>
        <v>0</v>
      </c>
      <c r="I20" s="93">
        <v>80199036</v>
      </c>
      <c r="J20" s="93"/>
      <c r="K20" s="93" t="s">
        <v>224</v>
      </c>
      <c r="L20" s="84">
        <f t="shared" si="2"/>
        <v>1</v>
      </c>
      <c r="M20" s="84" t="str">
        <f t="shared" si="3"/>
        <v>ks</v>
      </c>
      <c r="N20" s="84"/>
      <c r="O20" s="85"/>
      <c r="P20" s="86">
        <v>653.76344086021504</v>
      </c>
      <c r="Q20" s="86">
        <v>5.04</v>
      </c>
      <c r="R20" s="86">
        <f t="shared" si="5"/>
        <v>658.80344086021501</v>
      </c>
      <c r="S20" s="87">
        <f t="shared" si="4"/>
        <v>658.80344086021501</v>
      </c>
    </row>
    <row r="21" spans="1:19" x14ac:dyDescent="0.4">
      <c r="A21" s="34">
        <v>11</v>
      </c>
      <c r="B21" s="29" t="s">
        <v>33</v>
      </c>
      <c r="C21" s="29" t="s">
        <v>34</v>
      </c>
      <c r="D21" s="15">
        <v>1</v>
      </c>
      <c r="E21" s="13" t="s">
        <v>8</v>
      </c>
      <c r="F21" s="16"/>
      <c r="G21" s="17">
        <f t="shared" si="0"/>
        <v>0</v>
      </c>
      <c r="I21" s="93">
        <v>80199038</v>
      </c>
      <c r="J21" s="93">
        <v>8501604195</v>
      </c>
      <c r="K21" s="93" t="s">
        <v>225</v>
      </c>
      <c r="L21" s="84">
        <f t="shared" si="2"/>
        <v>1</v>
      </c>
      <c r="M21" s="84" t="str">
        <f t="shared" si="3"/>
        <v>ks</v>
      </c>
      <c r="N21" s="84"/>
      <c r="O21" s="85"/>
      <c r="P21" s="86">
        <v>653.76344086021504</v>
      </c>
      <c r="Q21" s="86">
        <v>5.04</v>
      </c>
      <c r="R21" s="86">
        <f t="shared" si="5"/>
        <v>658.80344086021501</v>
      </c>
      <c r="S21" s="87">
        <f t="shared" si="4"/>
        <v>658.80344086021501</v>
      </c>
    </row>
    <row r="22" spans="1:19" x14ac:dyDescent="0.4">
      <c r="A22" s="34">
        <v>12</v>
      </c>
      <c r="B22" s="29" t="s">
        <v>35</v>
      </c>
      <c r="C22" s="29" t="s">
        <v>36</v>
      </c>
      <c r="D22" s="15">
        <v>1</v>
      </c>
      <c r="E22" s="35" t="s">
        <v>8</v>
      </c>
      <c r="F22" s="16"/>
      <c r="G22" s="17">
        <f t="shared" si="0"/>
        <v>0</v>
      </c>
      <c r="I22" s="93">
        <v>80871083</v>
      </c>
      <c r="J22" s="93">
        <v>8500208646</v>
      </c>
      <c r="K22" s="93" t="s">
        <v>226</v>
      </c>
      <c r="L22" s="84">
        <f t="shared" si="2"/>
        <v>1</v>
      </c>
      <c r="M22" s="84" t="str">
        <f t="shared" si="3"/>
        <v>ks</v>
      </c>
      <c r="N22" s="84"/>
      <c r="O22" s="85"/>
      <c r="P22" s="86">
        <v>17870.967741935481</v>
      </c>
      <c r="Q22" s="86">
        <v>0</v>
      </c>
      <c r="R22" s="86">
        <f t="shared" si="5"/>
        <v>17870.967741935481</v>
      </c>
      <c r="S22" s="87">
        <f t="shared" si="4"/>
        <v>17870.967741935481</v>
      </c>
    </row>
    <row r="23" spans="1:19" s="38" customFormat="1" x14ac:dyDescent="0.25">
      <c r="A23" s="36">
        <v>13</v>
      </c>
      <c r="B23" s="37" t="s">
        <v>37</v>
      </c>
      <c r="C23" s="37" t="s">
        <v>38</v>
      </c>
      <c r="D23" s="15">
        <v>1</v>
      </c>
      <c r="E23" s="35" t="s">
        <v>8</v>
      </c>
      <c r="F23" s="16"/>
      <c r="G23" s="17">
        <f t="shared" si="0"/>
        <v>0</v>
      </c>
      <c r="I23" s="93">
        <v>86005014</v>
      </c>
      <c r="J23" s="93">
        <v>8501604000</v>
      </c>
      <c r="K23" s="93" t="s">
        <v>228</v>
      </c>
      <c r="L23" s="84">
        <f t="shared" si="2"/>
        <v>1</v>
      </c>
      <c r="M23" s="84" t="str">
        <f t="shared" si="3"/>
        <v>ks</v>
      </c>
      <c r="N23" s="84"/>
      <c r="O23" s="85"/>
      <c r="P23" s="86">
        <v>8666.6666666666661</v>
      </c>
      <c r="Q23" s="86">
        <v>0</v>
      </c>
      <c r="R23" s="86">
        <f t="shared" si="5"/>
        <v>8666.6666666666661</v>
      </c>
      <c r="S23" s="87">
        <f t="shared" si="4"/>
        <v>8666.6666666666661</v>
      </c>
    </row>
    <row r="24" spans="1:19" s="38" customFormat="1" x14ac:dyDescent="0.25">
      <c r="A24" s="36">
        <v>14</v>
      </c>
      <c r="B24" s="37" t="s">
        <v>39</v>
      </c>
      <c r="C24" s="37" t="s">
        <v>40</v>
      </c>
      <c r="D24" s="15">
        <v>1</v>
      </c>
      <c r="E24" s="35" t="s">
        <v>8</v>
      </c>
      <c r="F24" s="16"/>
      <c r="G24" s="17">
        <f t="shared" si="0"/>
        <v>0</v>
      </c>
      <c r="I24" s="93">
        <v>80199032</v>
      </c>
      <c r="J24" s="93">
        <v>8501604198</v>
      </c>
      <c r="K24" s="93" t="s">
        <v>227</v>
      </c>
      <c r="L24" s="84">
        <f t="shared" si="2"/>
        <v>1</v>
      </c>
      <c r="M24" s="84" t="str">
        <f t="shared" si="3"/>
        <v>ks</v>
      </c>
      <c r="N24" s="84"/>
      <c r="O24" s="85"/>
      <c r="P24" s="86">
        <v>2268.817204301075</v>
      </c>
      <c r="Q24" s="86">
        <v>5.04</v>
      </c>
      <c r="R24" s="86">
        <f t="shared" si="5"/>
        <v>2273.8572043010749</v>
      </c>
      <c r="S24" s="87">
        <f t="shared" si="4"/>
        <v>2273.8572043010749</v>
      </c>
    </row>
    <row r="25" spans="1:19" s="38" customFormat="1" x14ac:dyDescent="0.25">
      <c r="A25" s="36">
        <v>15</v>
      </c>
      <c r="B25" s="37"/>
      <c r="C25" s="37" t="s">
        <v>41</v>
      </c>
      <c r="D25" s="15">
        <v>4</v>
      </c>
      <c r="E25" s="35" t="s">
        <v>8</v>
      </c>
      <c r="F25" s="16"/>
      <c r="G25" s="17">
        <f t="shared" si="0"/>
        <v>0</v>
      </c>
      <c r="I25" s="90">
        <v>86064463</v>
      </c>
      <c r="J25" s="83"/>
      <c r="K25" s="84" t="s">
        <v>41</v>
      </c>
      <c r="L25" s="84">
        <f t="shared" si="2"/>
        <v>4</v>
      </c>
      <c r="M25" s="84" t="str">
        <f t="shared" si="3"/>
        <v>ks</v>
      </c>
      <c r="N25" s="84"/>
      <c r="O25" s="85"/>
      <c r="P25" s="86">
        <v>279.56989247311827</v>
      </c>
      <c r="Q25" s="86">
        <v>0</v>
      </c>
      <c r="R25" s="86">
        <f t="shared" si="5"/>
        <v>279.56989247311827</v>
      </c>
      <c r="S25" s="87">
        <f t="shared" si="4"/>
        <v>1118.2795698924731</v>
      </c>
    </row>
    <row r="26" spans="1:19" s="38" customFormat="1" x14ac:dyDescent="0.25">
      <c r="A26" s="36">
        <v>16</v>
      </c>
      <c r="B26" s="37"/>
      <c r="C26" s="37" t="s">
        <v>42</v>
      </c>
      <c r="D26" s="15">
        <v>1</v>
      </c>
      <c r="E26" s="35" t="s">
        <v>8</v>
      </c>
      <c r="F26" s="16"/>
      <c r="G26" s="17">
        <f t="shared" si="0"/>
        <v>0</v>
      </c>
      <c r="I26" s="90">
        <v>86064400</v>
      </c>
      <c r="J26" s="83">
        <v>8501604319</v>
      </c>
      <c r="K26" s="84" t="s">
        <v>229</v>
      </c>
      <c r="L26" s="84">
        <f t="shared" si="2"/>
        <v>1</v>
      </c>
      <c r="M26" s="84" t="str">
        <f t="shared" si="3"/>
        <v>ks</v>
      </c>
      <c r="N26" s="84"/>
      <c r="O26" s="85"/>
      <c r="P26" s="86">
        <v>430.10752688172039</v>
      </c>
      <c r="Q26" s="86">
        <v>0</v>
      </c>
      <c r="R26" s="86">
        <f t="shared" si="5"/>
        <v>430.10752688172039</v>
      </c>
      <c r="S26" s="87">
        <f t="shared" si="4"/>
        <v>430.10752688172039</v>
      </c>
    </row>
    <row r="27" spans="1:19" s="38" customFormat="1" x14ac:dyDescent="0.25">
      <c r="A27" s="36">
        <v>17</v>
      </c>
      <c r="B27" s="37" t="s">
        <v>43</v>
      </c>
      <c r="C27" s="37" t="s">
        <v>44</v>
      </c>
      <c r="D27" s="15">
        <v>2</v>
      </c>
      <c r="E27" s="35" t="s">
        <v>8</v>
      </c>
      <c r="F27" s="16"/>
      <c r="G27" s="17">
        <f t="shared" si="0"/>
        <v>0</v>
      </c>
      <c r="I27" s="90">
        <v>80193007</v>
      </c>
      <c r="J27" s="83">
        <v>8500048230</v>
      </c>
      <c r="K27" s="84" t="s">
        <v>44</v>
      </c>
      <c r="L27" s="84">
        <f t="shared" si="2"/>
        <v>2</v>
      </c>
      <c r="M27" s="84" t="str">
        <f t="shared" si="3"/>
        <v>ks</v>
      </c>
      <c r="N27" s="84"/>
      <c r="O27" s="85"/>
      <c r="P27" s="86">
        <v>403.22580645161287</v>
      </c>
      <c r="Q27" s="86">
        <v>5.04</v>
      </c>
      <c r="R27" s="86">
        <f t="shared" si="5"/>
        <v>408.26580645161289</v>
      </c>
      <c r="S27" s="87">
        <f t="shared" si="4"/>
        <v>816.53161290322578</v>
      </c>
    </row>
    <row r="28" spans="1:19" s="38" customFormat="1" x14ac:dyDescent="0.25">
      <c r="A28" s="36">
        <v>18</v>
      </c>
      <c r="B28" s="39" t="s">
        <v>45</v>
      </c>
      <c r="C28" s="39" t="s">
        <v>46</v>
      </c>
      <c r="D28" s="15">
        <v>3</v>
      </c>
      <c r="E28" s="35" t="s">
        <v>8</v>
      </c>
      <c r="F28" s="16"/>
      <c r="G28" s="17">
        <f t="shared" si="0"/>
        <v>0</v>
      </c>
      <c r="I28" s="90">
        <v>80593012</v>
      </c>
      <c r="J28" s="83">
        <v>8500048240</v>
      </c>
      <c r="K28" s="84" t="s">
        <v>230</v>
      </c>
      <c r="L28" s="84">
        <f t="shared" si="2"/>
        <v>3</v>
      </c>
      <c r="M28" s="84" t="str">
        <f t="shared" si="3"/>
        <v>ks</v>
      </c>
      <c r="N28" s="84"/>
      <c r="O28" s="85"/>
      <c r="P28" s="86">
        <v>543.01075268817203</v>
      </c>
      <c r="Q28" s="86">
        <v>3.36</v>
      </c>
      <c r="R28" s="86">
        <f t="shared" si="5"/>
        <v>546.37075268817205</v>
      </c>
      <c r="S28" s="87">
        <f t="shared" si="4"/>
        <v>1639.112258064516</v>
      </c>
    </row>
    <row r="29" spans="1:19" s="38" customFormat="1" x14ac:dyDescent="0.25">
      <c r="A29" s="36">
        <v>19</v>
      </c>
      <c r="B29" s="37" t="s">
        <v>47</v>
      </c>
      <c r="C29" s="37" t="s">
        <v>48</v>
      </c>
      <c r="D29" s="15">
        <v>4</v>
      </c>
      <c r="E29" s="35" t="s">
        <v>8</v>
      </c>
      <c r="F29" s="16"/>
      <c r="G29" s="17">
        <f t="shared" si="0"/>
        <v>0</v>
      </c>
      <c r="I29" s="90">
        <v>80192451</v>
      </c>
      <c r="J29" s="83">
        <v>8500048279</v>
      </c>
      <c r="K29" s="84" t="s">
        <v>231</v>
      </c>
      <c r="L29" s="84">
        <v>6</v>
      </c>
      <c r="M29" s="84" t="str">
        <f t="shared" si="3"/>
        <v>ks</v>
      </c>
      <c r="N29" s="84"/>
      <c r="O29" s="85"/>
      <c r="P29" s="86">
        <v>360.21505376344084</v>
      </c>
      <c r="Q29" s="86">
        <v>0</v>
      </c>
      <c r="R29" s="86">
        <f t="shared" si="5"/>
        <v>360.21505376344084</v>
      </c>
      <c r="S29" s="87">
        <f t="shared" si="4"/>
        <v>2161.2903225806449</v>
      </c>
    </row>
    <row r="30" spans="1:19" s="38" customFormat="1" ht="23.15" x14ac:dyDescent="0.25">
      <c r="A30" s="36">
        <v>20</v>
      </c>
      <c r="B30" s="37" t="s">
        <v>49</v>
      </c>
      <c r="C30" s="37" t="s">
        <v>50</v>
      </c>
      <c r="D30" s="15">
        <v>2</v>
      </c>
      <c r="E30" s="35" t="s">
        <v>8</v>
      </c>
      <c r="F30" s="16"/>
      <c r="G30" s="17">
        <f t="shared" si="0"/>
        <v>0</v>
      </c>
      <c r="I30" s="90"/>
      <c r="J30" s="83"/>
      <c r="K30" s="93" t="s">
        <v>232</v>
      </c>
      <c r="L30" s="84"/>
      <c r="M30" s="84"/>
      <c r="N30" s="84"/>
      <c r="O30" s="85"/>
      <c r="P30" s="86"/>
      <c r="Q30" s="86"/>
      <c r="R30" s="86">
        <f t="shared" si="5"/>
        <v>0</v>
      </c>
      <c r="S30" s="87"/>
    </row>
    <row r="31" spans="1:19" s="38" customFormat="1" x14ac:dyDescent="0.25">
      <c r="A31" s="36">
        <v>21</v>
      </c>
      <c r="B31" s="37" t="s">
        <v>51</v>
      </c>
      <c r="C31" s="37" t="s">
        <v>52</v>
      </c>
      <c r="D31" s="15">
        <v>1</v>
      </c>
      <c r="E31" s="35" t="s">
        <v>8</v>
      </c>
      <c r="F31" s="16"/>
      <c r="G31" s="17">
        <f t="shared" si="0"/>
        <v>0</v>
      </c>
      <c r="I31" s="90">
        <v>80871090</v>
      </c>
      <c r="J31" s="83"/>
      <c r="K31" s="84" t="s">
        <v>52</v>
      </c>
      <c r="L31" s="84">
        <f t="shared" si="2"/>
        <v>1</v>
      </c>
      <c r="M31" s="84" t="str">
        <f t="shared" si="3"/>
        <v>ks</v>
      </c>
      <c r="N31" s="84"/>
      <c r="O31" s="85"/>
      <c r="P31" s="86">
        <v>6551.6129032258059</v>
      </c>
      <c r="Q31" s="86">
        <v>0</v>
      </c>
      <c r="R31" s="86">
        <f t="shared" si="5"/>
        <v>6551.6129032258059</v>
      </c>
      <c r="S31" s="87">
        <f t="shared" si="4"/>
        <v>6551.6129032258059</v>
      </c>
    </row>
    <row r="32" spans="1:19" ht="23.15" x14ac:dyDescent="0.4">
      <c r="A32" s="14">
        <v>22</v>
      </c>
      <c r="B32" s="34" t="s">
        <v>53</v>
      </c>
      <c r="C32" s="34" t="s">
        <v>54</v>
      </c>
      <c r="D32" s="15">
        <v>282</v>
      </c>
      <c r="E32" s="13" t="s">
        <v>9</v>
      </c>
      <c r="F32" s="16"/>
      <c r="G32" s="17">
        <f t="shared" si="0"/>
        <v>0</v>
      </c>
      <c r="I32" s="90"/>
      <c r="J32" s="93">
        <v>8501099996</v>
      </c>
      <c r="K32" s="93" t="s">
        <v>233</v>
      </c>
      <c r="L32" s="84">
        <f t="shared" si="2"/>
        <v>282</v>
      </c>
      <c r="M32" s="84" t="str">
        <f t="shared" si="3"/>
        <v>m</v>
      </c>
      <c r="N32" s="84"/>
      <c r="O32" s="85"/>
      <c r="P32" s="86">
        <v>6.2903225806451601</v>
      </c>
      <c r="Q32" s="86">
        <v>0</v>
      </c>
      <c r="R32" s="86">
        <f t="shared" si="5"/>
        <v>6.2903225806451601</v>
      </c>
      <c r="S32" s="87">
        <f t="shared" si="4"/>
        <v>1773.8709677419351</v>
      </c>
    </row>
    <row r="33" spans="1:19" x14ac:dyDescent="0.4">
      <c r="A33" s="14">
        <v>23</v>
      </c>
      <c r="B33" s="31" t="s">
        <v>55</v>
      </c>
      <c r="C33" s="40" t="s">
        <v>56</v>
      </c>
      <c r="D33" s="15">
        <v>2</v>
      </c>
      <c r="E33" s="13" t="s">
        <v>8</v>
      </c>
      <c r="F33" s="16"/>
      <c r="G33" s="17">
        <f t="shared" si="0"/>
        <v>0</v>
      </c>
      <c r="I33" s="90">
        <v>86010313</v>
      </c>
      <c r="J33" s="83">
        <v>8500029650</v>
      </c>
      <c r="K33" s="84" t="s">
        <v>234</v>
      </c>
      <c r="L33" s="84">
        <f t="shared" si="2"/>
        <v>2</v>
      </c>
      <c r="M33" s="84" t="str">
        <f t="shared" si="3"/>
        <v>ks</v>
      </c>
      <c r="N33" s="84"/>
      <c r="O33" s="85"/>
      <c r="P33" s="86">
        <v>580.64516129032256</v>
      </c>
      <c r="Q33" s="86">
        <v>0</v>
      </c>
      <c r="R33" s="86">
        <f t="shared" si="5"/>
        <v>580.64516129032256</v>
      </c>
      <c r="S33" s="87">
        <f t="shared" si="4"/>
        <v>1161.2903225806451</v>
      </c>
    </row>
    <row r="34" spans="1:19" ht="23.15" x14ac:dyDescent="0.4">
      <c r="A34" s="14">
        <v>24</v>
      </c>
      <c r="B34" s="31" t="s">
        <v>57</v>
      </c>
      <c r="C34" s="31" t="s">
        <v>58</v>
      </c>
      <c r="D34" s="15">
        <v>2</v>
      </c>
      <c r="E34" s="13" t="s">
        <v>8</v>
      </c>
      <c r="F34" s="16"/>
      <c r="G34" s="17">
        <f t="shared" si="0"/>
        <v>0</v>
      </c>
      <c r="I34" s="90">
        <v>80190258</v>
      </c>
      <c r="J34" s="83">
        <v>8500029680</v>
      </c>
      <c r="K34" s="84" t="s">
        <v>235</v>
      </c>
      <c r="L34" s="84">
        <f t="shared" si="2"/>
        <v>2</v>
      </c>
      <c r="M34" s="84" t="str">
        <f t="shared" si="3"/>
        <v>ks</v>
      </c>
      <c r="N34" s="84"/>
      <c r="O34" s="85"/>
      <c r="P34" s="86">
        <v>77.41935483870968</v>
      </c>
      <c r="Q34" s="86">
        <v>0</v>
      </c>
      <c r="R34" s="86">
        <f t="shared" si="5"/>
        <v>77.41935483870968</v>
      </c>
      <c r="S34" s="87">
        <f t="shared" si="4"/>
        <v>154.83870967741936</v>
      </c>
    </row>
    <row r="35" spans="1:19" x14ac:dyDescent="0.4">
      <c r="A35" s="14">
        <v>25</v>
      </c>
      <c r="B35" s="31" t="s">
        <v>59</v>
      </c>
      <c r="C35" s="40" t="s">
        <v>60</v>
      </c>
      <c r="D35" s="15">
        <v>8</v>
      </c>
      <c r="E35" s="13" t="s">
        <v>8</v>
      </c>
      <c r="F35" s="16"/>
      <c r="G35" s="17">
        <f t="shared" si="0"/>
        <v>0</v>
      </c>
      <c r="I35" s="90">
        <v>70250060</v>
      </c>
      <c r="J35" s="83">
        <v>8500029571</v>
      </c>
      <c r="K35" s="84" t="s">
        <v>236</v>
      </c>
      <c r="L35" s="84">
        <f t="shared" si="2"/>
        <v>8</v>
      </c>
      <c r="M35" s="84" t="str">
        <f t="shared" si="3"/>
        <v>ks</v>
      </c>
      <c r="N35" s="84"/>
      <c r="O35" s="85"/>
      <c r="P35" s="86">
        <v>27.956989247311828</v>
      </c>
      <c r="Q35" s="86">
        <v>0</v>
      </c>
      <c r="R35" s="86">
        <f t="shared" si="5"/>
        <v>27.956989247311828</v>
      </c>
      <c r="S35" s="87">
        <f t="shared" si="4"/>
        <v>223.65591397849462</v>
      </c>
    </row>
    <row r="36" spans="1:19" x14ac:dyDescent="0.4">
      <c r="A36" s="14">
        <v>26</v>
      </c>
      <c r="B36" s="31" t="s">
        <v>61</v>
      </c>
      <c r="C36" s="40" t="s">
        <v>62</v>
      </c>
      <c r="D36" s="15">
        <v>2</v>
      </c>
      <c r="E36" s="13" t="s">
        <v>8</v>
      </c>
      <c r="F36" s="16"/>
      <c r="G36" s="17">
        <f t="shared" si="0"/>
        <v>0</v>
      </c>
      <c r="I36" s="90">
        <v>70250024</v>
      </c>
      <c r="J36" s="83">
        <v>8500029690</v>
      </c>
      <c r="K36" s="84" t="s">
        <v>237</v>
      </c>
      <c r="L36" s="84">
        <f t="shared" si="2"/>
        <v>2</v>
      </c>
      <c r="M36" s="84" t="str">
        <f t="shared" si="3"/>
        <v>ks</v>
      </c>
      <c r="N36" s="84"/>
      <c r="O36" s="85"/>
      <c r="P36" s="86">
        <v>101.07526881720429</v>
      </c>
      <c r="Q36" s="86">
        <v>0</v>
      </c>
      <c r="R36" s="86">
        <f t="shared" si="5"/>
        <v>101.07526881720429</v>
      </c>
      <c r="S36" s="87">
        <f t="shared" si="4"/>
        <v>202.15053763440858</v>
      </c>
    </row>
    <row r="37" spans="1:19" s="38" customFormat="1" x14ac:dyDescent="0.25">
      <c r="A37" s="41">
        <v>27</v>
      </c>
      <c r="B37" s="42" t="s">
        <v>63</v>
      </c>
      <c r="C37" s="42" t="s">
        <v>64</v>
      </c>
      <c r="D37" s="15">
        <v>4</v>
      </c>
      <c r="E37" s="35" t="s">
        <v>8</v>
      </c>
      <c r="F37" s="16"/>
      <c r="G37" s="17">
        <f t="shared" si="0"/>
        <v>0</v>
      </c>
      <c r="I37" s="90">
        <v>70211129</v>
      </c>
      <c r="J37" s="83">
        <v>8500029595</v>
      </c>
      <c r="K37" s="84" t="s">
        <v>238</v>
      </c>
      <c r="L37" s="84">
        <f t="shared" si="2"/>
        <v>4</v>
      </c>
      <c r="M37" s="84" t="str">
        <f t="shared" si="3"/>
        <v>ks</v>
      </c>
      <c r="N37" s="84"/>
      <c r="O37" s="85"/>
      <c r="P37" s="86">
        <v>18.279569892473116</v>
      </c>
      <c r="Q37" s="86">
        <v>0</v>
      </c>
      <c r="R37" s="86">
        <f t="shared" si="5"/>
        <v>18.279569892473116</v>
      </c>
      <c r="S37" s="87">
        <f t="shared" si="4"/>
        <v>73.118279569892465</v>
      </c>
    </row>
    <row r="38" spans="1:19" s="38" customFormat="1" x14ac:dyDescent="0.25">
      <c r="A38" s="41">
        <v>28</v>
      </c>
      <c r="B38" s="42" t="s">
        <v>65</v>
      </c>
      <c r="C38" s="42" t="s">
        <v>66</v>
      </c>
      <c r="D38" s="15">
        <v>8</v>
      </c>
      <c r="E38" s="35" t="s">
        <v>8</v>
      </c>
      <c r="F38" s="16"/>
      <c r="G38" s="17">
        <f t="shared" si="0"/>
        <v>0</v>
      </c>
      <c r="I38" s="90">
        <v>70221159</v>
      </c>
      <c r="J38" s="83">
        <v>8501604235</v>
      </c>
      <c r="K38" s="84" t="s">
        <v>239</v>
      </c>
      <c r="L38" s="84">
        <f t="shared" si="2"/>
        <v>8</v>
      </c>
      <c r="M38" s="84" t="str">
        <f t="shared" si="3"/>
        <v>ks</v>
      </c>
      <c r="N38" s="84"/>
      <c r="O38" s="85"/>
      <c r="P38" s="86">
        <v>25.806451612903224</v>
      </c>
      <c r="Q38" s="86">
        <v>0</v>
      </c>
      <c r="R38" s="86">
        <f t="shared" si="5"/>
        <v>25.806451612903224</v>
      </c>
      <c r="S38" s="87">
        <f t="shared" si="4"/>
        <v>206.45161290322579</v>
      </c>
    </row>
    <row r="39" spans="1:19" s="38" customFormat="1" x14ac:dyDescent="0.25">
      <c r="A39" s="41">
        <v>29</v>
      </c>
      <c r="B39" s="42" t="s">
        <v>67</v>
      </c>
      <c r="C39" s="42" t="s">
        <v>68</v>
      </c>
      <c r="D39" s="15">
        <v>2</v>
      </c>
      <c r="E39" s="35" t="s">
        <v>8</v>
      </c>
      <c r="F39" s="16"/>
      <c r="G39" s="17">
        <f t="shared" si="0"/>
        <v>0</v>
      </c>
      <c r="I39" s="90">
        <v>70231119</v>
      </c>
      <c r="J39" s="83">
        <v>8501604360</v>
      </c>
      <c r="K39" s="84" t="s">
        <v>240</v>
      </c>
      <c r="L39" s="84">
        <f t="shared" si="2"/>
        <v>2</v>
      </c>
      <c r="M39" s="84" t="str">
        <f t="shared" si="3"/>
        <v>ks</v>
      </c>
      <c r="N39" s="84"/>
      <c r="O39" s="85"/>
      <c r="P39" s="86">
        <v>97.849462365591393</v>
      </c>
      <c r="Q39" s="86">
        <v>0.84</v>
      </c>
      <c r="R39" s="86">
        <f t="shared" si="5"/>
        <v>98.689462365591396</v>
      </c>
      <c r="S39" s="87">
        <f t="shared" si="4"/>
        <v>197.37892473118279</v>
      </c>
    </row>
    <row r="40" spans="1:19" s="38" customFormat="1" x14ac:dyDescent="0.25">
      <c r="A40" s="41">
        <v>30</v>
      </c>
      <c r="B40" s="42" t="s">
        <v>69</v>
      </c>
      <c r="C40" s="42" t="s">
        <v>70</v>
      </c>
      <c r="D40" s="15">
        <v>2</v>
      </c>
      <c r="E40" s="35" t="s">
        <v>8</v>
      </c>
      <c r="F40" s="16"/>
      <c r="G40" s="17">
        <f t="shared" si="0"/>
        <v>0</v>
      </c>
      <c r="I40" s="90">
        <v>70231129</v>
      </c>
      <c r="J40" s="83">
        <v>8501604370</v>
      </c>
      <c r="K40" s="84" t="s">
        <v>241</v>
      </c>
      <c r="L40" s="84">
        <f t="shared" si="2"/>
        <v>2</v>
      </c>
      <c r="M40" s="84" t="str">
        <f t="shared" si="3"/>
        <v>ks</v>
      </c>
      <c r="N40" s="84"/>
      <c r="O40" s="85"/>
      <c r="P40" s="86">
        <v>104.3010752688172</v>
      </c>
      <c r="Q40" s="86">
        <v>0.84</v>
      </c>
      <c r="R40" s="86">
        <f t="shared" si="5"/>
        <v>105.1410752688172</v>
      </c>
      <c r="S40" s="87">
        <f t="shared" si="4"/>
        <v>210.28215053763441</v>
      </c>
    </row>
    <row r="41" spans="1:19" s="38" customFormat="1" x14ac:dyDescent="0.25">
      <c r="A41" s="41">
        <v>31</v>
      </c>
      <c r="B41" s="42" t="s">
        <v>71</v>
      </c>
      <c r="C41" s="42" t="s">
        <v>72</v>
      </c>
      <c r="D41" s="15">
        <v>217</v>
      </c>
      <c r="E41" s="43" t="s">
        <v>9</v>
      </c>
      <c r="F41" s="16"/>
      <c r="G41" s="17">
        <f t="shared" si="0"/>
        <v>0</v>
      </c>
      <c r="I41" s="90">
        <v>70299047</v>
      </c>
      <c r="J41" s="83"/>
      <c r="K41" s="84" t="s">
        <v>242</v>
      </c>
      <c r="L41" s="84">
        <f t="shared" si="2"/>
        <v>217</v>
      </c>
      <c r="M41" s="84" t="str">
        <f t="shared" si="3"/>
        <v>m</v>
      </c>
      <c r="N41" s="84"/>
      <c r="O41" s="85"/>
      <c r="P41" s="86">
        <v>4.086021505376344</v>
      </c>
      <c r="Q41" s="86">
        <v>0</v>
      </c>
      <c r="R41" s="86">
        <f t="shared" si="5"/>
        <v>4.086021505376344</v>
      </c>
      <c r="S41" s="87">
        <f t="shared" si="4"/>
        <v>886.66666666666663</v>
      </c>
    </row>
    <row r="42" spans="1:19" s="38" customFormat="1" x14ac:dyDescent="0.25">
      <c r="A42" s="41">
        <v>32</v>
      </c>
      <c r="B42" s="44" t="s">
        <v>73</v>
      </c>
      <c r="C42" s="44" t="s">
        <v>74</v>
      </c>
      <c r="D42" s="15">
        <v>205</v>
      </c>
      <c r="E42" s="43" t="s">
        <v>8</v>
      </c>
      <c r="F42" s="16"/>
      <c r="G42" s="17">
        <f t="shared" si="0"/>
        <v>0</v>
      </c>
      <c r="I42" s="90">
        <v>25286803</v>
      </c>
      <c r="J42" s="83">
        <v>8501604260</v>
      </c>
      <c r="K42" s="84" t="s">
        <v>243</v>
      </c>
      <c r="L42" s="84">
        <f t="shared" si="2"/>
        <v>205</v>
      </c>
      <c r="M42" s="84" t="str">
        <f t="shared" si="3"/>
        <v>ks</v>
      </c>
      <c r="N42" s="84"/>
      <c r="O42" s="85"/>
      <c r="P42" s="86">
        <v>39.784946236559136</v>
      </c>
      <c r="Q42" s="86">
        <v>0</v>
      </c>
      <c r="R42" s="86">
        <f t="shared" si="5"/>
        <v>39.784946236559136</v>
      </c>
      <c r="S42" s="87">
        <f t="shared" si="4"/>
        <v>8155.9139784946228</v>
      </c>
    </row>
    <row r="43" spans="1:19" s="38" customFormat="1" x14ac:dyDescent="0.25">
      <c r="A43" s="41">
        <v>33</v>
      </c>
      <c r="B43" s="45" t="s">
        <v>75</v>
      </c>
      <c r="C43" s="45" t="s">
        <v>76</v>
      </c>
      <c r="D43" s="15">
        <v>1</v>
      </c>
      <c r="E43" s="35" t="s">
        <v>8</v>
      </c>
      <c r="F43" s="16"/>
      <c r="G43" s="17">
        <f t="shared" si="0"/>
        <v>0</v>
      </c>
      <c r="I43" s="90">
        <v>25286804</v>
      </c>
      <c r="J43" s="83"/>
      <c r="K43" s="84" t="s">
        <v>244</v>
      </c>
      <c r="L43" s="84">
        <f t="shared" si="2"/>
        <v>1</v>
      </c>
      <c r="M43" s="84" t="str">
        <f t="shared" si="3"/>
        <v>ks</v>
      </c>
      <c r="N43" s="84"/>
      <c r="O43" s="85"/>
      <c r="P43" s="86">
        <v>64.516129032258064</v>
      </c>
      <c r="Q43" s="86">
        <v>0</v>
      </c>
      <c r="R43" s="86">
        <f t="shared" si="5"/>
        <v>64.516129032258064</v>
      </c>
      <c r="S43" s="87">
        <f t="shared" si="4"/>
        <v>64.516129032258064</v>
      </c>
    </row>
    <row r="44" spans="1:19" s="38" customFormat="1" x14ac:dyDescent="0.25">
      <c r="A44" s="41">
        <v>34</v>
      </c>
      <c r="B44" s="44" t="s">
        <v>77</v>
      </c>
      <c r="C44" s="44" t="s">
        <v>78</v>
      </c>
      <c r="D44" s="15">
        <v>10</v>
      </c>
      <c r="E44" s="43" t="s">
        <v>8</v>
      </c>
      <c r="F44" s="16"/>
      <c r="G44" s="17">
        <f t="shared" si="0"/>
        <v>0</v>
      </c>
      <c r="I44" s="90">
        <v>24000050</v>
      </c>
      <c r="J44" s="83"/>
      <c r="K44" s="84" t="s">
        <v>245</v>
      </c>
      <c r="L44" s="84">
        <f t="shared" si="2"/>
        <v>10</v>
      </c>
      <c r="M44" s="84" t="str">
        <f t="shared" si="3"/>
        <v>ks</v>
      </c>
      <c r="N44" s="84"/>
      <c r="O44" s="85"/>
      <c r="P44" s="86">
        <v>956.98924731182785</v>
      </c>
      <c r="Q44" s="86">
        <v>0</v>
      </c>
      <c r="R44" s="86">
        <f t="shared" si="5"/>
        <v>956.98924731182785</v>
      </c>
      <c r="S44" s="87">
        <f t="shared" si="4"/>
        <v>9569.8924731182778</v>
      </c>
    </row>
    <row r="45" spans="1:19" x14ac:dyDescent="0.4">
      <c r="A45" s="14">
        <v>35</v>
      </c>
      <c r="B45" s="46" t="s">
        <v>79</v>
      </c>
      <c r="C45" s="46" t="s">
        <v>80</v>
      </c>
      <c r="D45" s="15">
        <v>1</v>
      </c>
      <c r="E45" s="13" t="s">
        <v>8</v>
      </c>
      <c r="F45" s="16"/>
      <c r="G45" s="17">
        <f t="shared" si="0"/>
        <v>0</v>
      </c>
      <c r="I45" s="90">
        <v>24200124</v>
      </c>
      <c r="J45" s="83">
        <v>8500048009</v>
      </c>
      <c r="K45" s="84" t="s">
        <v>246</v>
      </c>
      <c r="L45" s="84">
        <f t="shared" si="2"/>
        <v>1</v>
      </c>
      <c r="M45" s="84" t="str">
        <f t="shared" si="3"/>
        <v>ks</v>
      </c>
      <c r="N45" s="84"/>
      <c r="O45" s="85"/>
      <c r="P45" s="86">
        <v>1612.9032258064515</v>
      </c>
      <c r="Q45" s="86">
        <v>0</v>
      </c>
      <c r="R45" s="86">
        <f t="shared" si="5"/>
        <v>1612.9032258064515</v>
      </c>
      <c r="S45" s="87">
        <f t="shared" si="4"/>
        <v>1612.9032258064515</v>
      </c>
    </row>
    <row r="46" spans="1:19" s="38" customFormat="1" x14ac:dyDescent="0.25">
      <c r="A46" s="36">
        <v>36</v>
      </c>
      <c r="B46" s="37" t="s">
        <v>81</v>
      </c>
      <c r="C46" s="37" t="s">
        <v>82</v>
      </c>
      <c r="D46" s="15">
        <v>7</v>
      </c>
      <c r="E46" s="35" t="s">
        <v>8</v>
      </c>
      <c r="F46" s="16"/>
      <c r="G46" s="17">
        <f>D46*F46</f>
        <v>0</v>
      </c>
      <c r="I46" s="90">
        <v>80191091</v>
      </c>
      <c r="J46" s="83">
        <v>8500048226</v>
      </c>
      <c r="K46" s="84" t="s">
        <v>247</v>
      </c>
      <c r="L46" s="84">
        <f t="shared" si="2"/>
        <v>7</v>
      </c>
      <c r="M46" s="84" t="str">
        <f t="shared" si="3"/>
        <v>ks</v>
      </c>
      <c r="N46" s="84"/>
      <c r="O46" s="85"/>
      <c r="P46" s="86">
        <v>123.65591397849462</v>
      </c>
      <c r="Q46" s="86">
        <v>0</v>
      </c>
      <c r="R46" s="86">
        <f t="shared" si="5"/>
        <v>123.65591397849462</v>
      </c>
      <c r="S46" s="87">
        <f t="shared" si="4"/>
        <v>865.5913978494624</v>
      </c>
    </row>
    <row r="47" spans="1:19" x14ac:dyDescent="0.4">
      <c r="A47" s="41">
        <v>37</v>
      </c>
      <c r="B47" s="47" t="s">
        <v>83</v>
      </c>
      <c r="C47" s="44" t="s">
        <v>84</v>
      </c>
      <c r="D47" s="15">
        <v>13325</v>
      </c>
      <c r="E47" s="43" t="s">
        <v>9</v>
      </c>
      <c r="F47" s="16"/>
      <c r="G47" s="17">
        <f t="shared" si="0"/>
        <v>0</v>
      </c>
      <c r="I47" s="90">
        <v>26100001</v>
      </c>
      <c r="J47" s="83">
        <v>8500048140</v>
      </c>
      <c r="K47" s="84" t="s">
        <v>248</v>
      </c>
      <c r="L47" s="84">
        <v>13420</v>
      </c>
      <c r="M47" s="84" t="str">
        <f t="shared" si="3"/>
        <v>m</v>
      </c>
      <c r="N47" s="84"/>
      <c r="O47" s="85"/>
      <c r="P47" s="86">
        <v>8.2105263157894743</v>
      </c>
      <c r="Q47" s="86">
        <v>0</v>
      </c>
      <c r="R47" s="86">
        <f t="shared" si="5"/>
        <v>8.2105263157894743</v>
      </c>
      <c r="S47" s="87">
        <f t="shared" si="4"/>
        <v>110185.26315789475</v>
      </c>
    </row>
    <row r="48" spans="1:19" x14ac:dyDescent="0.4">
      <c r="A48" s="14">
        <v>38</v>
      </c>
      <c r="B48" s="46" t="s">
        <v>85</v>
      </c>
      <c r="C48" s="46" t="s">
        <v>86</v>
      </c>
      <c r="D48" s="15">
        <v>65</v>
      </c>
      <c r="E48" s="13" t="s">
        <v>9</v>
      </c>
      <c r="F48" s="16"/>
      <c r="G48" s="17">
        <f t="shared" si="0"/>
        <v>0</v>
      </c>
      <c r="I48" s="90">
        <v>27655194</v>
      </c>
      <c r="J48" s="83">
        <v>8500048100</v>
      </c>
      <c r="K48" s="84" t="s">
        <v>249</v>
      </c>
      <c r="L48" s="84">
        <f t="shared" si="2"/>
        <v>65</v>
      </c>
      <c r="M48" s="84" t="str">
        <f t="shared" si="3"/>
        <v>m</v>
      </c>
      <c r="N48" s="84"/>
      <c r="O48" s="85"/>
      <c r="P48" s="86">
        <v>13.763440860215054</v>
      </c>
      <c r="Q48" s="86">
        <v>0</v>
      </c>
      <c r="R48" s="86">
        <f t="shared" si="5"/>
        <v>13.763440860215054</v>
      </c>
      <c r="S48" s="87">
        <f t="shared" si="4"/>
        <v>894.6236559139785</v>
      </c>
    </row>
    <row r="49" spans="1:19" s="38" customFormat="1" x14ac:dyDescent="0.25">
      <c r="A49" s="41">
        <v>39</v>
      </c>
      <c r="B49" s="44" t="s">
        <v>87</v>
      </c>
      <c r="C49" s="44" t="s">
        <v>88</v>
      </c>
      <c r="D49" s="15">
        <v>205</v>
      </c>
      <c r="E49" s="43" t="s">
        <v>8</v>
      </c>
      <c r="F49" s="16"/>
      <c r="G49" s="17">
        <f t="shared" si="0"/>
        <v>0</v>
      </c>
      <c r="I49" s="90">
        <v>28610059</v>
      </c>
      <c r="J49" s="83">
        <v>8500048321</v>
      </c>
      <c r="K49" s="84" t="s">
        <v>250</v>
      </c>
      <c r="L49" s="84">
        <f t="shared" si="2"/>
        <v>205</v>
      </c>
      <c r="M49" s="84" t="str">
        <f t="shared" si="3"/>
        <v>ks</v>
      </c>
      <c r="N49" s="84"/>
      <c r="O49" s="85"/>
      <c r="P49" s="86">
        <v>24.193548387096772</v>
      </c>
      <c r="Q49" s="86">
        <v>0.84</v>
      </c>
      <c r="R49" s="86">
        <f t="shared" si="5"/>
        <v>25.033548387096772</v>
      </c>
      <c r="S49" s="87">
        <f t="shared" si="4"/>
        <v>5131.8774193548379</v>
      </c>
    </row>
    <row r="50" spans="1:19" s="38" customFormat="1" x14ac:dyDescent="0.25">
      <c r="A50" s="41">
        <v>40</v>
      </c>
      <c r="B50" s="45" t="s">
        <v>89</v>
      </c>
      <c r="C50" s="45" t="s">
        <v>90</v>
      </c>
      <c r="D50" s="15">
        <v>1</v>
      </c>
      <c r="E50" s="35" t="s">
        <v>8</v>
      </c>
      <c r="F50" s="16"/>
      <c r="G50" s="17">
        <f t="shared" si="0"/>
        <v>0</v>
      </c>
      <c r="I50" s="90">
        <v>28420109</v>
      </c>
      <c r="J50" s="83">
        <v>8500048039</v>
      </c>
      <c r="K50" s="84" t="s">
        <v>251</v>
      </c>
      <c r="L50" s="84">
        <f t="shared" si="2"/>
        <v>1</v>
      </c>
      <c r="M50" s="84" t="str">
        <f t="shared" si="3"/>
        <v>ks</v>
      </c>
      <c r="N50" s="84"/>
      <c r="O50" s="85"/>
      <c r="P50" s="86">
        <v>54.838709677419352</v>
      </c>
      <c r="Q50" s="86">
        <v>0.84</v>
      </c>
      <c r="R50" s="86">
        <f t="shared" si="5"/>
        <v>55.678709677419356</v>
      </c>
      <c r="S50" s="87">
        <f t="shared" si="4"/>
        <v>55.678709677419356</v>
      </c>
    </row>
    <row r="51" spans="1:19" x14ac:dyDescent="0.4">
      <c r="A51" s="18"/>
      <c r="B51" s="18"/>
      <c r="C51" s="19"/>
      <c r="D51" s="20"/>
      <c r="E51" s="21"/>
      <c r="F51" s="22"/>
      <c r="G51" s="23"/>
      <c r="R51" s="86">
        <f t="shared" si="5"/>
        <v>0</v>
      </c>
    </row>
    <row r="52" spans="1:19" x14ac:dyDescent="0.4">
      <c r="B52" s="24"/>
      <c r="C52" s="25"/>
      <c r="D52" s="13"/>
      <c r="E52" s="26"/>
      <c r="G52" s="27"/>
      <c r="R52" s="86">
        <f t="shared" si="5"/>
        <v>0</v>
      </c>
    </row>
    <row r="53" spans="1:19" x14ac:dyDescent="0.4">
      <c r="R53" s="86">
        <f t="shared" si="5"/>
        <v>0</v>
      </c>
    </row>
    <row r="54" spans="1:19" x14ac:dyDescent="0.4">
      <c r="R54" s="86">
        <f t="shared" si="5"/>
        <v>0</v>
      </c>
    </row>
    <row r="55" spans="1:19" ht="15.45" x14ac:dyDescent="0.4">
      <c r="C55" s="6" t="s">
        <v>91</v>
      </c>
      <c r="R55" s="86">
        <f t="shared" si="5"/>
        <v>0</v>
      </c>
    </row>
    <row r="56" spans="1:19" x14ac:dyDescent="0.4">
      <c r="A56" s="9" t="s">
        <v>2</v>
      </c>
      <c r="B56" s="9" t="s">
        <v>3</v>
      </c>
      <c r="C56" s="9" t="s">
        <v>4</v>
      </c>
      <c r="D56" s="10"/>
      <c r="E56" s="11" t="s">
        <v>5</v>
      </c>
      <c r="F56" s="12" t="s">
        <v>6</v>
      </c>
      <c r="G56" s="11" t="s">
        <v>7</v>
      </c>
      <c r="R56" s="86">
        <f t="shared" si="5"/>
        <v>0</v>
      </c>
    </row>
    <row r="57" spans="1:19" s="7" customFormat="1" x14ac:dyDescent="0.25">
      <c r="A57" s="15">
        <v>1</v>
      </c>
      <c r="B57" s="49" t="s">
        <v>92</v>
      </c>
      <c r="C57" s="49" t="s">
        <v>93</v>
      </c>
      <c r="D57" s="15">
        <v>11</v>
      </c>
      <c r="E57" s="15" t="s">
        <v>8</v>
      </c>
      <c r="F57" s="16"/>
      <c r="G57" s="17">
        <f t="shared" ref="G57:G59" si="6">D57*F57</f>
        <v>0</v>
      </c>
      <c r="I57" s="90" t="s">
        <v>92</v>
      </c>
      <c r="J57" s="83">
        <v>8503802041</v>
      </c>
      <c r="K57" s="84" t="s">
        <v>253</v>
      </c>
      <c r="L57" s="84">
        <f t="shared" ref="L57:L66" si="7">D57</f>
        <v>11</v>
      </c>
      <c r="M57" s="84" t="str">
        <f t="shared" ref="M57:M66" si="8">E57</f>
        <v>ks</v>
      </c>
      <c r="N57" s="91">
        <v>10481</v>
      </c>
      <c r="O57" s="101">
        <v>0.48</v>
      </c>
      <c r="P57" s="86">
        <v>5450.12</v>
      </c>
      <c r="Q57" s="86">
        <v>0.84</v>
      </c>
      <c r="R57" s="86">
        <f t="shared" si="5"/>
        <v>5450.96</v>
      </c>
      <c r="S57" s="87">
        <f t="shared" ref="S57:S66" si="9">(P57*L57)+(Q57*L57)</f>
        <v>59960.56</v>
      </c>
    </row>
    <row r="58" spans="1:19" s="50" customFormat="1" ht="23.15" x14ac:dyDescent="0.25">
      <c r="A58" s="15">
        <v>2</v>
      </c>
      <c r="B58" s="49" t="s">
        <v>94</v>
      </c>
      <c r="C58" s="49" t="s">
        <v>95</v>
      </c>
      <c r="D58" s="15">
        <v>1</v>
      </c>
      <c r="E58" s="15" t="s">
        <v>8</v>
      </c>
      <c r="F58" s="16"/>
      <c r="G58" s="17">
        <f t="shared" si="6"/>
        <v>0</v>
      </c>
      <c r="I58" s="90" t="s">
        <v>94</v>
      </c>
      <c r="J58" s="83">
        <v>8503802042</v>
      </c>
      <c r="K58" s="84" t="s">
        <v>254</v>
      </c>
      <c r="L58" s="84">
        <f t="shared" si="7"/>
        <v>1</v>
      </c>
      <c r="M58" s="84" t="str">
        <f t="shared" si="8"/>
        <v>ks</v>
      </c>
      <c r="N58" s="91">
        <v>13260</v>
      </c>
      <c r="O58" s="101">
        <v>0.48</v>
      </c>
      <c r="P58" s="86">
        <v>6895.2</v>
      </c>
      <c r="Q58" s="86">
        <v>0.84</v>
      </c>
      <c r="R58" s="86">
        <f t="shared" si="5"/>
        <v>6896.04</v>
      </c>
      <c r="S58" s="87">
        <f t="shared" si="9"/>
        <v>6896.04</v>
      </c>
    </row>
    <row r="59" spans="1:19" s="50" customFormat="1" ht="12.45" x14ac:dyDescent="0.25">
      <c r="A59" s="15">
        <v>3</v>
      </c>
      <c r="B59" s="49" t="s">
        <v>96</v>
      </c>
      <c r="C59" s="49" t="s">
        <v>97</v>
      </c>
      <c r="D59" s="15">
        <v>19</v>
      </c>
      <c r="E59" s="15" t="s">
        <v>8</v>
      </c>
      <c r="F59" s="16"/>
      <c r="G59" s="17">
        <f t="shared" si="6"/>
        <v>0</v>
      </c>
      <c r="I59" s="90" t="s">
        <v>96</v>
      </c>
      <c r="J59" s="83" t="s">
        <v>255</v>
      </c>
      <c r="K59" s="84" t="s">
        <v>256</v>
      </c>
      <c r="L59" s="84">
        <f t="shared" si="7"/>
        <v>19</v>
      </c>
      <c r="M59" s="84" t="str">
        <f t="shared" si="8"/>
        <v>ks</v>
      </c>
      <c r="N59" s="91">
        <v>6197</v>
      </c>
      <c r="O59" s="101">
        <v>0.48</v>
      </c>
      <c r="P59" s="86">
        <v>3222.44</v>
      </c>
      <c r="Q59" s="86">
        <v>0.84</v>
      </c>
      <c r="R59" s="86">
        <f t="shared" si="5"/>
        <v>3223.28</v>
      </c>
      <c r="S59" s="87">
        <f t="shared" si="9"/>
        <v>61242.32</v>
      </c>
    </row>
    <row r="60" spans="1:19" s="50" customFormat="1" ht="12.45" x14ac:dyDescent="0.25">
      <c r="A60" s="15">
        <v>4</v>
      </c>
      <c r="B60" s="49" t="s">
        <v>98</v>
      </c>
      <c r="C60" s="49" t="s">
        <v>99</v>
      </c>
      <c r="D60" s="15">
        <v>1</v>
      </c>
      <c r="E60" s="15" t="s">
        <v>8</v>
      </c>
      <c r="F60" s="16"/>
      <c r="G60" s="17">
        <f>D60*F60</f>
        <v>0</v>
      </c>
      <c r="I60" s="90" t="s">
        <v>98</v>
      </c>
      <c r="J60" s="83">
        <v>8503802044</v>
      </c>
      <c r="K60" s="84" t="s">
        <v>257</v>
      </c>
      <c r="L60" s="84">
        <f t="shared" si="7"/>
        <v>1</v>
      </c>
      <c r="M60" s="84" t="str">
        <f t="shared" si="8"/>
        <v>ks</v>
      </c>
      <c r="N60" s="91">
        <v>57324</v>
      </c>
      <c r="O60" s="101">
        <v>0.48</v>
      </c>
      <c r="P60" s="86">
        <v>29808.48</v>
      </c>
      <c r="Q60" s="86">
        <v>3.36</v>
      </c>
      <c r="R60" s="86">
        <f t="shared" si="5"/>
        <v>29811.84</v>
      </c>
      <c r="S60" s="87">
        <f t="shared" si="9"/>
        <v>29811.84</v>
      </c>
    </row>
    <row r="61" spans="1:19" s="7" customFormat="1" x14ac:dyDescent="0.25">
      <c r="A61" s="13">
        <v>5</v>
      </c>
      <c r="B61" s="51" t="s">
        <v>100</v>
      </c>
      <c r="C61" s="49" t="s">
        <v>101</v>
      </c>
      <c r="D61" s="15">
        <v>8</v>
      </c>
      <c r="E61" s="15" t="s">
        <v>8</v>
      </c>
      <c r="F61" s="16"/>
      <c r="G61" s="17">
        <f t="shared" ref="G61:G66" si="10">D61*F61</f>
        <v>0</v>
      </c>
      <c r="I61" s="90" t="s">
        <v>259</v>
      </c>
      <c r="J61" s="83">
        <v>8503802039</v>
      </c>
      <c r="K61" s="84" t="s">
        <v>258</v>
      </c>
      <c r="L61" s="84">
        <f t="shared" si="7"/>
        <v>8</v>
      </c>
      <c r="M61" s="84" t="str">
        <f t="shared" si="8"/>
        <v>ks</v>
      </c>
      <c r="N61" s="91">
        <v>2800</v>
      </c>
      <c r="O61" s="85">
        <v>0.1</v>
      </c>
      <c r="P61" s="86">
        <v>2520</v>
      </c>
      <c r="Q61" s="86">
        <v>1</v>
      </c>
      <c r="R61" s="86">
        <f t="shared" si="5"/>
        <v>2521</v>
      </c>
      <c r="S61" s="87">
        <f t="shared" si="9"/>
        <v>20168</v>
      </c>
    </row>
    <row r="62" spans="1:19" s="7" customFormat="1" ht="23.15" x14ac:dyDescent="0.25">
      <c r="A62" s="13">
        <v>7</v>
      </c>
      <c r="B62" s="52" t="s">
        <v>102</v>
      </c>
      <c r="C62" s="52" t="s">
        <v>103</v>
      </c>
      <c r="D62" s="15">
        <v>1</v>
      </c>
      <c r="E62" s="15" t="s">
        <v>8</v>
      </c>
      <c r="F62" s="16"/>
      <c r="G62" s="17">
        <f t="shared" si="10"/>
        <v>0</v>
      </c>
      <c r="I62" s="90" t="s">
        <v>266</v>
      </c>
      <c r="J62" s="83">
        <v>8500046802</v>
      </c>
      <c r="K62" s="92" t="s">
        <v>315</v>
      </c>
      <c r="L62" s="84">
        <f t="shared" si="7"/>
        <v>1</v>
      </c>
      <c r="M62" s="84" t="str">
        <f t="shared" si="8"/>
        <v>ks</v>
      </c>
      <c r="N62" s="84"/>
      <c r="O62" s="85"/>
      <c r="P62" s="86">
        <v>26394.623655913976</v>
      </c>
      <c r="Q62" s="86">
        <v>1.5</v>
      </c>
      <c r="R62" s="86">
        <f t="shared" si="5"/>
        <v>26396.123655913976</v>
      </c>
      <c r="S62" s="87">
        <f t="shared" si="9"/>
        <v>26396.123655913976</v>
      </c>
    </row>
    <row r="63" spans="1:19" s="7" customFormat="1" x14ac:dyDescent="0.25">
      <c r="A63" s="13">
        <v>8</v>
      </c>
      <c r="B63" s="52" t="s">
        <v>104</v>
      </c>
      <c r="C63" s="52" t="s">
        <v>105</v>
      </c>
      <c r="D63" s="15">
        <v>1</v>
      </c>
      <c r="E63" s="53" t="s">
        <v>8</v>
      </c>
      <c r="F63" s="16"/>
      <c r="G63" s="17">
        <f t="shared" si="10"/>
        <v>0</v>
      </c>
      <c r="I63" s="90" t="s">
        <v>267</v>
      </c>
      <c r="J63" s="83">
        <v>8500046801</v>
      </c>
      <c r="K63" s="84" t="s">
        <v>105</v>
      </c>
      <c r="L63" s="84">
        <f t="shared" si="7"/>
        <v>1</v>
      </c>
      <c r="M63" s="84" t="str">
        <f t="shared" si="8"/>
        <v>ks</v>
      </c>
      <c r="N63" s="84"/>
      <c r="O63" s="85"/>
      <c r="P63" s="86">
        <v>5829.0322580645161</v>
      </c>
      <c r="Q63" s="86">
        <v>1.5</v>
      </c>
      <c r="R63" s="86">
        <f t="shared" si="5"/>
        <v>5830.5322580645161</v>
      </c>
      <c r="S63" s="87">
        <f t="shared" si="9"/>
        <v>5830.5322580645161</v>
      </c>
    </row>
    <row r="64" spans="1:19" s="7" customFormat="1" x14ac:dyDescent="0.25">
      <c r="A64" s="13">
        <v>10</v>
      </c>
      <c r="B64" s="52" t="s">
        <v>106</v>
      </c>
      <c r="C64" s="52" t="s">
        <v>107</v>
      </c>
      <c r="D64" s="15">
        <v>2</v>
      </c>
      <c r="E64" s="15" t="s">
        <v>8</v>
      </c>
      <c r="F64" s="16"/>
      <c r="G64" s="17">
        <f t="shared" si="10"/>
        <v>0</v>
      </c>
      <c r="I64" s="90" t="s">
        <v>106</v>
      </c>
      <c r="J64" s="83">
        <v>8500046805</v>
      </c>
      <c r="K64" s="84" t="s">
        <v>268</v>
      </c>
      <c r="L64" s="84">
        <f t="shared" si="7"/>
        <v>2</v>
      </c>
      <c r="M64" s="84" t="str">
        <f t="shared" si="8"/>
        <v>ks</v>
      </c>
      <c r="N64" s="84"/>
      <c r="O64" s="85"/>
      <c r="P64" s="86">
        <v>1030.1075268817203</v>
      </c>
      <c r="Q64" s="86">
        <v>1.5</v>
      </c>
      <c r="R64" s="86">
        <f t="shared" si="5"/>
        <v>1031.6075268817203</v>
      </c>
      <c r="S64" s="87">
        <f t="shared" si="9"/>
        <v>2063.2150537634407</v>
      </c>
    </row>
    <row r="65" spans="1:19" s="7" customFormat="1" x14ac:dyDescent="0.25">
      <c r="A65" s="13">
        <v>11</v>
      </c>
      <c r="B65" s="48" t="s">
        <v>108</v>
      </c>
      <c r="C65" s="30" t="s">
        <v>109</v>
      </c>
      <c r="D65" s="15">
        <v>1</v>
      </c>
      <c r="E65" s="15" t="s">
        <v>8</v>
      </c>
      <c r="F65" s="16"/>
      <c r="G65" s="17">
        <f t="shared" si="10"/>
        <v>0</v>
      </c>
      <c r="I65" s="90" t="s">
        <v>298</v>
      </c>
      <c r="J65" s="83">
        <v>8500004799</v>
      </c>
      <c r="K65" s="84" t="s">
        <v>299</v>
      </c>
      <c r="L65" s="84">
        <f t="shared" si="7"/>
        <v>1</v>
      </c>
      <c r="M65" s="84" t="str">
        <f t="shared" si="8"/>
        <v>ks</v>
      </c>
      <c r="N65" s="84"/>
      <c r="O65" s="85"/>
      <c r="P65" s="86">
        <v>13643.81052631579</v>
      </c>
      <c r="Q65" s="86">
        <v>0</v>
      </c>
      <c r="R65" s="86">
        <f t="shared" si="5"/>
        <v>13643.81052631579</v>
      </c>
      <c r="S65" s="87">
        <f t="shared" si="9"/>
        <v>13643.81052631579</v>
      </c>
    </row>
    <row r="66" spans="1:19" s="7" customFormat="1" x14ac:dyDescent="0.25">
      <c r="A66" s="13">
        <v>12</v>
      </c>
      <c r="B66" s="54" t="s">
        <v>110</v>
      </c>
      <c r="C66" s="55" t="s">
        <v>111</v>
      </c>
      <c r="D66" s="15">
        <v>1</v>
      </c>
      <c r="E66" s="15" t="s">
        <v>8</v>
      </c>
      <c r="F66" s="16"/>
      <c r="G66" s="17">
        <f t="shared" si="10"/>
        <v>0</v>
      </c>
      <c r="I66" s="90" t="s">
        <v>110</v>
      </c>
      <c r="J66" s="83">
        <v>8500004799</v>
      </c>
      <c r="K66" s="84" t="s">
        <v>300</v>
      </c>
      <c r="L66" s="84">
        <f t="shared" si="7"/>
        <v>1</v>
      </c>
      <c r="M66" s="84" t="str">
        <f t="shared" si="8"/>
        <v>ks</v>
      </c>
      <c r="N66" s="84"/>
      <c r="O66" s="85"/>
      <c r="P66" s="86">
        <v>7298.9789473684214</v>
      </c>
      <c r="Q66" s="86">
        <v>0</v>
      </c>
      <c r="R66" s="86">
        <f t="shared" si="5"/>
        <v>7298.9789473684214</v>
      </c>
      <c r="S66" s="87">
        <f t="shared" si="9"/>
        <v>7298.9789473684214</v>
      </c>
    </row>
    <row r="67" spans="1:19" x14ac:dyDescent="0.4">
      <c r="A67" s="18"/>
      <c r="B67" s="18"/>
      <c r="C67" s="19" t="s">
        <v>7</v>
      </c>
      <c r="D67" s="20"/>
      <c r="E67" s="21"/>
      <c r="F67" s="22"/>
      <c r="G67" s="23">
        <f>SUM(G57:G66)</f>
        <v>0</v>
      </c>
    </row>
    <row r="68" spans="1:19" x14ac:dyDescent="0.4">
      <c r="B68" s="24"/>
      <c r="C68" s="25"/>
      <c r="D68" s="13"/>
      <c r="E68" s="26"/>
      <c r="G68" s="27"/>
    </row>
    <row r="71" spans="1:19" ht="15.45" x14ac:dyDescent="0.4">
      <c r="C71" s="6" t="s">
        <v>112</v>
      </c>
    </row>
    <row r="72" spans="1:19" x14ac:dyDescent="0.4">
      <c r="A72" s="9" t="s">
        <v>2</v>
      </c>
      <c r="B72" s="9" t="s">
        <v>3</v>
      </c>
      <c r="C72" s="9" t="s">
        <v>4</v>
      </c>
      <c r="D72" s="10"/>
      <c r="E72" s="11" t="s">
        <v>5</v>
      </c>
      <c r="F72" s="12" t="s">
        <v>6</v>
      </c>
      <c r="G72" s="11" t="s">
        <v>7</v>
      </c>
    </row>
    <row r="73" spans="1:19" s="7" customFormat="1" x14ac:dyDescent="0.25">
      <c r="A73" s="13">
        <v>1</v>
      </c>
      <c r="B73" s="15" t="s">
        <v>113</v>
      </c>
      <c r="C73" s="34" t="s">
        <v>114</v>
      </c>
      <c r="D73" s="13">
        <v>1</v>
      </c>
      <c r="E73" s="15" t="s">
        <v>8</v>
      </c>
      <c r="F73" s="16"/>
      <c r="G73" s="17">
        <f t="shared" ref="G73:G113" si="11">D73*F73</f>
        <v>0</v>
      </c>
      <c r="I73" s="60">
        <v>8559</v>
      </c>
      <c r="J73" s="61"/>
      <c r="K73" s="62" t="s">
        <v>270</v>
      </c>
      <c r="L73" s="62">
        <f t="shared" ref="L73:M75" si="12">D73</f>
        <v>1</v>
      </c>
      <c r="M73" s="62" t="str">
        <f t="shared" si="12"/>
        <v>ks</v>
      </c>
      <c r="N73" s="62"/>
      <c r="O73" s="63"/>
      <c r="P73" s="64">
        <v>15968.511917098445</v>
      </c>
      <c r="Q73" s="64">
        <v>0</v>
      </c>
      <c r="R73" s="64"/>
      <c r="S73" s="65">
        <f>(P73*L73)+(Q73*L73)</f>
        <v>15968.511917098445</v>
      </c>
    </row>
    <row r="74" spans="1:19" s="7" customFormat="1" x14ac:dyDescent="0.3">
      <c r="A74" s="13">
        <v>2</v>
      </c>
      <c r="B74" s="33" t="s">
        <v>115</v>
      </c>
      <c r="C74" s="33" t="s">
        <v>116</v>
      </c>
      <c r="D74" s="15">
        <v>1</v>
      </c>
      <c r="E74" s="13" t="s">
        <v>8</v>
      </c>
      <c r="F74" s="16"/>
      <c r="G74" s="17">
        <f t="shared" si="11"/>
        <v>0</v>
      </c>
      <c r="I74" s="60">
        <v>20298</v>
      </c>
      <c r="J74" s="61"/>
      <c r="K74" s="62" t="s">
        <v>271</v>
      </c>
      <c r="L74" s="62">
        <f t="shared" si="12"/>
        <v>1</v>
      </c>
      <c r="M74" s="62" t="str">
        <f t="shared" si="12"/>
        <v>ks</v>
      </c>
      <c r="N74" s="62"/>
      <c r="O74" s="63"/>
      <c r="P74" s="64">
        <v>7701.6994818652847</v>
      </c>
      <c r="Q74" s="64">
        <v>0</v>
      </c>
      <c r="R74" s="64"/>
      <c r="S74" s="65">
        <f>(P74*L74)+(Q74*L74)</f>
        <v>7701.6994818652847</v>
      </c>
    </row>
    <row r="75" spans="1:19" s="7" customFormat="1" x14ac:dyDescent="0.25">
      <c r="A75" s="13">
        <v>3</v>
      </c>
      <c r="B75" s="15" t="s">
        <v>117</v>
      </c>
      <c r="C75" s="34" t="s">
        <v>118</v>
      </c>
      <c r="D75" s="13">
        <v>5</v>
      </c>
      <c r="E75" s="15" t="s">
        <v>8</v>
      </c>
      <c r="F75" s="16"/>
      <c r="G75" s="17">
        <f t="shared" si="11"/>
        <v>0</v>
      </c>
      <c r="I75" s="60">
        <v>5830</v>
      </c>
      <c r="J75" s="61"/>
      <c r="K75" s="62" t="s">
        <v>272</v>
      </c>
      <c r="L75" s="62">
        <f t="shared" si="12"/>
        <v>5</v>
      </c>
      <c r="M75" s="62" t="str">
        <f t="shared" si="12"/>
        <v>ks</v>
      </c>
      <c r="N75" s="62"/>
      <c r="O75" s="63"/>
      <c r="P75" s="64">
        <v>2208.3834196891194</v>
      </c>
      <c r="Q75" s="64">
        <v>0</v>
      </c>
      <c r="R75" s="64"/>
      <c r="S75" s="65">
        <f>(P75*L75)+(Q75*L75)</f>
        <v>11041.917098445596</v>
      </c>
    </row>
    <row r="76" spans="1:19" s="7" customFormat="1" x14ac:dyDescent="0.25">
      <c r="A76" s="13">
        <v>4</v>
      </c>
      <c r="B76" s="15" t="s">
        <v>119</v>
      </c>
      <c r="C76" s="34" t="s">
        <v>120</v>
      </c>
      <c r="D76" s="13">
        <v>5</v>
      </c>
      <c r="E76" s="15" t="s">
        <v>8</v>
      </c>
      <c r="F76" s="16"/>
      <c r="G76" s="17">
        <f t="shared" si="11"/>
        <v>0</v>
      </c>
      <c r="I76" s="60">
        <v>7046</v>
      </c>
      <c r="J76" s="61"/>
      <c r="K76" s="62" t="s">
        <v>273</v>
      </c>
      <c r="L76" s="62">
        <f t="shared" ref="L76:L113" si="13">D76</f>
        <v>5</v>
      </c>
      <c r="M76" s="62" t="str">
        <f t="shared" ref="M76:M113" si="14">E76</f>
        <v>ks</v>
      </c>
      <c r="N76" s="62"/>
      <c r="O76" s="63"/>
      <c r="P76" s="64">
        <v>613.16062176165804</v>
      </c>
      <c r="Q76" s="64">
        <v>0</v>
      </c>
      <c r="R76" s="64"/>
      <c r="S76" s="65">
        <f t="shared" ref="S76:S113" si="15">(P76*L76)+(Q76*L76)</f>
        <v>3065.8031088082903</v>
      </c>
    </row>
    <row r="77" spans="1:19" s="7" customFormat="1" x14ac:dyDescent="0.25">
      <c r="A77" s="13">
        <v>5</v>
      </c>
      <c r="B77" s="15" t="s">
        <v>121</v>
      </c>
      <c r="C77" s="34" t="s">
        <v>122</v>
      </c>
      <c r="D77" s="13">
        <v>1</v>
      </c>
      <c r="E77" s="15" t="s">
        <v>8</v>
      </c>
      <c r="F77" s="16"/>
      <c r="G77" s="17">
        <f t="shared" si="11"/>
        <v>0</v>
      </c>
      <c r="I77" s="60">
        <v>8563</v>
      </c>
      <c r="J77" s="61"/>
      <c r="K77" s="62" t="s">
        <v>274</v>
      </c>
      <c r="L77" s="62">
        <f t="shared" si="13"/>
        <v>1</v>
      </c>
      <c r="M77" s="62" t="str">
        <f t="shared" si="14"/>
        <v>ks</v>
      </c>
      <c r="N77" s="62"/>
      <c r="O77" s="63"/>
      <c r="P77" s="64">
        <v>4910.3108808290153</v>
      </c>
      <c r="Q77" s="64">
        <v>0</v>
      </c>
      <c r="R77" s="64"/>
      <c r="S77" s="65">
        <f t="shared" si="15"/>
        <v>4910.3108808290153</v>
      </c>
    </row>
    <row r="78" spans="1:19" s="7" customFormat="1" x14ac:dyDescent="0.25">
      <c r="A78" s="13">
        <v>6</v>
      </c>
      <c r="B78" s="15" t="s">
        <v>123</v>
      </c>
      <c r="C78" s="34" t="s">
        <v>124</v>
      </c>
      <c r="D78" s="13">
        <v>2</v>
      </c>
      <c r="E78" s="15" t="s">
        <v>8</v>
      </c>
      <c r="F78" s="16"/>
      <c r="G78" s="17">
        <f t="shared" si="11"/>
        <v>0</v>
      </c>
      <c r="I78" s="60">
        <v>8342</v>
      </c>
      <c r="J78" s="61"/>
      <c r="K78" s="62" t="s">
        <v>275</v>
      </c>
      <c r="L78" s="62">
        <f t="shared" si="13"/>
        <v>2</v>
      </c>
      <c r="M78" s="62" t="str">
        <f t="shared" si="14"/>
        <v>ks</v>
      </c>
      <c r="N78" s="62"/>
      <c r="O78" s="63"/>
      <c r="P78" s="64">
        <v>1592.2072538860104</v>
      </c>
      <c r="Q78" s="64">
        <v>0</v>
      </c>
      <c r="R78" s="64"/>
      <c r="S78" s="65">
        <f t="shared" si="15"/>
        <v>3184.4145077720209</v>
      </c>
    </row>
    <row r="79" spans="1:19" s="7" customFormat="1" x14ac:dyDescent="0.25">
      <c r="A79" s="13">
        <v>7</v>
      </c>
      <c r="B79" s="15" t="s">
        <v>125</v>
      </c>
      <c r="C79" s="34" t="s">
        <v>126</v>
      </c>
      <c r="D79" s="13">
        <v>4</v>
      </c>
      <c r="E79" s="15" t="s">
        <v>8</v>
      </c>
      <c r="F79" s="16"/>
      <c r="G79" s="17">
        <f t="shared" si="11"/>
        <v>0</v>
      </c>
      <c r="I79" s="60">
        <v>4888</v>
      </c>
      <c r="J79" s="61"/>
      <c r="K79" s="62" t="s">
        <v>276</v>
      </c>
      <c r="L79" s="62">
        <f t="shared" si="13"/>
        <v>4</v>
      </c>
      <c r="M79" s="62" t="str">
        <f t="shared" si="14"/>
        <v>ks</v>
      </c>
      <c r="N79" s="62"/>
      <c r="O79" s="63"/>
      <c r="P79" s="64">
        <v>163.84455958549222</v>
      </c>
      <c r="Q79" s="64">
        <v>0</v>
      </c>
      <c r="R79" s="64"/>
      <c r="S79" s="65">
        <f t="shared" si="15"/>
        <v>655.37823834196888</v>
      </c>
    </row>
    <row r="80" spans="1:19" s="7" customFormat="1" x14ac:dyDescent="0.3">
      <c r="A80" s="13">
        <v>8</v>
      </c>
      <c r="B80" s="33" t="s">
        <v>127</v>
      </c>
      <c r="C80" s="33" t="s">
        <v>128</v>
      </c>
      <c r="D80" s="15">
        <v>3</v>
      </c>
      <c r="E80" s="13" t="s">
        <v>8</v>
      </c>
      <c r="F80" s="16"/>
      <c r="G80" s="17">
        <f t="shared" si="11"/>
        <v>0</v>
      </c>
      <c r="I80" s="60">
        <v>22715</v>
      </c>
      <c r="J80" s="61"/>
      <c r="K80" s="62" t="s">
        <v>277</v>
      </c>
      <c r="L80" s="62">
        <f t="shared" si="13"/>
        <v>3</v>
      </c>
      <c r="M80" s="62" t="str">
        <f t="shared" si="14"/>
        <v>ks</v>
      </c>
      <c r="N80" s="62"/>
      <c r="O80" s="63"/>
      <c r="P80" s="64">
        <v>366.89119170984458</v>
      </c>
      <c r="Q80" s="64">
        <v>0</v>
      </c>
      <c r="R80" s="64"/>
      <c r="S80" s="65">
        <f t="shared" si="15"/>
        <v>1100.6735751295337</v>
      </c>
    </row>
    <row r="81" spans="1:19" s="7" customFormat="1" x14ac:dyDescent="0.3">
      <c r="A81" s="13">
        <v>9</v>
      </c>
      <c r="B81" s="33" t="s">
        <v>129</v>
      </c>
      <c r="C81" s="33" t="s">
        <v>130</v>
      </c>
      <c r="D81" s="15">
        <v>3</v>
      </c>
      <c r="E81" s="13" t="s">
        <v>8</v>
      </c>
      <c r="F81" s="16"/>
      <c r="G81" s="17">
        <f t="shared" si="11"/>
        <v>0</v>
      </c>
      <c r="I81" s="60">
        <v>18271</v>
      </c>
      <c r="J81" s="61"/>
      <c r="K81" s="62" t="s">
        <v>278</v>
      </c>
      <c r="L81" s="62">
        <f t="shared" si="13"/>
        <v>3</v>
      </c>
      <c r="M81" s="62" t="str">
        <f t="shared" si="14"/>
        <v>ks</v>
      </c>
      <c r="N81" s="62"/>
      <c r="O81" s="63"/>
      <c r="P81" s="64">
        <v>123.63730569948187</v>
      </c>
      <c r="Q81" s="64">
        <v>0</v>
      </c>
      <c r="R81" s="64"/>
      <c r="S81" s="65">
        <f t="shared" si="15"/>
        <v>370.9119170984456</v>
      </c>
    </row>
    <row r="82" spans="1:19" s="7" customFormat="1" x14ac:dyDescent="0.25">
      <c r="A82" s="13">
        <v>10</v>
      </c>
      <c r="B82" s="15" t="s">
        <v>131</v>
      </c>
      <c r="C82" s="34" t="s">
        <v>132</v>
      </c>
      <c r="D82" s="13">
        <v>7</v>
      </c>
      <c r="E82" s="15" t="s">
        <v>8</v>
      </c>
      <c r="F82" s="16"/>
      <c r="G82" s="17">
        <f t="shared" si="11"/>
        <v>0</v>
      </c>
      <c r="I82" s="60">
        <v>4559</v>
      </c>
      <c r="J82" s="61"/>
      <c r="K82" s="62" t="s">
        <v>279</v>
      </c>
      <c r="L82" s="62">
        <f t="shared" si="13"/>
        <v>7</v>
      </c>
      <c r="M82" s="62" t="str">
        <f t="shared" si="14"/>
        <v>ks</v>
      </c>
      <c r="N82" s="62"/>
      <c r="O82" s="63"/>
      <c r="P82" s="64">
        <v>362.87046632124355</v>
      </c>
      <c r="Q82" s="64">
        <v>0</v>
      </c>
      <c r="R82" s="64"/>
      <c r="S82" s="65">
        <f t="shared" si="15"/>
        <v>2540.0932642487051</v>
      </c>
    </row>
    <row r="83" spans="1:19" s="7" customFormat="1" x14ac:dyDescent="0.25">
      <c r="A83" s="13">
        <v>11</v>
      </c>
      <c r="B83" s="15" t="s">
        <v>133</v>
      </c>
      <c r="C83" s="34" t="s">
        <v>134</v>
      </c>
      <c r="D83" s="13">
        <v>7</v>
      </c>
      <c r="E83" s="15" t="s">
        <v>8</v>
      </c>
      <c r="F83" s="16"/>
      <c r="G83" s="17">
        <f t="shared" si="11"/>
        <v>0</v>
      </c>
      <c r="I83" s="60">
        <v>1058</v>
      </c>
      <c r="J83" s="61"/>
      <c r="K83" s="62" t="s">
        <v>280</v>
      </c>
      <c r="L83" s="62">
        <f t="shared" si="13"/>
        <v>7</v>
      </c>
      <c r="M83" s="62" t="str">
        <f t="shared" si="14"/>
        <v>ks</v>
      </c>
      <c r="N83" s="62"/>
      <c r="O83" s="63"/>
      <c r="P83" s="64">
        <v>1698.5554404145078</v>
      </c>
      <c r="Q83" s="64">
        <v>0</v>
      </c>
      <c r="R83" s="64"/>
      <c r="S83" s="65">
        <f t="shared" si="15"/>
        <v>11889.888082901554</v>
      </c>
    </row>
    <row r="84" spans="1:19" s="7" customFormat="1" x14ac:dyDescent="0.25">
      <c r="A84" s="13">
        <v>12</v>
      </c>
      <c r="B84" s="15" t="s">
        <v>135</v>
      </c>
      <c r="C84" s="34" t="s">
        <v>136</v>
      </c>
      <c r="D84" s="13">
        <v>2</v>
      </c>
      <c r="E84" s="15" t="s">
        <v>8</v>
      </c>
      <c r="F84" s="16"/>
      <c r="G84" s="17">
        <f>D84*F84</f>
        <v>0</v>
      </c>
      <c r="I84" s="60"/>
      <c r="J84" s="61"/>
      <c r="K84" s="68" t="s">
        <v>301</v>
      </c>
      <c r="L84" s="62">
        <f t="shared" si="13"/>
        <v>2</v>
      </c>
      <c r="M84" s="62" t="str">
        <f t="shared" si="14"/>
        <v>ks</v>
      </c>
      <c r="N84" s="62"/>
      <c r="O84" s="63"/>
      <c r="P84" s="64">
        <v>0</v>
      </c>
      <c r="Q84" s="64">
        <v>0</v>
      </c>
      <c r="R84" s="64"/>
      <c r="S84" s="65">
        <f t="shared" si="15"/>
        <v>0</v>
      </c>
    </row>
    <row r="85" spans="1:19" s="7" customFormat="1" x14ac:dyDescent="0.3">
      <c r="A85" s="13">
        <v>13</v>
      </c>
      <c r="B85" s="33" t="s">
        <v>137</v>
      </c>
      <c r="C85" s="33" t="s">
        <v>138</v>
      </c>
      <c r="D85" s="15">
        <v>6</v>
      </c>
      <c r="E85" s="13" t="s">
        <v>8</v>
      </c>
      <c r="F85" s="16"/>
      <c r="G85" s="17">
        <f>D85*F85</f>
        <v>0</v>
      </c>
      <c r="I85" s="60">
        <v>15128</v>
      </c>
      <c r="J85" s="61"/>
      <c r="K85" s="62" t="s">
        <v>281</v>
      </c>
      <c r="L85" s="62">
        <f t="shared" ref="L85:L86" si="16">D85</f>
        <v>6</v>
      </c>
      <c r="M85" s="62" t="str">
        <f t="shared" ref="M85:M86" si="17">E85</f>
        <v>ks</v>
      </c>
      <c r="N85" s="62"/>
      <c r="O85" s="63"/>
      <c r="P85" s="64">
        <v>8967.4037305699476</v>
      </c>
      <c r="Q85" s="64">
        <v>0</v>
      </c>
      <c r="R85" s="64"/>
      <c r="S85" s="65">
        <f t="shared" ref="S85:S86" si="18">(P85*L85)+(Q85*L85)</f>
        <v>53804.422383419689</v>
      </c>
    </row>
    <row r="86" spans="1:19" s="7" customFormat="1" x14ac:dyDescent="0.25">
      <c r="A86" s="13">
        <v>14</v>
      </c>
      <c r="B86" s="15" t="s">
        <v>139</v>
      </c>
      <c r="C86" s="34" t="s">
        <v>140</v>
      </c>
      <c r="D86" s="13">
        <v>7</v>
      </c>
      <c r="E86" s="15" t="s">
        <v>8</v>
      </c>
      <c r="F86" s="16"/>
      <c r="G86" s="17">
        <f t="shared" si="11"/>
        <v>0</v>
      </c>
      <c r="I86" s="60">
        <v>15129</v>
      </c>
      <c r="J86" s="61"/>
      <c r="K86" s="62" t="s">
        <v>282</v>
      </c>
      <c r="L86" s="62">
        <f t="shared" si="16"/>
        <v>7</v>
      </c>
      <c r="M86" s="62" t="str">
        <f t="shared" si="17"/>
        <v>ks</v>
      </c>
      <c r="N86" s="62"/>
      <c r="O86" s="63"/>
      <c r="P86" s="64">
        <v>9491.9978238341955</v>
      </c>
      <c r="Q86" s="64">
        <v>0</v>
      </c>
      <c r="R86" s="64"/>
      <c r="S86" s="65">
        <f t="shared" si="18"/>
        <v>66443.984766839363</v>
      </c>
    </row>
    <row r="87" spans="1:19" s="7" customFormat="1" x14ac:dyDescent="0.4">
      <c r="A87" s="13">
        <v>15</v>
      </c>
      <c r="B87" s="15" t="s">
        <v>141</v>
      </c>
      <c r="C87" s="34" t="s">
        <v>142</v>
      </c>
      <c r="D87" s="13">
        <v>0</v>
      </c>
      <c r="E87" s="15" t="s">
        <v>8</v>
      </c>
      <c r="F87" s="16"/>
      <c r="G87" s="17">
        <f t="shared" si="11"/>
        <v>0</v>
      </c>
      <c r="I87"/>
      <c r="J87"/>
      <c r="K87"/>
      <c r="L87"/>
      <c r="M87"/>
      <c r="N87"/>
      <c r="O87"/>
      <c r="P87"/>
      <c r="Q87"/>
      <c r="R87"/>
      <c r="S87"/>
    </row>
    <row r="88" spans="1:19" s="7" customFormat="1" x14ac:dyDescent="0.3">
      <c r="A88" s="13">
        <v>16</v>
      </c>
      <c r="B88" s="33" t="s">
        <v>143</v>
      </c>
      <c r="C88" s="34" t="s">
        <v>144</v>
      </c>
      <c r="D88" s="15">
        <v>13</v>
      </c>
      <c r="E88" s="13" t="s">
        <v>8</v>
      </c>
      <c r="F88" s="16"/>
      <c r="G88" s="17">
        <f>D88*F88</f>
        <v>0</v>
      </c>
      <c r="I88" s="60">
        <v>25113</v>
      </c>
      <c r="J88" s="61"/>
      <c r="K88" s="62" t="s">
        <v>283</v>
      </c>
      <c r="L88" s="62">
        <f t="shared" si="13"/>
        <v>13</v>
      </c>
      <c r="M88" s="62" t="str">
        <f t="shared" si="14"/>
        <v>ks</v>
      </c>
      <c r="N88" s="62"/>
      <c r="O88" s="63"/>
      <c r="P88" s="64">
        <v>235.81554404145078</v>
      </c>
      <c r="Q88" s="64">
        <v>0</v>
      </c>
      <c r="R88" s="64"/>
      <c r="S88" s="65">
        <f t="shared" si="15"/>
        <v>3065.6020725388603</v>
      </c>
    </row>
    <row r="89" spans="1:19" s="7" customFormat="1" x14ac:dyDescent="0.3">
      <c r="A89" s="13">
        <v>17</v>
      </c>
      <c r="B89" s="33" t="s">
        <v>145</v>
      </c>
      <c r="C89" s="34" t="s">
        <v>146</v>
      </c>
      <c r="D89" s="15">
        <v>52</v>
      </c>
      <c r="E89" s="13" t="s">
        <v>8</v>
      </c>
      <c r="F89" s="16"/>
      <c r="G89" s="17">
        <f t="shared" si="11"/>
        <v>0</v>
      </c>
      <c r="I89" s="60">
        <v>10147</v>
      </c>
      <c r="J89" s="61"/>
      <c r="K89" s="62" t="s">
        <v>284</v>
      </c>
      <c r="L89" s="62">
        <f t="shared" si="13"/>
        <v>52</v>
      </c>
      <c r="M89" s="62" t="str">
        <f t="shared" si="14"/>
        <v>ks</v>
      </c>
      <c r="N89" s="62"/>
      <c r="O89" s="63"/>
      <c r="P89" s="64">
        <v>466.40414507772022</v>
      </c>
      <c r="Q89" s="64">
        <v>0</v>
      </c>
      <c r="R89" s="64"/>
      <c r="S89" s="65">
        <f t="shared" si="15"/>
        <v>24253.015544041453</v>
      </c>
    </row>
    <row r="90" spans="1:19" s="7" customFormat="1" x14ac:dyDescent="0.3">
      <c r="A90" s="13">
        <v>18</v>
      </c>
      <c r="B90" s="33" t="s">
        <v>147</v>
      </c>
      <c r="C90" s="34" t="s">
        <v>148</v>
      </c>
      <c r="D90" s="15">
        <v>26</v>
      </c>
      <c r="E90" s="13" t="s">
        <v>8</v>
      </c>
      <c r="F90" s="16"/>
      <c r="G90" s="17">
        <f t="shared" si="11"/>
        <v>0</v>
      </c>
      <c r="I90" s="60">
        <v>8979</v>
      </c>
      <c r="J90" s="61"/>
      <c r="K90" s="62" t="s">
        <v>285</v>
      </c>
      <c r="L90" s="62">
        <f t="shared" si="13"/>
        <v>26</v>
      </c>
      <c r="M90" s="62" t="str">
        <f t="shared" si="14"/>
        <v>ks</v>
      </c>
      <c r="N90" s="62"/>
      <c r="O90" s="63"/>
      <c r="P90" s="64">
        <v>605.40062176165804</v>
      </c>
      <c r="Q90" s="64">
        <v>0</v>
      </c>
      <c r="R90" s="64"/>
      <c r="S90" s="65">
        <f t="shared" si="15"/>
        <v>15740.41616580311</v>
      </c>
    </row>
    <row r="91" spans="1:19" s="7" customFormat="1" x14ac:dyDescent="0.4">
      <c r="A91" s="13">
        <v>19</v>
      </c>
      <c r="B91" s="15"/>
      <c r="C91" s="34" t="s">
        <v>149</v>
      </c>
      <c r="D91" s="13">
        <v>26</v>
      </c>
      <c r="E91" s="15" t="s">
        <v>8</v>
      </c>
      <c r="F91" s="16"/>
      <c r="G91" s="17">
        <f t="shared" si="11"/>
        <v>0</v>
      </c>
      <c r="I91"/>
      <c r="J91"/>
      <c r="K91"/>
      <c r="L91"/>
      <c r="M91"/>
      <c r="N91"/>
      <c r="O91"/>
      <c r="P91"/>
      <c r="Q91"/>
      <c r="R91"/>
      <c r="S91"/>
    </row>
    <row r="92" spans="1:19" s="7" customFormat="1" x14ac:dyDescent="0.3">
      <c r="A92" s="13">
        <v>20</v>
      </c>
      <c r="B92" s="33" t="s">
        <v>150</v>
      </c>
      <c r="C92" s="34" t="s">
        <v>151</v>
      </c>
      <c r="D92" s="15">
        <v>24</v>
      </c>
      <c r="E92" s="13" t="s">
        <v>8</v>
      </c>
      <c r="F92" s="16"/>
      <c r="G92" s="17">
        <f t="shared" si="11"/>
        <v>0</v>
      </c>
      <c r="I92" s="60">
        <v>9563</v>
      </c>
      <c r="J92" s="61"/>
      <c r="K92" s="62" t="s">
        <v>286</v>
      </c>
      <c r="L92" s="62">
        <f t="shared" si="13"/>
        <v>24</v>
      </c>
      <c r="M92" s="62" t="str">
        <f t="shared" si="14"/>
        <v>ks</v>
      </c>
      <c r="N92" s="62"/>
      <c r="O92" s="63"/>
      <c r="P92" s="64">
        <v>5708.8772020725391</v>
      </c>
      <c r="Q92" s="64">
        <v>0</v>
      </c>
      <c r="R92" s="64"/>
      <c r="S92" s="65">
        <f t="shared" si="15"/>
        <v>137013.05284974095</v>
      </c>
    </row>
    <row r="93" spans="1:19" s="7" customFormat="1" x14ac:dyDescent="0.3">
      <c r="A93" s="13">
        <v>21</v>
      </c>
      <c r="B93" s="33" t="s">
        <v>152</v>
      </c>
      <c r="C93" s="34" t="s">
        <v>153</v>
      </c>
      <c r="D93" s="15">
        <v>2</v>
      </c>
      <c r="E93" s="13" t="s">
        <v>8</v>
      </c>
      <c r="F93" s="16"/>
      <c r="G93" s="17">
        <f t="shared" si="11"/>
        <v>0</v>
      </c>
      <c r="I93" s="60">
        <v>8997</v>
      </c>
      <c r="J93" s="61"/>
      <c r="K93" s="62" t="s">
        <v>287</v>
      </c>
      <c r="L93" s="62">
        <f t="shared" si="13"/>
        <v>2</v>
      </c>
      <c r="M93" s="62" t="str">
        <f t="shared" si="14"/>
        <v>ks</v>
      </c>
      <c r="N93" s="62"/>
      <c r="O93" s="63"/>
      <c r="P93" s="64">
        <v>4324.5615544041457</v>
      </c>
      <c r="Q93" s="64">
        <v>0</v>
      </c>
      <c r="R93" s="64"/>
      <c r="S93" s="65">
        <f t="shared" si="15"/>
        <v>8649.1231088082914</v>
      </c>
    </row>
    <row r="94" spans="1:19" s="7" customFormat="1" x14ac:dyDescent="0.25">
      <c r="A94" s="13">
        <v>22</v>
      </c>
      <c r="B94" s="15" t="s">
        <v>154</v>
      </c>
      <c r="C94" s="34" t="s">
        <v>155</v>
      </c>
      <c r="D94" s="13">
        <v>52</v>
      </c>
      <c r="E94" s="15" t="s">
        <v>8</v>
      </c>
      <c r="F94" s="16"/>
      <c r="G94" s="17">
        <f t="shared" si="11"/>
        <v>0</v>
      </c>
      <c r="I94" s="60"/>
      <c r="J94" s="66">
        <v>8500071380</v>
      </c>
      <c r="K94" s="67" t="s">
        <v>302</v>
      </c>
      <c r="L94" s="62">
        <f t="shared" si="13"/>
        <v>52</v>
      </c>
      <c r="M94" s="62" t="str">
        <f t="shared" si="14"/>
        <v>ks</v>
      </c>
      <c r="N94" s="62"/>
      <c r="O94" s="63"/>
      <c r="P94" s="64">
        <v>69.612903225806448</v>
      </c>
      <c r="Q94" s="64">
        <v>0</v>
      </c>
      <c r="R94" s="64"/>
      <c r="S94" s="65">
        <f t="shared" si="15"/>
        <v>3619.8709677419351</v>
      </c>
    </row>
    <row r="95" spans="1:19" s="7" customFormat="1" x14ac:dyDescent="0.4">
      <c r="A95" s="13">
        <v>23</v>
      </c>
      <c r="B95" s="15"/>
      <c r="C95" s="34" t="s">
        <v>156</v>
      </c>
      <c r="D95" s="13">
        <v>208</v>
      </c>
      <c r="E95" s="15" t="s">
        <v>8</v>
      </c>
      <c r="F95" s="16"/>
      <c r="G95" s="17">
        <f t="shared" si="11"/>
        <v>0</v>
      </c>
      <c r="I95"/>
      <c r="J95"/>
      <c r="K95"/>
      <c r="L95"/>
      <c r="M95"/>
      <c r="N95"/>
      <c r="O95"/>
      <c r="P95"/>
      <c r="Q95"/>
      <c r="R95"/>
      <c r="S95"/>
    </row>
    <row r="96" spans="1:19" s="7" customFormat="1" x14ac:dyDescent="0.3">
      <c r="A96" s="13">
        <v>24</v>
      </c>
      <c r="B96" s="32" t="s">
        <v>157</v>
      </c>
      <c r="C96" s="34" t="s">
        <v>158</v>
      </c>
      <c r="D96" s="15">
        <v>10</v>
      </c>
      <c r="E96" s="13" t="s">
        <v>8</v>
      </c>
      <c r="F96" s="16"/>
      <c r="G96" s="17">
        <f t="shared" si="11"/>
        <v>0</v>
      </c>
      <c r="I96" s="66" t="s">
        <v>303</v>
      </c>
      <c r="J96" s="61"/>
      <c r="K96" s="69" t="s">
        <v>304</v>
      </c>
      <c r="L96" s="62">
        <f t="shared" si="13"/>
        <v>10</v>
      </c>
      <c r="M96" s="62" t="str">
        <f t="shared" si="14"/>
        <v>ks</v>
      </c>
      <c r="N96" s="62"/>
      <c r="O96" s="63"/>
      <c r="P96" s="64">
        <v>111.82795698924731</v>
      </c>
      <c r="Q96" s="64">
        <v>0</v>
      </c>
      <c r="R96" s="64"/>
      <c r="S96" s="65">
        <f t="shared" si="15"/>
        <v>1118.2795698924731</v>
      </c>
    </row>
    <row r="97" spans="1:19" s="7" customFormat="1" x14ac:dyDescent="0.25">
      <c r="A97" s="13">
        <v>25</v>
      </c>
      <c r="B97" s="15" t="s">
        <v>159</v>
      </c>
      <c r="C97" s="34" t="s">
        <v>160</v>
      </c>
      <c r="D97" s="13">
        <v>10</v>
      </c>
      <c r="E97" s="15" t="s">
        <v>8</v>
      </c>
      <c r="F97" s="16"/>
      <c r="G97" s="17">
        <f t="shared" si="11"/>
        <v>0</v>
      </c>
      <c r="I97" s="60">
        <v>5324</v>
      </c>
      <c r="J97" s="61"/>
      <c r="K97" s="62" t="s">
        <v>288</v>
      </c>
      <c r="L97" s="62">
        <f t="shared" si="13"/>
        <v>10</v>
      </c>
      <c r="M97" s="62" t="str">
        <f t="shared" si="14"/>
        <v>ks</v>
      </c>
      <c r="N97" s="62"/>
      <c r="O97" s="63"/>
      <c r="P97" s="64">
        <v>176.9119170984456</v>
      </c>
      <c r="Q97" s="64">
        <v>0</v>
      </c>
      <c r="R97" s="64"/>
      <c r="S97" s="65">
        <f t="shared" si="15"/>
        <v>1769.1191709844561</v>
      </c>
    </row>
    <row r="98" spans="1:19" s="7" customFormat="1" x14ac:dyDescent="0.3">
      <c r="A98" s="13">
        <v>26</v>
      </c>
      <c r="B98" s="33" t="s">
        <v>161</v>
      </c>
      <c r="C98" s="34" t="s">
        <v>162</v>
      </c>
      <c r="D98" s="15">
        <v>5</v>
      </c>
      <c r="E98" s="13" t="s">
        <v>8</v>
      </c>
      <c r="F98" s="16"/>
      <c r="G98" s="17">
        <f t="shared" si="11"/>
        <v>0</v>
      </c>
      <c r="I98" s="60">
        <v>23653</v>
      </c>
      <c r="J98" s="61"/>
      <c r="K98" s="62" t="s">
        <v>289</v>
      </c>
      <c r="L98" s="62">
        <f t="shared" si="13"/>
        <v>5</v>
      </c>
      <c r="M98" s="62" t="str">
        <f t="shared" si="14"/>
        <v>ks</v>
      </c>
      <c r="N98" s="62"/>
      <c r="O98" s="63"/>
      <c r="P98" s="64">
        <v>2577.2849740932643</v>
      </c>
      <c r="Q98" s="64">
        <v>0</v>
      </c>
      <c r="R98" s="64"/>
      <c r="S98" s="65">
        <f t="shared" si="15"/>
        <v>12886.424870466322</v>
      </c>
    </row>
    <row r="99" spans="1:19" s="7" customFormat="1" x14ac:dyDescent="0.3">
      <c r="A99" s="13">
        <v>27</v>
      </c>
      <c r="B99" s="33" t="s">
        <v>163</v>
      </c>
      <c r="C99" s="34" t="s">
        <v>164</v>
      </c>
      <c r="D99" s="15">
        <v>10</v>
      </c>
      <c r="E99" s="13" t="s">
        <v>8</v>
      </c>
      <c r="F99" s="16"/>
      <c r="G99" s="17">
        <f t="shared" si="11"/>
        <v>0</v>
      </c>
      <c r="I99" s="60">
        <v>8400</v>
      </c>
      <c r="J99" s="61"/>
      <c r="K99" s="62" t="s">
        <v>290</v>
      </c>
      <c r="L99" s="62">
        <f t="shared" si="13"/>
        <v>10</v>
      </c>
      <c r="M99" s="62" t="str">
        <f t="shared" si="14"/>
        <v>ks</v>
      </c>
      <c r="N99" s="62"/>
      <c r="O99" s="63"/>
      <c r="P99" s="64">
        <v>923.76165803108802</v>
      </c>
      <c r="Q99" s="64">
        <v>0</v>
      </c>
      <c r="R99" s="64"/>
      <c r="S99" s="65">
        <f t="shared" si="15"/>
        <v>9237.6165803108797</v>
      </c>
    </row>
    <row r="100" spans="1:19" s="7" customFormat="1" x14ac:dyDescent="0.3">
      <c r="A100" s="13">
        <v>28</v>
      </c>
      <c r="B100" s="33" t="s">
        <v>165</v>
      </c>
      <c r="C100" s="34" t="s">
        <v>166</v>
      </c>
      <c r="D100" s="15">
        <v>5</v>
      </c>
      <c r="E100" s="13" t="s">
        <v>8</v>
      </c>
      <c r="F100" s="16"/>
      <c r="G100" s="17">
        <f t="shared" si="11"/>
        <v>0</v>
      </c>
      <c r="I100" s="60">
        <v>16976</v>
      </c>
      <c r="J100" s="61"/>
      <c r="K100" s="62" t="s">
        <v>292</v>
      </c>
      <c r="L100" s="62">
        <f t="shared" si="13"/>
        <v>5</v>
      </c>
      <c r="M100" s="62" t="str">
        <f t="shared" si="14"/>
        <v>ks</v>
      </c>
      <c r="N100" s="62"/>
      <c r="O100" s="63"/>
      <c r="P100" s="64">
        <v>2362.1761658031087</v>
      </c>
      <c r="Q100" s="64">
        <v>0</v>
      </c>
      <c r="R100" s="64"/>
      <c r="S100" s="65">
        <f t="shared" si="15"/>
        <v>11810.880829015543</v>
      </c>
    </row>
    <row r="101" spans="1:19" s="7" customFormat="1" x14ac:dyDescent="0.25">
      <c r="A101" s="13">
        <v>29</v>
      </c>
      <c r="B101" s="15" t="s">
        <v>167</v>
      </c>
      <c r="C101" s="34" t="s">
        <v>168</v>
      </c>
      <c r="D101" s="13">
        <v>1</v>
      </c>
      <c r="E101" s="15" t="s">
        <v>8</v>
      </c>
      <c r="F101" s="16"/>
      <c r="G101" s="17">
        <f t="shared" si="11"/>
        <v>0</v>
      </c>
      <c r="I101" s="60">
        <v>22358</v>
      </c>
      <c r="J101" s="61"/>
      <c r="K101" s="62" t="s">
        <v>291</v>
      </c>
      <c r="L101" s="62">
        <f t="shared" si="13"/>
        <v>1</v>
      </c>
      <c r="M101" s="62" t="str">
        <f t="shared" si="14"/>
        <v>ks</v>
      </c>
      <c r="N101" s="62"/>
      <c r="O101" s="63"/>
      <c r="P101" s="64">
        <v>2058.1088082901556</v>
      </c>
      <c r="Q101" s="64">
        <v>0</v>
      </c>
      <c r="R101" s="64"/>
      <c r="S101" s="65">
        <f t="shared" si="15"/>
        <v>2058.1088082901556</v>
      </c>
    </row>
    <row r="102" spans="1:19" s="7" customFormat="1" x14ac:dyDescent="0.25">
      <c r="A102" s="13">
        <v>30</v>
      </c>
      <c r="B102" s="15" t="s">
        <v>169</v>
      </c>
      <c r="C102" s="34" t="s">
        <v>170</v>
      </c>
      <c r="D102" s="13">
        <v>20</v>
      </c>
      <c r="E102" s="15" t="s">
        <v>8</v>
      </c>
      <c r="F102" s="16"/>
      <c r="G102" s="17">
        <f t="shared" si="11"/>
        <v>0</v>
      </c>
      <c r="I102" s="60">
        <v>7736</v>
      </c>
      <c r="J102" s="61"/>
      <c r="K102" s="62" t="s">
        <v>295</v>
      </c>
      <c r="L102" s="62">
        <f t="shared" si="13"/>
        <v>20</v>
      </c>
      <c r="M102" s="62" t="str">
        <f t="shared" si="14"/>
        <v>ks</v>
      </c>
      <c r="N102" s="62"/>
      <c r="O102" s="63"/>
      <c r="P102" s="64">
        <v>19.098445595854923</v>
      </c>
      <c r="Q102" s="64">
        <v>0</v>
      </c>
      <c r="R102" s="64"/>
      <c r="S102" s="65">
        <f t="shared" si="15"/>
        <v>381.96891191709847</v>
      </c>
    </row>
    <row r="103" spans="1:19" s="7" customFormat="1" x14ac:dyDescent="0.25">
      <c r="A103" s="13">
        <v>31</v>
      </c>
      <c r="B103" s="15" t="s">
        <v>171</v>
      </c>
      <c r="C103" s="34" t="s">
        <v>172</v>
      </c>
      <c r="D103" s="13">
        <v>2145</v>
      </c>
      <c r="E103" s="15" t="s">
        <v>8</v>
      </c>
      <c r="F103" s="16"/>
      <c r="G103" s="17">
        <f t="shared" si="11"/>
        <v>0</v>
      </c>
      <c r="I103" s="75"/>
      <c r="J103" s="76">
        <v>8500188661</v>
      </c>
      <c r="K103" s="77" t="s">
        <v>305</v>
      </c>
      <c r="L103" s="77">
        <f t="shared" si="13"/>
        <v>2145</v>
      </c>
      <c r="M103" s="77" t="s">
        <v>9</v>
      </c>
      <c r="N103" s="77"/>
      <c r="O103" s="78"/>
      <c r="P103" s="79">
        <v>0</v>
      </c>
      <c r="Q103" s="79">
        <v>0</v>
      </c>
      <c r="R103" s="79"/>
      <c r="S103" s="80">
        <f t="shared" si="15"/>
        <v>0</v>
      </c>
    </row>
    <row r="104" spans="1:19" s="7" customFormat="1" x14ac:dyDescent="0.25">
      <c r="A104" s="13">
        <v>32</v>
      </c>
      <c r="B104" s="15" t="s">
        <v>173</v>
      </c>
      <c r="C104" s="34" t="s">
        <v>174</v>
      </c>
      <c r="D104" s="13">
        <v>126</v>
      </c>
      <c r="E104" s="15" t="s">
        <v>9</v>
      </c>
      <c r="F104" s="16"/>
      <c r="G104" s="17">
        <f t="shared" si="11"/>
        <v>0</v>
      </c>
      <c r="I104" s="75"/>
      <c r="J104" s="76">
        <v>8500057100</v>
      </c>
      <c r="K104" s="77" t="s">
        <v>307</v>
      </c>
      <c r="L104" s="77">
        <f t="shared" si="13"/>
        <v>126</v>
      </c>
      <c r="M104" s="77" t="str">
        <f t="shared" si="14"/>
        <v>m</v>
      </c>
      <c r="N104" s="77"/>
      <c r="O104" s="78"/>
      <c r="P104" s="79">
        <v>0</v>
      </c>
      <c r="Q104" s="79">
        <v>0</v>
      </c>
      <c r="R104" s="79"/>
      <c r="S104" s="80">
        <f t="shared" si="15"/>
        <v>0</v>
      </c>
    </row>
    <row r="105" spans="1:19" s="7" customFormat="1" x14ac:dyDescent="0.25">
      <c r="A105" s="13">
        <v>33</v>
      </c>
      <c r="B105" s="15"/>
      <c r="C105" s="34" t="s">
        <v>175</v>
      </c>
      <c r="D105" s="13">
        <v>126</v>
      </c>
      <c r="E105" s="15" t="s">
        <v>9</v>
      </c>
      <c r="F105" s="16"/>
      <c r="G105" s="17">
        <f t="shared" si="11"/>
        <v>0</v>
      </c>
      <c r="I105" s="60">
        <v>27655142</v>
      </c>
      <c r="J105" s="61">
        <v>8500048040</v>
      </c>
      <c r="K105" s="62" t="s">
        <v>252</v>
      </c>
      <c r="L105" s="62">
        <f t="shared" si="13"/>
        <v>126</v>
      </c>
      <c r="M105" s="62" t="str">
        <f t="shared" si="14"/>
        <v>m</v>
      </c>
      <c r="N105" s="62"/>
      <c r="O105" s="63"/>
      <c r="P105" s="64">
        <v>8.064516129032258</v>
      </c>
      <c r="Q105" s="64">
        <v>0</v>
      </c>
      <c r="R105" s="64"/>
      <c r="S105" s="65">
        <f t="shared" si="15"/>
        <v>1016.1290322580645</v>
      </c>
    </row>
    <row r="106" spans="1:19" s="7" customFormat="1" x14ac:dyDescent="0.25">
      <c r="A106" s="13">
        <v>34</v>
      </c>
      <c r="B106" s="15" t="s">
        <v>176</v>
      </c>
      <c r="C106" s="34" t="s">
        <v>177</v>
      </c>
      <c r="D106" s="13">
        <v>1716</v>
      </c>
      <c r="E106" s="15" t="s">
        <v>9</v>
      </c>
      <c r="F106" s="16"/>
      <c r="G106" s="17">
        <f t="shared" si="11"/>
        <v>0</v>
      </c>
      <c r="I106" s="75"/>
      <c r="J106" s="76">
        <v>8500192180</v>
      </c>
      <c r="K106" s="77" t="s">
        <v>306</v>
      </c>
      <c r="L106" s="77">
        <f t="shared" si="13"/>
        <v>1716</v>
      </c>
      <c r="M106" s="77" t="str">
        <f t="shared" si="14"/>
        <v>m</v>
      </c>
      <c r="N106" s="77"/>
      <c r="O106" s="78"/>
      <c r="P106" s="79">
        <v>0</v>
      </c>
      <c r="Q106" s="79">
        <v>0</v>
      </c>
      <c r="R106" s="79"/>
      <c r="S106" s="80">
        <f t="shared" si="15"/>
        <v>0</v>
      </c>
    </row>
    <row r="107" spans="1:19" s="7" customFormat="1" x14ac:dyDescent="0.25">
      <c r="A107" s="13">
        <v>35</v>
      </c>
      <c r="B107" s="15" t="s">
        <v>178</v>
      </c>
      <c r="C107" s="34" t="s">
        <v>179</v>
      </c>
      <c r="D107" s="13">
        <v>3432</v>
      </c>
      <c r="E107" s="15" t="s">
        <v>9</v>
      </c>
      <c r="F107" s="16"/>
      <c r="G107" s="17">
        <f t="shared" si="11"/>
        <v>0</v>
      </c>
      <c r="I107" s="75"/>
      <c r="J107" s="81">
        <v>8500022880</v>
      </c>
      <c r="K107" s="81" t="s">
        <v>308</v>
      </c>
      <c r="L107" s="77">
        <f t="shared" si="13"/>
        <v>3432</v>
      </c>
      <c r="M107" s="77" t="str">
        <f t="shared" si="14"/>
        <v>m</v>
      </c>
      <c r="N107" s="77"/>
      <c r="O107" s="78"/>
      <c r="P107" s="79">
        <v>0</v>
      </c>
      <c r="Q107" s="79">
        <v>0</v>
      </c>
      <c r="R107" s="79"/>
      <c r="S107" s="80">
        <f t="shared" si="15"/>
        <v>0</v>
      </c>
    </row>
    <row r="108" spans="1:19" s="7" customFormat="1" x14ac:dyDescent="0.4">
      <c r="A108" s="13">
        <v>36</v>
      </c>
      <c r="B108" s="15"/>
      <c r="C108" s="34" t="s">
        <v>180</v>
      </c>
      <c r="D108" s="13">
        <v>1</v>
      </c>
      <c r="E108" s="15" t="s">
        <v>8</v>
      </c>
      <c r="F108" s="16"/>
      <c r="G108" s="17">
        <f t="shared" si="11"/>
        <v>0</v>
      </c>
      <c r="I108"/>
      <c r="J108"/>
      <c r="K108"/>
      <c r="L108"/>
      <c r="M108"/>
      <c r="N108"/>
      <c r="O108"/>
      <c r="P108"/>
      <c r="Q108"/>
      <c r="R108"/>
      <c r="S108"/>
    </row>
    <row r="109" spans="1:19" s="7" customFormat="1" x14ac:dyDescent="0.4">
      <c r="A109" s="13">
        <v>37</v>
      </c>
      <c r="B109" s="15"/>
      <c r="C109" s="34" t="s">
        <v>181</v>
      </c>
      <c r="D109" s="13">
        <v>2</v>
      </c>
      <c r="E109" s="15" t="s">
        <v>8</v>
      </c>
      <c r="F109" s="16"/>
      <c r="G109" s="17">
        <f t="shared" si="11"/>
        <v>0</v>
      </c>
      <c r="I109"/>
      <c r="J109"/>
      <c r="K109"/>
      <c r="L109"/>
      <c r="M109"/>
      <c r="N109"/>
      <c r="O109"/>
      <c r="P109"/>
      <c r="Q109"/>
      <c r="R109"/>
      <c r="S109"/>
    </row>
    <row r="110" spans="1:19" s="7" customFormat="1" x14ac:dyDescent="0.3">
      <c r="A110" s="13">
        <v>38</v>
      </c>
      <c r="B110" s="33" t="s">
        <v>182</v>
      </c>
      <c r="C110" s="33" t="s">
        <v>183</v>
      </c>
      <c r="D110" s="15">
        <v>2</v>
      </c>
      <c r="E110" s="13" t="s">
        <v>8</v>
      </c>
      <c r="F110" s="16"/>
      <c r="G110" s="17">
        <f t="shared" si="11"/>
        <v>0</v>
      </c>
      <c r="I110" s="60">
        <v>6691</v>
      </c>
      <c r="J110" s="61"/>
      <c r="K110" s="62" t="s">
        <v>294</v>
      </c>
      <c r="L110" s="62">
        <f t="shared" si="13"/>
        <v>2</v>
      </c>
      <c r="M110" s="62" t="str">
        <f t="shared" si="14"/>
        <v>ks</v>
      </c>
      <c r="N110" s="62"/>
      <c r="O110" s="63"/>
      <c r="P110" s="64">
        <v>190.9844559585492</v>
      </c>
      <c r="Q110" s="64">
        <v>0</v>
      </c>
      <c r="R110" s="64"/>
      <c r="S110" s="65">
        <f t="shared" si="15"/>
        <v>381.96891191709841</v>
      </c>
    </row>
    <row r="111" spans="1:19" s="7" customFormat="1" x14ac:dyDescent="0.3">
      <c r="A111" s="13">
        <v>39</v>
      </c>
      <c r="B111" s="33" t="s">
        <v>184</v>
      </c>
      <c r="C111" s="33" t="s">
        <v>185</v>
      </c>
      <c r="D111" s="15">
        <v>2</v>
      </c>
      <c r="E111" s="13" t="s">
        <v>8</v>
      </c>
      <c r="F111" s="16"/>
      <c r="G111" s="17">
        <f t="shared" si="11"/>
        <v>0</v>
      </c>
      <c r="I111" s="60">
        <v>7250</v>
      </c>
      <c r="J111" s="61"/>
      <c r="K111" s="62" t="s">
        <v>293</v>
      </c>
      <c r="L111" s="62">
        <f t="shared" si="13"/>
        <v>2</v>
      </c>
      <c r="M111" s="62" t="str">
        <f t="shared" si="14"/>
        <v>ks</v>
      </c>
      <c r="N111" s="62"/>
      <c r="O111" s="63"/>
      <c r="P111" s="64">
        <v>190.9844559585492</v>
      </c>
      <c r="Q111" s="64">
        <v>0</v>
      </c>
      <c r="R111" s="64"/>
      <c r="S111" s="65">
        <f t="shared" si="15"/>
        <v>381.96891191709841</v>
      </c>
    </row>
    <row r="112" spans="1:19" s="7" customFormat="1" x14ac:dyDescent="0.25">
      <c r="A112" s="13">
        <v>40</v>
      </c>
      <c r="B112" s="15" t="s">
        <v>186</v>
      </c>
      <c r="C112" s="34" t="s">
        <v>187</v>
      </c>
      <c r="D112" s="13">
        <v>1</v>
      </c>
      <c r="E112" s="15" t="s">
        <v>8</v>
      </c>
      <c r="F112" s="16"/>
      <c r="G112" s="17">
        <f t="shared" si="11"/>
        <v>0</v>
      </c>
      <c r="I112" s="60">
        <v>22728</v>
      </c>
      <c r="J112" s="61"/>
      <c r="K112" s="62" t="s">
        <v>296</v>
      </c>
      <c r="L112" s="62">
        <f t="shared" si="13"/>
        <v>1</v>
      </c>
      <c r="M112" s="62" t="str">
        <f t="shared" si="14"/>
        <v>ks</v>
      </c>
      <c r="N112" s="62"/>
      <c r="O112" s="63"/>
      <c r="P112" s="64">
        <v>1624.3730569948186</v>
      </c>
      <c r="Q112" s="64">
        <v>0</v>
      </c>
      <c r="R112" s="64"/>
      <c r="S112" s="65">
        <f t="shared" si="15"/>
        <v>1624.3730569948186</v>
      </c>
    </row>
    <row r="113" spans="1:19" s="7" customFormat="1" x14ac:dyDescent="0.25">
      <c r="A113" s="13">
        <v>41</v>
      </c>
      <c r="B113" s="15" t="s">
        <v>188</v>
      </c>
      <c r="C113" s="34" t="s">
        <v>189</v>
      </c>
      <c r="D113" s="13">
        <v>2</v>
      </c>
      <c r="E113" s="15" t="s">
        <v>8</v>
      </c>
      <c r="F113" s="16"/>
      <c r="G113" s="17">
        <f t="shared" si="11"/>
        <v>0</v>
      </c>
      <c r="I113" s="60">
        <v>12149</v>
      </c>
      <c r="J113" s="61"/>
      <c r="K113" s="62" t="s">
        <v>297</v>
      </c>
      <c r="L113" s="62">
        <f t="shared" si="13"/>
        <v>2</v>
      </c>
      <c r="M113" s="62" t="str">
        <f t="shared" si="14"/>
        <v>ks</v>
      </c>
      <c r="N113" s="62"/>
      <c r="O113" s="63"/>
      <c r="P113" s="64">
        <v>2846.6735751295337</v>
      </c>
      <c r="Q113" s="64">
        <v>0</v>
      </c>
      <c r="R113" s="64"/>
      <c r="S113" s="65">
        <f t="shared" si="15"/>
        <v>5693.3471502590673</v>
      </c>
    </row>
    <row r="114" spans="1:19" x14ac:dyDescent="0.4">
      <c r="A114" s="18"/>
      <c r="B114" s="18"/>
      <c r="C114" s="19" t="s">
        <v>7</v>
      </c>
      <c r="D114" s="20"/>
      <c r="E114" s="21"/>
      <c r="F114" s="22"/>
      <c r="G114" s="23">
        <f>SUM(G73:G113)</f>
        <v>0</v>
      </c>
    </row>
    <row r="115" spans="1:19" x14ac:dyDescent="0.4">
      <c r="B115" s="24"/>
      <c r="C115" s="25" t="s">
        <v>11</v>
      </c>
      <c r="D115" s="13"/>
      <c r="E115" s="26"/>
      <c r="G115" s="27">
        <f>0.21*G114</f>
        <v>0</v>
      </c>
    </row>
    <row r="118" spans="1:19" ht="15.45" x14ac:dyDescent="0.4">
      <c r="C118" s="6" t="s">
        <v>190</v>
      </c>
    </row>
    <row r="119" spans="1:19" x14ac:dyDescent="0.4">
      <c r="A119" s="9" t="s">
        <v>2</v>
      </c>
      <c r="B119" s="9" t="s">
        <v>3</v>
      </c>
      <c r="C119" s="9" t="s">
        <v>4</v>
      </c>
      <c r="D119" s="10"/>
      <c r="E119" s="11" t="s">
        <v>5</v>
      </c>
      <c r="F119" s="12" t="s">
        <v>6</v>
      </c>
      <c r="G119" s="11" t="s">
        <v>7</v>
      </c>
    </row>
    <row r="120" spans="1:19" s="7" customFormat="1" x14ac:dyDescent="0.25">
      <c r="A120" s="13">
        <v>1</v>
      </c>
      <c r="B120" s="13" t="s">
        <v>191</v>
      </c>
      <c r="C120" s="14" t="s">
        <v>192</v>
      </c>
      <c r="D120" s="15">
        <v>234</v>
      </c>
      <c r="E120" s="15" t="s">
        <v>9</v>
      </c>
      <c r="F120" s="16"/>
      <c r="G120" s="17">
        <f t="shared" ref="G120:G132" si="19">D120*F120</f>
        <v>0</v>
      </c>
      <c r="I120" s="75"/>
      <c r="J120" s="81">
        <v>8500022480</v>
      </c>
      <c r="K120" s="81" t="s">
        <v>269</v>
      </c>
      <c r="L120" s="77">
        <f t="shared" ref="L120" si="20">D120</f>
        <v>234</v>
      </c>
      <c r="M120" s="77" t="str">
        <f t="shared" ref="M120" si="21">E120</f>
        <v>m</v>
      </c>
      <c r="N120" s="77"/>
      <c r="O120" s="78"/>
      <c r="P120" s="79">
        <v>0</v>
      </c>
      <c r="Q120" s="79">
        <v>0</v>
      </c>
      <c r="R120" s="79"/>
      <c r="S120" s="80">
        <f t="shared" ref="S120" si="22">(P120*L120)+(Q120*L120)</f>
        <v>0</v>
      </c>
    </row>
    <row r="121" spans="1:19" s="7" customFormat="1" x14ac:dyDescent="0.4">
      <c r="A121" s="13">
        <v>2</v>
      </c>
      <c r="B121" s="13"/>
      <c r="C121" s="14" t="s">
        <v>193</v>
      </c>
      <c r="D121" s="15">
        <v>1</v>
      </c>
      <c r="E121" s="15" t="s">
        <v>10</v>
      </c>
      <c r="F121" s="16"/>
      <c r="G121" s="17">
        <f t="shared" si="19"/>
        <v>0</v>
      </c>
    </row>
    <row r="122" spans="1:19" s="7" customFormat="1" x14ac:dyDescent="0.4">
      <c r="A122" s="13">
        <v>3</v>
      </c>
      <c r="B122" s="13"/>
      <c r="C122" s="14" t="s">
        <v>194</v>
      </c>
      <c r="D122" s="15">
        <v>1</v>
      </c>
      <c r="E122" s="15" t="s">
        <v>10</v>
      </c>
      <c r="F122" s="16"/>
      <c r="G122" s="17">
        <f t="shared" si="19"/>
        <v>0</v>
      </c>
    </row>
    <row r="123" spans="1:19" s="7" customFormat="1" x14ac:dyDescent="0.4">
      <c r="A123" s="13">
        <v>4</v>
      </c>
      <c r="B123" s="13"/>
      <c r="C123" s="14" t="s">
        <v>195</v>
      </c>
      <c r="D123" s="15">
        <v>1</v>
      </c>
      <c r="E123" s="15" t="s">
        <v>10</v>
      </c>
      <c r="F123" s="16"/>
      <c r="G123" s="17">
        <f t="shared" si="19"/>
        <v>0</v>
      </c>
    </row>
    <row r="124" spans="1:19" s="7" customFormat="1" x14ac:dyDescent="0.4">
      <c r="A124" s="13">
        <v>5</v>
      </c>
      <c r="B124" s="13"/>
      <c r="C124" s="14" t="s">
        <v>196</v>
      </c>
      <c r="D124" s="15">
        <v>1</v>
      </c>
      <c r="E124" s="15" t="s">
        <v>10</v>
      </c>
      <c r="F124" s="16"/>
      <c r="G124" s="17">
        <f t="shared" si="19"/>
        <v>0</v>
      </c>
    </row>
    <row r="125" spans="1:19" s="7" customFormat="1" x14ac:dyDescent="0.4">
      <c r="A125" s="13">
        <v>6</v>
      </c>
      <c r="B125" s="13"/>
      <c r="C125" s="14" t="s">
        <v>197</v>
      </c>
      <c r="D125" s="15">
        <v>1</v>
      </c>
      <c r="E125" s="15" t="s">
        <v>10</v>
      </c>
      <c r="F125" s="16"/>
      <c r="G125" s="17">
        <f t="shared" si="19"/>
        <v>0</v>
      </c>
    </row>
    <row r="126" spans="1:19" ht="24" x14ac:dyDescent="0.4">
      <c r="A126" s="13">
        <v>7</v>
      </c>
      <c r="B126" s="32" t="s">
        <v>198</v>
      </c>
      <c r="C126" s="32" t="s">
        <v>199</v>
      </c>
      <c r="D126" s="15">
        <v>10</v>
      </c>
      <c r="E126" s="13" t="s">
        <v>8</v>
      </c>
      <c r="F126" s="16"/>
      <c r="G126" s="17">
        <f t="shared" si="19"/>
        <v>0</v>
      </c>
      <c r="I126" s="82">
        <v>21986</v>
      </c>
      <c r="J126" s="83"/>
      <c r="K126" s="84" t="s">
        <v>260</v>
      </c>
      <c r="L126" s="84">
        <f t="shared" ref="L126:L132" si="23">D126</f>
        <v>10</v>
      </c>
      <c r="M126" s="84" t="str">
        <f t="shared" ref="M126:M132" si="24">E126</f>
        <v>ks</v>
      </c>
      <c r="N126" s="84"/>
      <c r="O126" s="85"/>
      <c r="P126" s="86">
        <v>988.18279569892468</v>
      </c>
      <c r="Q126" s="86">
        <v>0</v>
      </c>
      <c r="R126" s="86"/>
      <c r="S126" s="87">
        <f t="shared" ref="S126:S132" si="25">(P126*L126)+(Q126*L126)</f>
        <v>9881.8279569892475</v>
      </c>
    </row>
    <row r="127" spans="1:19" ht="24" x14ac:dyDescent="0.4">
      <c r="A127" s="13">
        <v>8</v>
      </c>
      <c r="B127" s="32" t="s">
        <v>200</v>
      </c>
      <c r="C127" s="32" t="s">
        <v>201</v>
      </c>
      <c r="D127" s="15">
        <v>3</v>
      </c>
      <c r="E127" s="13" t="s">
        <v>8</v>
      </c>
      <c r="F127" s="16"/>
      <c r="G127" s="17">
        <f t="shared" si="19"/>
        <v>0</v>
      </c>
      <c r="I127" s="82">
        <v>21989</v>
      </c>
      <c r="J127" s="83"/>
      <c r="K127" s="84" t="s">
        <v>261</v>
      </c>
      <c r="L127" s="84">
        <f t="shared" si="23"/>
        <v>3</v>
      </c>
      <c r="M127" s="84" t="str">
        <f t="shared" si="24"/>
        <v>ks</v>
      </c>
      <c r="N127" s="84"/>
      <c r="O127" s="85"/>
      <c r="P127" s="86">
        <v>426.54838709677415</v>
      </c>
      <c r="Q127" s="86">
        <v>0</v>
      </c>
      <c r="R127" s="86"/>
      <c r="S127" s="87">
        <f t="shared" si="25"/>
        <v>1279.6451612903224</v>
      </c>
    </row>
    <row r="128" spans="1:19" ht="81.900000000000006" x14ac:dyDescent="0.4">
      <c r="A128" s="13">
        <v>9</v>
      </c>
      <c r="B128" s="15" t="s">
        <v>202</v>
      </c>
      <c r="C128" s="32" t="s">
        <v>203</v>
      </c>
      <c r="D128" s="15">
        <v>1</v>
      </c>
      <c r="E128" s="13" t="s">
        <v>8</v>
      </c>
      <c r="F128" s="16"/>
      <c r="G128" s="17">
        <f t="shared" si="19"/>
        <v>0</v>
      </c>
      <c r="I128" s="82">
        <v>27833</v>
      </c>
      <c r="J128" s="83"/>
      <c r="K128" s="84" t="s">
        <v>262</v>
      </c>
      <c r="L128" s="84">
        <f t="shared" si="23"/>
        <v>1</v>
      </c>
      <c r="M128" s="84" t="str">
        <f t="shared" si="24"/>
        <v>ks</v>
      </c>
      <c r="N128" s="84"/>
      <c r="O128" s="85"/>
      <c r="P128" s="86">
        <v>18476.849462365593</v>
      </c>
      <c r="Q128" s="86">
        <v>0</v>
      </c>
      <c r="R128" s="86"/>
      <c r="S128" s="87">
        <f t="shared" si="25"/>
        <v>18476.849462365593</v>
      </c>
    </row>
    <row r="129" spans="1:20" s="7" customFormat="1" x14ac:dyDescent="0.25">
      <c r="A129" s="13">
        <v>10</v>
      </c>
      <c r="B129" s="13"/>
      <c r="C129" s="14" t="s">
        <v>204</v>
      </c>
      <c r="D129" s="15">
        <v>2</v>
      </c>
      <c r="E129" s="15" t="s">
        <v>8</v>
      </c>
      <c r="F129" s="16"/>
      <c r="G129" s="17">
        <f t="shared" si="19"/>
        <v>0</v>
      </c>
      <c r="I129" s="82">
        <v>12855</v>
      </c>
      <c r="J129" s="83"/>
      <c r="K129" s="84" t="s">
        <v>263</v>
      </c>
      <c r="L129" s="84">
        <f t="shared" si="23"/>
        <v>2</v>
      </c>
      <c r="M129" s="84" t="str">
        <f t="shared" si="24"/>
        <v>ks</v>
      </c>
      <c r="N129" s="84"/>
      <c r="O129" s="85"/>
      <c r="P129" s="86">
        <v>29.1505376344086</v>
      </c>
      <c r="Q129" s="86">
        <v>0</v>
      </c>
      <c r="R129" s="86"/>
      <c r="S129" s="87">
        <f t="shared" si="25"/>
        <v>58.3010752688172</v>
      </c>
    </row>
    <row r="130" spans="1:20" s="7" customFormat="1" x14ac:dyDescent="0.25">
      <c r="A130" s="13"/>
      <c r="B130" s="13"/>
      <c r="C130" s="14"/>
      <c r="D130" s="15"/>
      <c r="E130" s="15"/>
      <c r="F130" s="16"/>
      <c r="G130" s="17"/>
      <c r="I130" s="82">
        <v>28005</v>
      </c>
      <c r="J130" s="83"/>
      <c r="K130" s="84" t="s">
        <v>264</v>
      </c>
      <c r="L130" s="84">
        <v>3</v>
      </c>
      <c r="M130" s="84" t="s">
        <v>8</v>
      </c>
      <c r="N130" s="84"/>
      <c r="O130" s="85"/>
      <c r="P130" s="86">
        <v>148.76</v>
      </c>
      <c r="Q130" s="86">
        <v>0</v>
      </c>
      <c r="R130" s="86"/>
      <c r="S130" s="87">
        <f t="shared" ref="S130" si="26">(P130*L130)+(Q130*L130)</f>
        <v>446.28</v>
      </c>
    </row>
    <row r="131" spans="1:20" s="7" customFormat="1" x14ac:dyDescent="0.4">
      <c r="A131" s="13">
        <v>11</v>
      </c>
      <c r="B131" s="13"/>
      <c r="C131" s="14" t="s">
        <v>205</v>
      </c>
      <c r="D131" s="15">
        <v>2</v>
      </c>
      <c r="E131" s="15" t="s">
        <v>8</v>
      </c>
      <c r="F131" s="16"/>
      <c r="G131" s="17">
        <f t="shared" si="19"/>
        <v>0</v>
      </c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</row>
    <row r="132" spans="1:20" s="7" customFormat="1" x14ac:dyDescent="0.25">
      <c r="A132" s="13">
        <v>12</v>
      </c>
      <c r="B132" s="13"/>
      <c r="C132" s="14" t="s">
        <v>206</v>
      </c>
      <c r="D132" s="15">
        <v>34</v>
      </c>
      <c r="E132" s="15" t="s">
        <v>9</v>
      </c>
      <c r="F132" s="16"/>
      <c r="G132" s="17">
        <f t="shared" si="19"/>
        <v>0</v>
      </c>
      <c r="I132" s="90"/>
      <c r="J132" s="88">
        <v>8500060062</v>
      </c>
      <c r="K132" s="88" t="s">
        <v>265</v>
      </c>
      <c r="L132" s="84">
        <f t="shared" si="23"/>
        <v>34</v>
      </c>
      <c r="M132" s="84" t="str">
        <f t="shared" si="24"/>
        <v>m</v>
      </c>
      <c r="N132" s="84"/>
      <c r="O132" s="85"/>
      <c r="P132" s="86">
        <v>8.6021505376344081</v>
      </c>
      <c r="Q132" s="86">
        <v>0</v>
      </c>
      <c r="R132" s="86"/>
      <c r="S132" s="87">
        <f t="shared" si="25"/>
        <v>292.47311827956986</v>
      </c>
    </row>
    <row r="133" spans="1:20" x14ac:dyDescent="0.4">
      <c r="A133" s="18"/>
      <c r="B133" s="18"/>
      <c r="C133" s="19" t="s">
        <v>7</v>
      </c>
      <c r="D133" s="56"/>
      <c r="E133" s="21"/>
      <c r="F133" s="22"/>
      <c r="G133" s="23">
        <f>SUM(G120:G132)</f>
        <v>0</v>
      </c>
      <c r="O133" s="70"/>
      <c r="P133" s="71" t="s">
        <v>309</v>
      </c>
      <c r="Q133" s="71"/>
      <c r="R133" s="71"/>
      <c r="S133" s="72">
        <f>SUM(S11:S132)</f>
        <v>890666.81274003407</v>
      </c>
    </row>
    <row r="134" spans="1:20" x14ac:dyDescent="0.4">
      <c r="B134" s="24"/>
      <c r="C134" s="25" t="s">
        <v>11</v>
      </c>
      <c r="E134" s="26"/>
      <c r="G134" s="27">
        <f>0.21*G133</f>
        <v>0</v>
      </c>
      <c r="P134" s="94"/>
      <c r="Q134" s="95" t="s">
        <v>316</v>
      </c>
      <c r="R134" s="95"/>
      <c r="S134" s="96">
        <f>SUM(S73:S113)</f>
        <v>423379.27573569567</v>
      </c>
    </row>
    <row r="135" spans="1:20" x14ac:dyDescent="0.4">
      <c r="P135" s="97"/>
      <c r="Q135" s="98" t="s">
        <v>317</v>
      </c>
      <c r="R135" s="98"/>
      <c r="S135" s="99">
        <v>460896.15457838133</v>
      </c>
      <c r="T135" s="107">
        <f>S134-S135</f>
        <v>-37516.878842685663</v>
      </c>
    </row>
    <row r="136" spans="1:20" x14ac:dyDescent="0.4">
      <c r="K136" s="74" t="s">
        <v>310</v>
      </c>
      <c r="S136" s="100">
        <f>S134/S135-1</f>
        <v>-8.1399852157597929E-2</v>
      </c>
    </row>
    <row r="137" spans="1:20" x14ac:dyDescent="0.4">
      <c r="K137" s="73" t="s">
        <v>311</v>
      </c>
      <c r="P137" s="102"/>
      <c r="Q137" s="103" t="s">
        <v>318</v>
      </c>
      <c r="R137" s="103"/>
      <c r="S137" s="96">
        <v>233311.42044142613</v>
      </c>
    </row>
    <row r="138" spans="1:20" x14ac:dyDescent="0.4">
      <c r="K138" s="73" t="s">
        <v>312</v>
      </c>
      <c r="P138" s="104"/>
      <c r="Q138" s="105" t="s">
        <v>319</v>
      </c>
      <c r="R138" s="105"/>
      <c r="S138" s="106">
        <v>239383.78044142615</v>
      </c>
      <c r="T138" s="107">
        <f>S137-S138</f>
        <v>-6072.3600000000151</v>
      </c>
    </row>
    <row r="139" spans="1:20" x14ac:dyDescent="0.4">
      <c r="K139" s="73" t="s">
        <v>313</v>
      </c>
      <c r="S139" s="100">
        <f>S137/S138-1</f>
        <v>-2.536663089204505E-2</v>
      </c>
    </row>
    <row r="140" spans="1:20" x14ac:dyDescent="0.4">
      <c r="K140" s="73" t="s">
        <v>314</v>
      </c>
      <c r="S140" s="100"/>
    </row>
    <row r="142" spans="1:20" x14ac:dyDescent="0.4">
      <c r="K142" s="73"/>
    </row>
    <row r="143" spans="1:20" x14ac:dyDescent="0.4">
      <c r="K143" s="73"/>
    </row>
  </sheetData>
  <mergeCells count="2">
    <mergeCell ref="A2:G3"/>
    <mergeCell ref="A4:G5"/>
  </mergeCells>
  <phoneticPr fontId="21" type="noConversion"/>
  <hyperlinks>
    <hyperlink ref="I65" r:id="rId1" xr:uid="{00000000-0004-0000-0000-000000000000}"/>
    <hyperlink ref="I66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Hrabcik</dc:creator>
  <cp:lastModifiedBy>Martin Hrabcik</cp:lastModifiedBy>
  <dcterms:created xsi:type="dcterms:W3CDTF">2015-06-05T18:19:34Z</dcterms:created>
  <dcterms:modified xsi:type="dcterms:W3CDTF">2025-04-14T12:44:17Z</dcterms:modified>
</cp:coreProperties>
</file>