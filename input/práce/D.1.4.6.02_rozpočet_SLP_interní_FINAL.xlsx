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traterasro-my.sharepoint.com/personal/martinhrabcik_straterasro_onmicrosoft_com/Documents/Stratera/01_Zakázky/01_Realizace/2024_zakázky/24010_DEK Cheb/03_Rozpočty/"/>
    </mc:Choice>
  </mc:AlternateContent>
  <xr:revisionPtr revIDLastSave="14" documentId="8_{ADB78CDE-70CE-4CDD-8BB0-DC223B677E96}" xr6:coauthVersionLast="47" xr6:coauthVersionMax="47" xr10:uidLastSave="{5C0703FD-0FC0-4072-9CF1-1182F6892A1B}"/>
  <bookViews>
    <workbookView xWindow="45972" yWindow="-5088" windowWidth="17496" windowHeight="30336" xr2:uid="{00000000-000D-0000-FFFF-FFFF00000000}"/>
  </bookViews>
  <sheets>
    <sheet name="SLP" sheetId="2" r:id="rId1"/>
  </sheets>
  <definedNames>
    <definedName name="_dph1">#REF!</definedName>
    <definedName name="_dph2">#REF!</definedName>
    <definedName name="_dph3">#REF!</definedName>
    <definedName name="_pol1">SLP!#REF!</definedName>
    <definedName name="_pol2">SLP!#REF!</definedName>
    <definedName name="_pol3">SLP!#REF!</definedName>
    <definedName name="footer">#REF!</definedName>
    <definedName name="footer2">SLP!#REF!</definedName>
    <definedName name="head1">#REF!</definedName>
    <definedName name="Header">#REF!</definedName>
    <definedName name="Header2">SLP!#REF!</definedName>
    <definedName name="Hlava1">#REF!</definedName>
    <definedName name="Hlava2">#REF!</definedName>
    <definedName name="Hlava3">#REF!</definedName>
    <definedName name="Hlava4">#REF!</definedName>
    <definedName name="polbezcen1">SLP!#REF!</definedName>
    <definedName name="polcen2">SLP!#REF!</definedName>
    <definedName name="polcen3">SLP!#REF!</definedName>
    <definedName name="Poznamka">#REF!</definedName>
    <definedName name="ZakHead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2" l="1"/>
  <c r="G25" i="2"/>
  <c r="G17" i="2" l="1"/>
  <c r="G103" i="2"/>
  <c r="G104" i="2"/>
  <c r="G108" i="2"/>
  <c r="G105" i="2"/>
  <c r="G13" i="2"/>
  <c r="G20" i="2"/>
  <c r="G16" i="2"/>
  <c r="G29" i="2"/>
  <c r="G22" i="2"/>
  <c r="G27" i="2"/>
  <c r="G21" i="2"/>
  <c r="G107" i="2"/>
  <c r="G19" i="2"/>
  <c r="G11" i="2"/>
  <c r="G106" i="2"/>
  <c r="G10" i="2"/>
  <c r="G98" i="2"/>
  <c r="G12" i="2"/>
  <c r="G101" i="2"/>
  <c r="G26" i="2"/>
  <c r="G18" i="2"/>
  <c r="G23" i="2"/>
  <c r="G9" i="2"/>
  <c r="G14" i="2"/>
  <c r="G24" i="2"/>
  <c r="G256" i="2"/>
  <c r="G283" i="2"/>
  <c r="G285" i="2"/>
  <c r="G284" i="2"/>
  <c r="G178" i="2"/>
  <c r="G177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10" i="2"/>
  <c r="G109" i="2"/>
  <c r="G102" i="2"/>
  <c r="G100" i="2"/>
  <c r="G99" i="2"/>
  <c r="G71" i="2" l="1"/>
  <c r="G70" i="2"/>
  <c r="G69" i="2"/>
  <c r="G250" i="2" l="1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51" i="2" l="1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8" i="2"/>
  <c r="G325" i="2" l="1"/>
  <c r="G324" i="2"/>
  <c r="G323" i="2"/>
  <c r="G309" i="2"/>
  <c r="G308" i="2"/>
  <c r="G307" i="2"/>
  <c r="G306" i="2"/>
  <c r="G176" i="2" l="1"/>
  <c r="G175" i="2"/>
  <c r="G174" i="2"/>
  <c r="G173" i="2"/>
  <c r="G172" i="2"/>
  <c r="G171" i="2"/>
  <c r="G170" i="2"/>
  <c r="G169" i="2"/>
  <c r="G168" i="2"/>
  <c r="G167" i="2"/>
  <c r="G179" i="2" l="1"/>
  <c r="G322" i="2"/>
  <c r="G321" i="2"/>
  <c r="G320" i="2"/>
  <c r="G319" i="2"/>
  <c r="G318" i="2"/>
  <c r="G317" i="2"/>
  <c r="G316" i="2"/>
  <c r="G315" i="2"/>
  <c r="G314" i="2"/>
  <c r="G305" i="2"/>
  <c r="G304" i="2"/>
  <c r="G303" i="2"/>
  <c r="G302" i="2"/>
  <c r="G301" i="2"/>
  <c r="G300" i="2"/>
  <c r="G299" i="2"/>
  <c r="G298" i="2"/>
  <c r="G297" i="2"/>
  <c r="G296" i="2"/>
  <c r="G295" i="2"/>
  <c r="G294" i="2"/>
  <c r="G293" i="2"/>
  <c r="G292" i="2"/>
  <c r="G291" i="2"/>
  <c r="G290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8" i="2"/>
  <c r="G257" i="2"/>
  <c r="G255" i="2"/>
  <c r="G254" i="2"/>
  <c r="G253" i="2"/>
  <c r="G252" i="2"/>
  <c r="G251" i="2"/>
  <c r="G249" i="2"/>
  <c r="G248" i="2"/>
  <c r="G247" i="2"/>
  <c r="G246" i="2"/>
  <c r="G245" i="2"/>
  <c r="G286" i="2" l="1"/>
  <c r="G310" i="2"/>
  <c r="G326" i="2"/>
  <c r="G241" i="2"/>
  <c r="G115" i="2" l="1"/>
  <c r="G145" i="2" s="1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111" i="2" l="1"/>
  <c r="G68" i="2" l="1"/>
  <c r="G149" i="2" l="1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67" i="2"/>
  <c r="G66" i="2"/>
  <c r="G65" i="2"/>
  <c r="G64" i="2"/>
  <c r="G63" i="2"/>
  <c r="G62" i="2"/>
  <c r="G61" i="2"/>
  <c r="G60" i="2"/>
  <c r="G59" i="2"/>
  <c r="G58" i="2"/>
  <c r="G57" i="2"/>
  <c r="G56" i="2"/>
  <c r="G52" i="2"/>
  <c r="G72" i="2" l="1"/>
  <c r="G163" i="2"/>
  <c r="G330" i="2" l="1"/>
</calcChain>
</file>

<file path=xl/sharedStrings.xml><?xml version="1.0" encoding="utf-8"?>
<sst xmlns="http://schemas.openxmlformats.org/spreadsheetml/2006/main" count="849" uniqueCount="482">
  <si>
    <t>Celkem</t>
  </si>
  <si>
    <t>No.</t>
  </si>
  <si>
    <t>Číslo položky</t>
  </si>
  <si>
    <t>Popis položky</t>
  </si>
  <si>
    <t>Počet</t>
  </si>
  <si>
    <t>Jedn. cena</t>
  </si>
  <si>
    <t>Příprava kabelových tras, montáž + dodávka</t>
  </si>
  <si>
    <t>220 111761</t>
  </si>
  <si>
    <t>Svorka uzemňovací (mont. vč. materiálu)</t>
  </si>
  <si>
    <t>ks</t>
  </si>
  <si>
    <t>220 111765</t>
  </si>
  <si>
    <t>Změření zemního odporu</t>
  </si>
  <si>
    <t>KEV.000.8940</t>
  </si>
  <si>
    <t>m</t>
  </si>
  <si>
    <t>220 270329</t>
  </si>
  <si>
    <t>220 260021</t>
  </si>
  <si>
    <t>Krabice KO 68 pod omítku vč. vysekání lůžka  (mont. vč. materiálu)</t>
  </si>
  <si>
    <t>220 260024</t>
  </si>
  <si>
    <t>Krabice KO 97 pod omítku vč. vysekání lůžka (mont. vč. materiálu)</t>
  </si>
  <si>
    <t>220 260027</t>
  </si>
  <si>
    <t>Krabice KO 125 pod omítku vč. vysekání lůžka (mont. vč. materiálu)</t>
  </si>
  <si>
    <t>220 260028</t>
  </si>
  <si>
    <t>Krabice KT 250 pod omítku vč. vysekání lůžka (mont. vč. materiálu)</t>
  </si>
  <si>
    <t>220 260103</t>
  </si>
  <si>
    <t>220 260106</t>
  </si>
  <si>
    <t>Vyhledání vývodu, krabice</t>
  </si>
  <si>
    <t>220 260111</t>
  </si>
  <si>
    <t>Odvíčkování a zavíčkování krabice na závit</t>
  </si>
  <si>
    <t>220 260113</t>
  </si>
  <si>
    <t>Odvíčkování a zavíčkování krabice na 4 šrouby</t>
  </si>
  <si>
    <t>220 260552</t>
  </si>
  <si>
    <t>Trubka plastová ohebná pod omítkou nebo v podlaze 23 mm (mont. vč. materiálu)</t>
  </si>
  <si>
    <t>220 260554</t>
  </si>
  <si>
    <t>Trubka plastová ohebná pod omítkou nebo v podlaze 36 mm (mont. vč. materiálu)</t>
  </si>
  <si>
    <t>220 260542</t>
  </si>
  <si>
    <t>Trubka  plastová pevná na povrchu 23 mm (mont. vč. materiálu)</t>
  </si>
  <si>
    <t>220 260544</t>
  </si>
  <si>
    <t>Trubka  plastová pevná na povrchu 36 mm (mont. vč. materiálu)</t>
  </si>
  <si>
    <t>KEV.050.0400</t>
  </si>
  <si>
    <t>AY 2,5 B</t>
  </si>
  <si>
    <t>220 261661</t>
  </si>
  <si>
    <t>Značení trasy vedení</t>
  </si>
  <si>
    <t>220 270301</t>
  </si>
  <si>
    <t>Vodič v trubkovodu AY 2,5</t>
  </si>
  <si>
    <t>220 260924</t>
  </si>
  <si>
    <t>Kabelový rošt šíře 40cm  (mont. vč. základního i instalačního materiálu)</t>
  </si>
  <si>
    <t>220 261101</t>
  </si>
  <si>
    <t>Konstrukce ocelová do 5 kg na m (mont. vč. materiálu)</t>
  </si>
  <si>
    <t>220 261102</t>
  </si>
  <si>
    <t>Konstrukce ocelová do 10 kg na m (mont. vč. materiálu)</t>
  </si>
  <si>
    <t>220 261653</t>
  </si>
  <si>
    <t>Uchycení ocelové konstrukce beton</t>
  </si>
  <si>
    <t>220 261641</t>
  </si>
  <si>
    <t>Osazení hmoždinky 6 mm beton (mont. vč. materiálu)</t>
  </si>
  <si>
    <t>220 261642</t>
  </si>
  <si>
    <t>Osazení hmoždinky 8 mm beton (mont. vč. materiálu)</t>
  </si>
  <si>
    <t>220 261643</t>
  </si>
  <si>
    <t>Osazení hmoždinky 10 mm beton (mont. vč. materiálu)</t>
  </si>
  <si>
    <t>220 261644</t>
  </si>
  <si>
    <t>Osazení hmoždinky 12 mm beton (mont. vč. materiálu)</t>
  </si>
  <si>
    <t>220 730032</t>
  </si>
  <si>
    <t>Vyzvednutí stožáru na plochou střechu</t>
  </si>
  <si>
    <t>220 730033</t>
  </si>
  <si>
    <t>Vyzvednutí soupravy beton. bloků AT</t>
  </si>
  <si>
    <t>220 730051</t>
  </si>
  <si>
    <t>Stožár AT 1 do kotevní konstrukce (mont. vč. materiálu)</t>
  </si>
  <si>
    <t>220 730075</t>
  </si>
  <si>
    <t>Kotvení AT 3 do zdi-beton rovná střecha (mont. vč. materiálu)</t>
  </si>
  <si>
    <t>m2</t>
  </si>
  <si>
    <t>210 020922</t>
  </si>
  <si>
    <t>Protipož.ucpávka průch.stěnou  t= do 30 cm (mont. vč. materiálu)</t>
  </si>
  <si>
    <t>Koordinace zařízení v zárubních či dveřích</t>
  </si>
  <si>
    <t>hod</t>
  </si>
  <si>
    <t>Značení kabeláží, tras a rozvaděčů</t>
  </si>
  <si>
    <t>kpl</t>
  </si>
  <si>
    <t>Pomocné montážní práce</t>
  </si>
  <si>
    <t>Nezměřitelné pracovní výkony</t>
  </si>
  <si>
    <t>Drobný elektroinstalační materiál (montáž vč. mat.)</t>
  </si>
  <si>
    <t>Koordinace podlahových krabic (podl.krabice dodávkou NN)</t>
  </si>
  <si>
    <t>Povrchová úprava prvku do daného odstínu - podrobnisti viz.tech.zpráva</t>
  </si>
  <si>
    <t>Zemní práce při montážích, montáž + dodávka</t>
  </si>
  <si>
    <t>460 010024</t>
  </si>
  <si>
    <t>Vytyčení trati kabel.ved.v zast.prostoru</t>
  </si>
  <si>
    <t>km</t>
  </si>
  <si>
    <t>460 080001</t>
  </si>
  <si>
    <t>Betonový základ do rostlé zeminy bez bednění</t>
  </si>
  <si>
    <t>m3</t>
  </si>
  <si>
    <t>460 120061</t>
  </si>
  <si>
    <t>Odvoz zeminy</t>
  </si>
  <si>
    <t>460 120082</t>
  </si>
  <si>
    <t>Skladování zeminy do 14 dnů</t>
  </si>
  <si>
    <t>460 300006</t>
  </si>
  <si>
    <t>Hutnění zeminy,vrstva zeminy do 20 cm</t>
  </si>
  <si>
    <t>460 200164</t>
  </si>
  <si>
    <t>Hloubení kabelové rýhy 35cm šir.,80cm hlub.,zem.tř.4</t>
  </si>
  <si>
    <t>460 420372</t>
  </si>
  <si>
    <t>Zř.kab.lože,kop.pís.,tl.zás.vrst.10cm,cih.napříč,š.35cm</t>
  </si>
  <si>
    <t>460 420501</t>
  </si>
  <si>
    <t>Křižovatka se silovým kabelem</t>
  </si>
  <si>
    <t>460 490012</t>
  </si>
  <si>
    <t>Krytí kab.fólie výstražné z PVC, šířka 33 cm</t>
  </si>
  <si>
    <t>220 060391</t>
  </si>
  <si>
    <t>Zaslepení neobsazeného otvoru kabelovodu</t>
  </si>
  <si>
    <t>220 060411</t>
  </si>
  <si>
    <t>Tlakové utěsnění konce- kabelovod z plastu</t>
  </si>
  <si>
    <t>460 560164</t>
  </si>
  <si>
    <t>Ruční zához kab.rýhy,šíř.35cm,hloub.80cm,zemina třídy 4</t>
  </si>
  <si>
    <t>460 620014</t>
  </si>
  <si>
    <t>Provizorní úprava terénu v přírodní zemině, zem.třídy 4</t>
  </si>
  <si>
    <t>220 280222</t>
  </si>
  <si>
    <t>220 300002</t>
  </si>
  <si>
    <t>220 110643</t>
  </si>
  <si>
    <t>220 300911</t>
  </si>
  <si>
    <t>220 111502</t>
  </si>
  <si>
    <t>220 111501</t>
  </si>
  <si>
    <t>220 110341</t>
  </si>
  <si>
    <t>Objímka kabelová značkovací</t>
  </si>
  <si>
    <t>220 110346</t>
  </si>
  <si>
    <t>Štítek kabelový</t>
  </si>
  <si>
    <t>220 111431</t>
  </si>
  <si>
    <t>Stejnosměrná měření na míst.kabelu</t>
  </si>
  <si>
    <t>pa</t>
  </si>
  <si>
    <t>Závěrečné práce ve skříni RACK</t>
  </si>
  <si>
    <t>Rozvod univ.kabelové sítě - montáž</t>
  </si>
  <si>
    <t>Montáž 19" panelu do 24 portů RJ 45 - nestín.</t>
  </si>
  <si>
    <t>Montáž 19" panelu do 48 portů RJ 45 - nestín.</t>
  </si>
  <si>
    <t>Montáž 19" pomocného panelu do 4U</t>
  </si>
  <si>
    <t>Uložení kabelu 5.-6.kat. nestín. do trubky, žlabu, na rošt</t>
  </si>
  <si>
    <t>Ukončení - forma na kabelu 5.-6.kat. nestín.</t>
  </si>
  <si>
    <t>Měření 1 segmentu kabelu 5.-6.kat. nestín.</t>
  </si>
  <si>
    <t>Sestavení a montáž zásuvky do 2 modulů RJ 45</t>
  </si>
  <si>
    <t>Montáž modulu zásuvky RJ 45 - nestín.</t>
  </si>
  <si>
    <t>Údaj do měř. protokolu pro 1 segment sítě 5.-6. kat. nestín.</t>
  </si>
  <si>
    <t>Kompletace a vyhotovení měřícího protokolu</t>
  </si>
  <si>
    <t>PC0066660</t>
  </si>
  <si>
    <t>Montáž stojanové 19" skříně (RACKu) nad 40U</t>
  </si>
  <si>
    <t>Montáž 19" police pro nestandardní komponenty</t>
  </si>
  <si>
    <t>PC0066600</t>
  </si>
  <si>
    <t>Montáž kompletního panelu přívodu NN</t>
  </si>
  <si>
    <t>PC0066610</t>
  </si>
  <si>
    <t>Montáž ventilační jednotky do RACKu</t>
  </si>
  <si>
    <t>KEV.000.8730</t>
  </si>
  <si>
    <t>CY 4 H</t>
  </si>
  <si>
    <t>220 111876</t>
  </si>
  <si>
    <t>Uzem.rozvaděče (mont. vč. materiálu)</t>
  </si>
  <si>
    <t>220 270324</t>
  </si>
  <si>
    <t>Vodič v trubkovodu CY 4</t>
  </si>
  <si>
    <t>Rozvod univ.kabelové sítě - dodávka</t>
  </si>
  <si>
    <t>39.A0360</t>
  </si>
  <si>
    <t>Kabel UTP, PowerCat kat.5E, PVC plášť šedý, 4 páry, krabice 305m</t>
  </si>
  <si>
    <t>5014A-B1018</t>
  </si>
  <si>
    <t>3901A-B10 B</t>
  </si>
  <si>
    <t>PID-00058</t>
  </si>
  <si>
    <t>PowerCat patch panel 1U, 24xRJ45, UTP kat.5E, 568B</t>
  </si>
  <si>
    <t>PID-00059</t>
  </si>
  <si>
    <t>PowerCat patch panel 2U, 48xRJ45, UTP kat.5E, 568B</t>
  </si>
  <si>
    <t>25.B013G</t>
  </si>
  <si>
    <t>19" jumper ring panel 2U, 5 úchytů hlubokých 64 mm, šedý</t>
  </si>
  <si>
    <t>PC0094580</t>
  </si>
  <si>
    <t>POL 400 (hloubka 400mm, výška 2U )</t>
  </si>
  <si>
    <t>PC0094300</t>
  </si>
  <si>
    <t>PC0094340</t>
  </si>
  <si>
    <t>Rozvod uzavř.televizního okruhu - montáž</t>
  </si>
  <si>
    <t>220 731004</t>
  </si>
  <si>
    <t>Montáž konzole na zeď do 3 m/15 kg</t>
  </si>
  <si>
    <t>220 731022</t>
  </si>
  <si>
    <t>Montáž kamery v krytu</t>
  </si>
  <si>
    <t>220 731061</t>
  </si>
  <si>
    <t>Zprovoznění kamery v krytu</t>
  </si>
  <si>
    <t>220 731041</t>
  </si>
  <si>
    <t>Nastavení kamery v krytu</t>
  </si>
  <si>
    <t>220 731146</t>
  </si>
  <si>
    <t>Montáž  objektivu ke kameře</t>
  </si>
  <si>
    <t>220 731161</t>
  </si>
  <si>
    <t>Montáž videoústředny digitální + nastavení</t>
  </si>
  <si>
    <t>220 731126</t>
  </si>
  <si>
    <t>Nastavení systému</t>
  </si>
  <si>
    <t>Instalace SOFTWARE (kompletní)</t>
  </si>
  <si>
    <t>Instalace drobného materiálu</t>
  </si>
  <si>
    <t>PC0066820</t>
  </si>
  <si>
    <t>MONTÁŽ UPS DO 1000VA DO RACKU</t>
  </si>
  <si>
    <t>PC0066790</t>
  </si>
  <si>
    <t>MONTAZ SWITCHE 100/1000Mbps + nastavení</t>
  </si>
  <si>
    <t>KUS</t>
  </si>
  <si>
    <t>Rozvod uzavř.televizního okruhu - dodávka</t>
  </si>
  <si>
    <t>SMT-2231P</t>
  </si>
  <si>
    <t>LCD TFT monitor, 22", HD 1920x1080, 2xBNC, 1x VGA, 1xHDMI, PIP, 230V</t>
  </si>
  <si>
    <t>Propojovací kabel UTP kat.6, 2 metry, barva šedá</t>
  </si>
  <si>
    <t>Propojovací kabel UTP kat.5E, 1 metr, barva šedá</t>
  </si>
  <si>
    <t>SUA750RMI1U</t>
  </si>
  <si>
    <t>APC Smart-UPS 750I RM 1U black/USB</t>
  </si>
  <si>
    <t>Rozvod e.zabezpečovací signalizace - montáž</t>
  </si>
  <si>
    <t>220 321703/S1</t>
  </si>
  <si>
    <t>Montáž kompletní ústředny EZS</t>
  </si>
  <si>
    <t>220 330723</t>
  </si>
  <si>
    <t>Montáž jednoduchého modulu do ústředny EZS</t>
  </si>
  <si>
    <t>220 330722</t>
  </si>
  <si>
    <t>Montáž systémového modulu vně ústředny EZS</t>
  </si>
  <si>
    <t>220 410533</t>
  </si>
  <si>
    <t>Montáž akumulátoru do ústředny EZS</t>
  </si>
  <si>
    <t>Měření akumulátoru pro ústřednu EZS</t>
  </si>
  <si>
    <t>220 330731</t>
  </si>
  <si>
    <t>Uvedení ústředny EZS vč.ost.stav.prvků do provozu (funkční odzkoušení)</t>
  </si>
  <si>
    <t>220 330342</t>
  </si>
  <si>
    <t>Montáž ovládací klávesnice s LCD displejem</t>
  </si>
  <si>
    <t>220 321711/S1</t>
  </si>
  <si>
    <t>Montáž koncentrátoru nebo jiného adresného modulu na sběrnici</t>
  </si>
  <si>
    <t>220 410166</t>
  </si>
  <si>
    <t>Montáž zálohovaného napaječe</t>
  </si>
  <si>
    <t>Montáž akumulátoru do externího napaječe</t>
  </si>
  <si>
    <t>Měření akumulátoru pro externí napaječ</t>
  </si>
  <si>
    <t>Montáž duálního čidla - stropní</t>
  </si>
  <si>
    <t>220 321751</t>
  </si>
  <si>
    <t>Montáž infrapasivního čidla - nástěnný</t>
  </si>
  <si>
    <t>Montáž infrapasivního čidla do venkovního prostředí</t>
  </si>
  <si>
    <t>220 321736</t>
  </si>
  <si>
    <t>Montáž držáku infrapasivního nebo duálního čidla</t>
  </si>
  <si>
    <t>220 320722</t>
  </si>
  <si>
    <t>Koordinace montáže záp.magnetu při výrobě oken či dveří</t>
  </si>
  <si>
    <t>Pancéřovaná plastová hadice vč. koncovek pro kab. k mag.kontaktům (montáž+dod.)</t>
  </si>
  <si>
    <t>Montáž infrazávory (kompletní) venkovní + nastavení</t>
  </si>
  <si>
    <t>Montáž přijímače bezdrátového</t>
  </si>
  <si>
    <t>Měření pro určení vhodné polohy přijímače bezdr.tísňového hlásiče</t>
  </si>
  <si>
    <t>220 330206</t>
  </si>
  <si>
    <t>Kontrola funkce čidla</t>
  </si>
  <si>
    <t>220 330741</t>
  </si>
  <si>
    <t>Uvedení čidla do trvalého provozu</t>
  </si>
  <si>
    <t>220 330791</t>
  </si>
  <si>
    <t>Programování zobrazovaného textu pro čidlo</t>
  </si>
  <si>
    <t>220 330121</t>
  </si>
  <si>
    <t>Popis čidla štítkem</t>
  </si>
  <si>
    <t>220 330166</t>
  </si>
  <si>
    <t>Montáž vnitřní nezálohované sirény</t>
  </si>
  <si>
    <t>Montáž venkovní zálohované sirény vč. akku</t>
  </si>
  <si>
    <t>Montáž optické signalizace s LED diodou</t>
  </si>
  <si>
    <t>220 330191</t>
  </si>
  <si>
    <t>Měření kontin.,izol.,odporu 1 úseku smyčky</t>
  </si>
  <si>
    <t>220 300913</t>
  </si>
  <si>
    <t>Svorkovnice se šrouby bakelitová 10 dílná (montáž vč. dodávky)</t>
  </si>
  <si>
    <t>220 300924</t>
  </si>
  <si>
    <t>Svorkovnice do krabic svorka 4 pólová (montáž vč. dodávky)</t>
  </si>
  <si>
    <t>Montáž svorkovnic zařezových 10x2</t>
  </si>
  <si>
    <t>Číslování svorek v rozvaděči</t>
  </si>
  <si>
    <t>Číslování rozvodné skříně, krabice</t>
  </si>
  <si>
    <t>Montáž povrchové propojovací krabice do 24 svorek - plastové (montáž + dodávka)</t>
  </si>
  <si>
    <t>Montáž tamper kontaktu</t>
  </si>
  <si>
    <t>220 280221</t>
  </si>
  <si>
    <t>Kabel SYKFY do 5x2x0,5 (nebo podob.)  v trubkách, žlabech, lištách</t>
  </si>
  <si>
    <t>Kabel datový pro sběrnici systému v trubce, žlabu, na roštu</t>
  </si>
  <si>
    <t>220 281303</t>
  </si>
  <si>
    <t>Kabel 1až 2,5 mm v trubkách, žlabech, na roštu do 4 žil</t>
  </si>
  <si>
    <t>220 300601</t>
  </si>
  <si>
    <t>Ukončení kabelů návěstních do 5x1 až 2.5</t>
  </si>
  <si>
    <t>220 300001</t>
  </si>
  <si>
    <t>Forma kabelová do délky 0,5 m na kabelu do 5x2</t>
  </si>
  <si>
    <t>Forma kabelová do délky 0,5 m na kabelu datovém</t>
  </si>
  <si>
    <t>210 800109</t>
  </si>
  <si>
    <t>210 100503</t>
  </si>
  <si>
    <t>Ukončení CYKY kabelu  2 x 2.5 mm2</t>
  </si>
  <si>
    <t>Zaškolení obsluhy</t>
  </si>
  <si>
    <t>Zkušební provoz s dohledem</t>
  </si>
  <si>
    <t>den</t>
  </si>
  <si>
    <t>Výchozí revize</t>
  </si>
  <si>
    <t>Montáž rozhraní přenosu na PCO</t>
  </si>
  <si>
    <t>220 060301</t>
  </si>
  <si>
    <t>Přistavení a příprava kabel.bubnu do 100 žil</t>
  </si>
  <si>
    <t>220 060312</t>
  </si>
  <si>
    <t>Přeměření izolačního stavu kabel závlačný 20žil</t>
  </si>
  <si>
    <t>220 061151</t>
  </si>
  <si>
    <t>Rozvod e.zabezpečovací signalizace - dodávka</t>
  </si>
  <si>
    <t>GALAXYGD-520</t>
  </si>
  <si>
    <t>Ústředna až 520 zón a 32 grup v krytu bez klávesnice s komunikátorem a zdrojem</t>
  </si>
  <si>
    <t>UT12180</t>
  </si>
  <si>
    <t>Akumulátor 12V / 18Ah</t>
  </si>
  <si>
    <t>E080</t>
  </si>
  <si>
    <t>Systémový Ethernet (TCP/IP) komunikátor bez krytu</t>
  </si>
  <si>
    <t>G8P</t>
  </si>
  <si>
    <t>Koncentrátor v plastovém krytu pro 8 zón a 4 PGM výstupy</t>
  </si>
  <si>
    <t>GRM4</t>
  </si>
  <si>
    <t>Reléový modul se 4-mi relé</t>
  </si>
  <si>
    <t>OS365</t>
  </si>
  <si>
    <t>Zálohovaná plastová siréna venkovní 110dB/1m s majákem a akumulátorem</t>
  </si>
  <si>
    <t>SA913</t>
  </si>
  <si>
    <t>Nezálohovaná plastová vnitřní siréna 110dB/1m</t>
  </si>
  <si>
    <t>Prestige QD</t>
  </si>
  <si>
    <t>Vnitřní digitální "Quad" infradetektor pohybu</t>
  </si>
  <si>
    <t>Konzole pro montáž detektoru-Prestige</t>
  </si>
  <si>
    <t>JS25 COMBO</t>
  </si>
  <si>
    <t>Kombinace PIR detektoru s dosahem 12m a detektoru tříštění skla s dosahem 9m</t>
  </si>
  <si>
    <t>BC-1</t>
  </si>
  <si>
    <t>Sada zadních krytů (pár) pro IR závory AX-TF a AX-DH MkIII</t>
  </si>
  <si>
    <t>KSK 100</t>
  </si>
  <si>
    <t>krabice v uzavřeném provedení (plastová) s IP krytím 66</t>
  </si>
  <si>
    <t>Kabelové průchodky do krabice IP66</t>
  </si>
  <si>
    <t>J24</t>
  </si>
  <si>
    <t>Plastová nízká propojovací krabice, 24+1 šroubovací svorka</t>
  </si>
  <si>
    <t>MAS333</t>
  </si>
  <si>
    <t>Mag. kontakt závrtný čtyřdrátový s pracovní mezerou 16 mm</t>
  </si>
  <si>
    <t>AXSP K40/24-3A</t>
  </si>
  <si>
    <t>Spínaný zálohovaný zdroj v krytu 27,6V/3A</t>
  </si>
  <si>
    <t>UNIPOWER MINI/K</t>
  </si>
  <si>
    <t>Spínaný zdroj v kovovém krytu 13,8 Vss / 3A s výstupy a odpojovačem</t>
  </si>
  <si>
    <t>Univerzální bezdrátový přijímač v krytu se třemi výstupy</t>
  </si>
  <si>
    <t>Bezdrátová ovládací klíčenka se dvěmi tlačítky</t>
  </si>
  <si>
    <t>Signalizační velká LED dioda v krytu barva červená</t>
  </si>
  <si>
    <t>Signalizační velká LED dioda v krytu barva zelená</t>
  </si>
  <si>
    <t>MICROSWITCH</t>
  </si>
  <si>
    <t>Mechanický mikrospínač jako tamper kontakt</t>
  </si>
  <si>
    <t>PC0097360</t>
  </si>
  <si>
    <t>SYKFY (3x2x0,5 )</t>
  </si>
  <si>
    <t>KEV.050.9530</t>
  </si>
  <si>
    <t>JYTY 4BX1,0</t>
  </si>
  <si>
    <t>Kabel FTP, PowerCat kat.5E, PVC plášť šedý, 4 páry, krabice 305m</t>
  </si>
  <si>
    <t>KAD.080.0020</t>
  </si>
  <si>
    <t>TCEPKPFLE - 3 x 4 x 0,8</t>
  </si>
  <si>
    <t>KEV.000.1150</t>
  </si>
  <si>
    <t>CYKY 2AX2,5</t>
  </si>
  <si>
    <t>Krabice instalační IP66  (mont. vč. materiálu)</t>
  </si>
  <si>
    <t>DS-9664NI-I8</t>
  </si>
  <si>
    <t xml:space="preserve">HIKVISION/DS-9664NI-I8 - NVR pro 64 IP kamer, až 12MP, H.264 a H265, bez HDD </t>
  </si>
  <si>
    <t>WD40PURX</t>
  </si>
  <si>
    <t>Přídavný HDD k rekordérům, 4TB</t>
  </si>
  <si>
    <t>HU-3</t>
  </si>
  <si>
    <t xml:space="preserve">Sada vyhřívacích jednotek (pár) pro IR závory AX-TN/TF(BE) a SL-QN/QDP/QDM </t>
  </si>
  <si>
    <t>Jednostranný sloup pro IR závory Optex &amp; Takex, montáž na patku, výška 1,5 m</t>
  </si>
  <si>
    <t xml:space="preserve">TAS150 </t>
  </si>
  <si>
    <t>TAW150</t>
  </si>
  <si>
    <t xml:space="preserve">Jednostranný sloup pro IR závory Optex &amp; Takex, montáž na zeď, výška 1,5 m  </t>
  </si>
  <si>
    <t>Patka betonová typová pro sloupek</t>
  </si>
  <si>
    <t>Montáž sloupku pro infrazávoru vč. Patky</t>
  </si>
  <si>
    <t>CYKY 750V 2 x 2.5 uložený v zemi, kotvený pevně na stěně</t>
  </si>
  <si>
    <t>Kabel volně uložený v zemi, kotvený pevně na stěně</t>
  </si>
  <si>
    <t>Montáž dveřního kontaktu závrtného (okna, dveře)</t>
  </si>
  <si>
    <t xml:space="preserve">AX-100TF (BE) </t>
  </si>
  <si>
    <t xml:space="preserve">2-paprsková IR závora, dosah 30 m, synchronizace - 4 kanály </t>
  </si>
  <si>
    <t xml:space="preserve">4-paprsková IR závora, dosah 100 m, synchronizace - 4 kanály </t>
  </si>
  <si>
    <t xml:space="preserve">SL-350QDP  </t>
  </si>
  <si>
    <t xml:space="preserve">SL-650QDP  </t>
  </si>
  <si>
    <t xml:space="preserve">4-paprsková IR závora, dosah 200 m, synchronizace - 4 kanály </t>
  </si>
  <si>
    <t>BC-4</t>
  </si>
  <si>
    <t xml:space="preserve">Sada zadních krytů (pár) pro IR závory SL-QN/QDP/QDM/QNR/QFR </t>
  </si>
  <si>
    <t>DS-2CD4125FWD-IZ</t>
  </si>
  <si>
    <t xml:space="preserve">Vnitřní IP dome kamera, TD/N, HD 1080p, 2MP, MZVF, f=2.8-12mm, WDR 140dB, IR 30m </t>
  </si>
  <si>
    <t>Rozvod místního rozhlasu - montáž</t>
  </si>
  <si>
    <t>CYKY (nebo pod.) 750V 4 x 1.5 uložený pod omítkou</t>
  </si>
  <si>
    <t>210 100502</t>
  </si>
  <si>
    <t>Ukončení CYKY (nebo pod.)  3 x 1.5 nebo 2.5 mm2</t>
  </si>
  <si>
    <t>Číslování svorek v rozvaděči (montáž vč. dodávky)</t>
  </si>
  <si>
    <t>Číslování rozvodné skříně, krabice (montáž vč. dodávky)</t>
  </si>
  <si>
    <t>Zakomponování nestandardního prvku do rozvaděče</t>
  </si>
  <si>
    <t>220 370422</t>
  </si>
  <si>
    <t>Montáž systémového zesilovače nebo předzesilovače</t>
  </si>
  <si>
    <t>220 370063</t>
  </si>
  <si>
    <t>220 370471</t>
  </si>
  <si>
    <t>Zkoušení reproduktorů při 1 prog.ústř.</t>
  </si>
  <si>
    <t>220 370536</t>
  </si>
  <si>
    <t>Montáž kompletního reproduktoru do 10W nástěnný/stropní</t>
  </si>
  <si>
    <t>220 370531</t>
  </si>
  <si>
    <t>Montáž kompletního reproduktoru do 30W závěsný</t>
  </si>
  <si>
    <t>Rozvod místního rozhlasu - dodávka</t>
  </si>
  <si>
    <t>KEV.000.1100</t>
  </si>
  <si>
    <t>CYKY 4BX1,5</t>
  </si>
  <si>
    <t>Systémová kabeláž</t>
  </si>
  <si>
    <t>Systémové konektory</t>
  </si>
  <si>
    <t>Pomocný instalační materiál</t>
  </si>
  <si>
    <t>Ostatní drobný instlalační materiál</t>
  </si>
  <si>
    <t>Další drobné kabeláže</t>
  </si>
  <si>
    <t>PC-1869</t>
  </si>
  <si>
    <t>Reproduktor stropní 6W @ 100V, kovový, bílý, 180mm</t>
  </si>
  <si>
    <t>SPH16</t>
  </si>
  <si>
    <t>2pásmový závěsný reproduktor 5,25"+1", výkon  16W @ 100V, bílý</t>
  </si>
  <si>
    <t>Instalace kabelu koaxiálního do trubky, žlabu</t>
  </si>
  <si>
    <t>Ukončení kabelu JACK 3,5 stereo konektorem</t>
  </si>
  <si>
    <t>Přezkoušení a měření JACK 3,5 stereo spoje</t>
  </si>
  <si>
    <t>Zásuvka JACK 3,5 stereo - design dle zásuvek rozvodu NN</t>
  </si>
  <si>
    <t>Koaxiální kabel</t>
  </si>
  <si>
    <t xml:space="preserve">DS-2CD2625FWD-IZS(2.8-12mm) </t>
  </si>
  <si>
    <t>DS-2CD2655FWD-IZS</t>
  </si>
  <si>
    <t xml:space="preserve">IP bullet kamera, 5MP, MZVF 2.8-12mm, WDR 120dB, IR 30m, H.265, VA, IP67 </t>
  </si>
  <si>
    <t>LX402</t>
  </si>
  <si>
    <t>Venkovní PIR detektor, det. char. 12 m / 120°, mont. výška 2,5 m / 1,2 - 1,5 m</t>
  </si>
  <si>
    <t>Naprogramování systému EZS do 96 hlásičů</t>
  </si>
  <si>
    <t>PAN EL (8xzás., dvoj. jistič, šňůra  s přepěťovou ochranou)</t>
  </si>
  <si>
    <t>CY 6 ZZ</t>
  </si>
  <si>
    <t>Vodič v trubkovodu CY 6</t>
  </si>
  <si>
    <t xml:space="preserve">IP bullet kamera, 2MP, MZVF 2.8-12mm, WDR 120dB, IR 30m, H.265, VA, IP67 </t>
  </si>
  <si>
    <t xml:space="preserve">Konektor JACK 3,5 stereo </t>
  </si>
  <si>
    <t>Montáž zásuvky/konektoru JACK 3,5 stereo (typiské či atypické, viz. tech.zpráva)</t>
  </si>
  <si>
    <t>Žlab MARS 62/50 mm  (mont. vč. základního i instalačního materiálu)</t>
  </si>
  <si>
    <t>220 260725</t>
  </si>
  <si>
    <t>RJ45C5U</t>
  </si>
  <si>
    <t>2CKA001724A4253</t>
  </si>
  <si>
    <t>2CKA001724A2761</t>
  </si>
  <si>
    <t xml:space="preserve"> 2CKA001754A4235 </t>
  </si>
  <si>
    <t>2CKA001754A4240</t>
  </si>
  <si>
    <t>5014A-A100 B</t>
  </si>
  <si>
    <t>136811-1</t>
  </si>
  <si>
    <t>ABB,maska nosná pro 2 moduly RJ45 Tango®, Future® linear</t>
  </si>
  <si>
    <t>ABB,zásuvka datová RJ45-8 Cat. 5e/u (keystone), noname</t>
  </si>
  <si>
    <t>ABB,zryt zásuvky komunikační, datové Future® linear-bílá</t>
  </si>
  <si>
    <t>ABB,kryt zásuvky komunikační, datové Future® linear-antracit</t>
  </si>
  <si>
    <t>ABB,kryt zásuvky komunikační, datové Tango®-bílá</t>
  </si>
  <si>
    <t>ABB,rámeček jednonásobný Future® linear-bílá</t>
  </si>
  <si>
    <t>ABB,rámeček jednonásobný Future® linear-antracit</t>
  </si>
  <si>
    <t>ABB,rámeček jednonásobný Tango®-bílá</t>
  </si>
  <si>
    <t>ABB,modul zásuvkový, 22,5x45, Profil 45</t>
  </si>
  <si>
    <t>GVM16P</t>
  </si>
  <si>
    <t xml:space="preserve">Výstupní modul v krytu s 16-ti tranzistorovými PGM výstupy </t>
  </si>
  <si>
    <t xml:space="preserve">Plastový box IP66 s kabel.průchodkami pro přijímač a diody </t>
  </si>
  <si>
    <t>Žlab MARS 250/50 mm  (mont. vč. základního i instalačního materiálu)</t>
  </si>
  <si>
    <t>460 200534</t>
  </si>
  <si>
    <t>Hloubení kabelové rýhy 60cm šir.,120cm hlub.,zem.tř.4</t>
  </si>
  <si>
    <t>460 560534</t>
  </si>
  <si>
    <t>Ruční zához kab.rýhy,šíř.60cm,hloub.120cm,zem.třídy 4</t>
  </si>
  <si>
    <t>460 510021</t>
  </si>
  <si>
    <t>220 061805</t>
  </si>
  <si>
    <t>Zatažení svetlovod.kabelu 2-8vl. ručně - vlákna MM</t>
  </si>
  <si>
    <t>220 061831</t>
  </si>
  <si>
    <t>Svaření 1 vl. svetlovod.kabelu  - vlákna MM</t>
  </si>
  <si>
    <t>220 061835</t>
  </si>
  <si>
    <t>Příprava svetlovod.kab. k ukonč., spojk.  2-8vl.  - vlákna MM</t>
  </si>
  <si>
    <t>220 061845</t>
  </si>
  <si>
    <t>Uložení konce (spoj) svetlovod kab. 2-8vl. v kab. rozv.  - vlákna MM</t>
  </si>
  <si>
    <t>220 061910</t>
  </si>
  <si>
    <t>Montáž panelu 19" pro ukončení opt.kab. do 24 portů prázdný</t>
  </si>
  <si>
    <t>220 062330</t>
  </si>
  <si>
    <t>Montáž adaptéru dvojitého (MT-RJ, SC, ST)  pro vlákna MM</t>
  </si>
  <si>
    <t>220 062370</t>
  </si>
  <si>
    <t>Montáž pigtailu pro vlákna MM</t>
  </si>
  <si>
    <t>220 062450</t>
  </si>
  <si>
    <t>Montáž kazety pro sváry na kabelu  - vlákna MM</t>
  </si>
  <si>
    <t>220 062470</t>
  </si>
  <si>
    <t>Ochrana sváru vlákna MM</t>
  </si>
  <si>
    <t>220 062510</t>
  </si>
  <si>
    <t>Uložení délkové rezervy opt.kabelu do 50m  - vlákna MM</t>
  </si>
  <si>
    <t>220 062700</t>
  </si>
  <si>
    <t>Měření na jednom vlákně MM opt.kabelu</t>
  </si>
  <si>
    <t>Montáž nástěnné 19" skříně (RACKu) nad 15U</t>
  </si>
  <si>
    <t>Montáž modulu vyhřívání s termostatem</t>
  </si>
  <si>
    <t>Univerzální optický kabel 50/125um, OM3 24 vláken, LSOH</t>
  </si>
  <si>
    <t>RFR-00100</t>
  </si>
  <si>
    <t>Vana výsuvného panelu FMP 3, určená pro osazeni čely FMP 3</t>
  </si>
  <si>
    <t>RFR-00101</t>
  </si>
  <si>
    <t>Čelo panelu FMP 3 pro osazení 12xDST nebo 12xDSC, neosazený</t>
  </si>
  <si>
    <t>AFR-00203</t>
  </si>
  <si>
    <t>SC-SC duplex adaptér MM s montážnímí otvory</t>
  </si>
  <si>
    <t>AFR-00174</t>
  </si>
  <si>
    <t>Duplex SC/ST záslepka, sada 3ks</t>
  </si>
  <si>
    <t>Pigtail 1m, 50/125 OM3</t>
  </si>
  <si>
    <t>SC-SC patchcord 50/125 dvojitý</t>
  </si>
  <si>
    <t>VOS60</t>
  </si>
  <si>
    <t>Teplem smrštitelná ochrana svaru 60mm</t>
  </si>
  <si>
    <t>VKAM12</t>
  </si>
  <si>
    <t>Optická kazeta na 12 svárů</t>
  </si>
  <si>
    <t>VKAV</t>
  </si>
  <si>
    <t>Víčko optické kazety VKAM 12</t>
  </si>
  <si>
    <t>VDR6</t>
  </si>
  <si>
    <t>Držák svárů pro 6 vláken do kazety VKAM 12</t>
  </si>
  <si>
    <t>Vyhřívání s termostatem do 19" nástěnného rozvaděče</t>
  </si>
  <si>
    <t>SC450RMI1U</t>
  </si>
  <si>
    <t>APC Smart-UPS SC450RMI1U</t>
  </si>
  <si>
    <t>RK700PR</t>
  </si>
  <si>
    <t>Odchodový PIR detektor</t>
  </si>
  <si>
    <t>CP045-00</t>
  </si>
  <si>
    <t xml:space="preserve">Klávesnice s dotykovým displejem, zápustná montáž, pokročilé uživatelské menu </t>
  </si>
  <si>
    <t>A045</t>
  </si>
  <si>
    <t>Plastová krabice na povrchovou montáž klávesnic CP045/CP046</t>
  </si>
  <si>
    <t>220 260722</t>
  </si>
  <si>
    <t>Žlab MARS 125/ 50 mm  (mont. vč. základního i instalačního materiálu)</t>
  </si>
  <si>
    <t>RACK 19" nástěnný 18U 600x600mm, kovový, skleněná čelní strana</t>
  </si>
  <si>
    <t>Ventilace 6x21 W pro 19" rozv.</t>
  </si>
  <si>
    <t>DS-3E1526P-SI</t>
  </si>
  <si>
    <t>Switch 24x 10/100Mbps (PoE/PoE+), 2x SFP Gigabit, 370W, kov, web/smart managed</t>
  </si>
  <si>
    <t>Modul MiniGBIC/ SFP 1000BaseSX MM (LC) s DS-3E1526P-SI kompatibilní</t>
  </si>
  <si>
    <t>Kabelový prostup z KOPOFLEX rour, světlost do 150mm</t>
  </si>
  <si>
    <t>RACK 19" stojanový, 1000x800mm, 47U, kovový, skleněná čelní strana</t>
  </si>
  <si>
    <t>PRODEJNÍ CENTRUM PRO DŮM A ZAHRADU
Cheb, ulice Ke hřbitovu
SO 01, SO 02, SO 03, SO 04
D.1.4.6 ZAŘÍZENÍ SLABOPROUDÉ ELEKTROTECHNIKY 
DOKUMENTACE PRO PROVEDENÍ STAVBY</t>
  </si>
  <si>
    <t>JPA 1306IP</t>
  </si>
  <si>
    <t>2 line + 3 mic vstupy, 3 zóny, 300 W, priorita, přehrávač MP3, SD + USB čtečka, FM tuner, Bluetooth, audio modul pro gongy a hlášení, IR dálkové ovládání, digitální IP technologie audio ozvučení, LAN vstup, vysoký komfort softwaru systému NetAudio – mp3 playlisty, internetová rádia, časový plánovač, vstupy, uživatelé, neomezený počet mixážních relací, konektivita do VoIP, SIP, RTP, serverové řešení</t>
  </si>
  <si>
    <t>Měření rozhlasového zařízení do 300 W</t>
  </si>
  <si>
    <t>dodávka stavby</t>
  </si>
  <si>
    <t>spoření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</si>
</sst>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Kč&quot;_-;\-* #,##0.00\ &quot;Kč&quot;_-;_-* &quot;-&quot;??\ &quot;Kč&quot;_-;_-@_-"/>
    <numFmt numFmtId="164" formatCode="#,##0.00\ &quot;Kč&quot;"/>
  </numFmts>
  <fonts count="14" x14ac:knownFonts="1">
    <font>
      <sz val="10"/>
      <name val="Arial CE"/>
      <charset val="238"/>
    </font>
    <font>
      <b/>
      <sz val="12"/>
      <name val="Arial CE"/>
      <family val="2"/>
      <charset val="238"/>
    </font>
    <font>
      <i/>
      <sz val="10"/>
      <name val="Times New Roman CE"/>
      <family val="1"/>
      <charset val="238"/>
    </font>
    <font>
      <sz val="9"/>
      <name val="Arial CE"/>
      <family val="2"/>
      <charset val="238"/>
    </font>
    <font>
      <b/>
      <sz val="11"/>
      <name val="Arial CE"/>
      <family val="2"/>
      <charset val="238"/>
    </font>
    <font>
      <sz val="11"/>
      <name val="Arial CE"/>
      <family val="2"/>
      <charset val="238"/>
    </font>
    <font>
      <sz val="9"/>
      <name val="Arial CE"/>
      <charset val="238"/>
    </font>
    <font>
      <b/>
      <i/>
      <sz val="12"/>
      <name val="Arial CE"/>
      <charset val="238"/>
    </font>
    <font>
      <sz val="12"/>
      <name val="Arial CE"/>
      <charset val="238"/>
    </font>
    <font>
      <b/>
      <sz val="12"/>
      <name val="Arial CE"/>
      <charset val="238"/>
    </font>
    <font>
      <sz val="10"/>
      <name val="Arial CE"/>
      <charset val="238"/>
    </font>
    <font>
      <sz val="10"/>
      <color rgb="FFFF0000"/>
      <name val="Arial CE"/>
      <charset val="238"/>
    </font>
    <font>
      <sz val="9"/>
      <color rgb="FFFF0000"/>
      <name val="Arial CE"/>
      <charset val="238"/>
    </font>
    <font>
      <b/>
      <sz val="9"/>
      <color rgb="FFFF0000"/>
      <name val="Arial CE"/>
      <charset val="238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0" fillId="0" borderId="0"/>
  </cellStyleXfs>
  <cellXfs count="42">
    <xf numFmtId="0" fontId="0" fillId="0" borderId="0" xfId="0"/>
    <xf numFmtId="0" fontId="0" fillId="0" borderId="0" xfId="0" applyAlignment="1">
      <alignment horizontal="centerContinuous"/>
    </xf>
    <xf numFmtId="0" fontId="0" fillId="0" borderId="1" xfId="0" applyBorder="1"/>
    <xf numFmtId="0" fontId="1" fillId="0" borderId="0" xfId="0" applyFont="1"/>
    <xf numFmtId="0" fontId="1" fillId="0" borderId="0" xfId="0" applyFont="1" applyAlignment="1">
      <alignment horizontal="centerContinuous"/>
    </xf>
    <xf numFmtId="0" fontId="2" fillId="0" borderId="1" xfId="0" applyFont="1" applyBorder="1"/>
    <xf numFmtId="0" fontId="0" fillId="0" borderId="2" xfId="0" applyBorder="1"/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0" fontId="3" fillId="0" borderId="0" xfId="0" applyFont="1"/>
    <xf numFmtId="164" fontId="3" fillId="0" borderId="0" xfId="0" applyNumberFormat="1" applyFont="1"/>
    <xf numFmtId="0" fontId="4" fillId="0" borderId="2" xfId="0" applyFont="1" applyBorder="1"/>
    <xf numFmtId="0" fontId="5" fillId="0" borderId="2" xfId="0" applyFont="1" applyBorder="1"/>
    <xf numFmtId="164" fontId="4" fillId="0" borderId="2" xfId="0" applyNumberFormat="1" applyFont="1" applyBorder="1"/>
    <xf numFmtId="0" fontId="3" fillId="0" borderId="0" xfId="0" applyFont="1" applyAlignment="1">
      <alignment wrapText="1"/>
    </xf>
    <xf numFmtId="0" fontId="3" fillId="0" borderId="0" xfId="0" applyFont="1" applyAlignment="1">
      <alignment horizontal="left"/>
    </xf>
    <xf numFmtId="3" fontId="3" fillId="0" borderId="0" xfId="0" applyNumberFormat="1" applyFont="1" applyAlignment="1">
      <alignment horizontal="left"/>
    </xf>
    <xf numFmtId="0" fontId="3" fillId="0" borderId="0" xfId="0" applyFont="1" applyAlignment="1">
      <alignment vertical="center"/>
    </xf>
    <xf numFmtId="164" fontId="3" fillId="0" borderId="0" xfId="0" applyNumberFormat="1" applyFont="1" applyAlignment="1">
      <alignment vertical="center"/>
    </xf>
    <xf numFmtId="0" fontId="6" fillId="0" borderId="0" xfId="0" applyFont="1"/>
    <xf numFmtId="0" fontId="3" fillId="0" borderId="2" xfId="0" applyFont="1" applyBorder="1"/>
    <xf numFmtId="0" fontId="8" fillId="0" borderId="0" xfId="0" applyFont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right"/>
    </xf>
    <xf numFmtId="0" fontId="9" fillId="0" borderId="0" xfId="0" applyFont="1"/>
    <xf numFmtId="164" fontId="9" fillId="0" borderId="0" xfId="0" applyNumberFormat="1" applyFont="1"/>
    <xf numFmtId="0" fontId="3" fillId="0" borderId="0" xfId="0" applyFont="1" applyAlignment="1">
      <alignment horizontal="right"/>
    </xf>
    <xf numFmtId="44" fontId="3" fillId="0" borderId="0" xfId="0" applyNumberFormat="1" applyFont="1"/>
    <xf numFmtId="0" fontId="3" fillId="3" borderId="0" xfId="0" applyFont="1" applyFill="1"/>
    <xf numFmtId="0" fontId="6" fillId="3" borderId="0" xfId="0" applyFont="1" applyFill="1"/>
    <xf numFmtId="0" fontId="11" fillId="0" borderId="0" xfId="0" applyFont="1"/>
    <xf numFmtId="0" fontId="12" fillId="2" borderId="0" xfId="0" applyFont="1" applyFill="1" applyAlignment="1">
      <alignment horizontal="right"/>
    </xf>
    <xf numFmtId="0" fontId="13" fillId="0" borderId="0" xfId="0" applyFont="1"/>
    <xf numFmtId="0" fontId="12" fillId="0" borderId="0" xfId="0" applyFont="1"/>
    <xf numFmtId="0" fontId="7" fillId="0" borderId="2" xfId="0" applyFont="1" applyBorder="1" applyAlignment="1">
      <alignment horizontal="center" wrapText="1"/>
    </xf>
    <xf numFmtId="0" fontId="8" fillId="0" borderId="2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2">
    <cellStyle name="Normální" xfId="0" builtinId="0"/>
    <cellStyle name="Normální 2" xfId="1" xr:uid="{F9FD243E-1A89-4286-8548-4B58D9BA0D7A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1"/>
  <dimension ref="A1:H330"/>
  <sheetViews>
    <sheetView tabSelected="1" zoomScaleNormal="100" workbookViewId="0">
      <pane xSplit="5" ySplit="7" topLeftCell="F152" activePane="bottomRight" state="frozen"/>
      <selection pane="topRight" activeCell="F1" sqref="F1"/>
      <selection pane="bottomLeft" activeCell="A7" sqref="A7"/>
      <selection pane="bottomRight" activeCell="C168" sqref="C168"/>
    </sheetView>
  </sheetViews>
  <sheetFormatPr defaultRowHeight="12.45" outlineLevelRow="1" outlineLevelCol="1" x14ac:dyDescent="0.3"/>
  <cols>
    <col min="1" max="1" width="3.69140625" customWidth="1"/>
    <col min="2" max="2" width="11.07421875" customWidth="1"/>
    <col min="3" max="3" width="43.84375" customWidth="1"/>
    <col min="4" max="4" width="7.84375" customWidth="1"/>
    <col min="5" max="5" width="4.3046875" customWidth="1"/>
    <col min="6" max="6" width="12.3046875" bestFit="1" customWidth="1"/>
    <col min="7" max="7" width="18.53515625" customWidth="1"/>
    <col min="8" max="8" width="9.3046875" style="30" customWidth="1" outlineLevel="1"/>
  </cols>
  <sheetData>
    <row r="1" spans="1:8" ht="9" customHeight="1" outlineLevel="1" x14ac:dyDescent="0.35">
      <c r="A1" s="5"/>
      <c r="B1" s="5"/>
      <c r="C1" s="5"/>
      <c r="D1" s="2"/>
      <c r="E1" s="2"/>
      <c r="F1" s="2"/>
      <c r="G1" s="2"/>
    </row>
    <row r="2" spans="1:8" outlineLevel="1" x14ac:dyDescent="0.3">
      <c r="A2" s="34" t="s">
        <v>476</v>
      </c>
      <c r="B2" s="35"/>
      <c r="C2" s="35"/>
      <c r="D2" s="35"/>
      <c r="E2" s="35"/>
      <c r="F2" s="35"/>
      <c r="G2" s="35"/>
    </row>
    <row r="3" spans="1:8" ht="68.25" customHeight="1" outlineLevel="1" x14ac:dyDescent="0.3">
      <c r="A3" s="36"/>
      <c r="B3" s="36"/>
      <c r="C3" s="36"/>
      <c r="D3" s="36"/>
      <c r="E3" s="36"/>
      <c r="F3" s="37"/>
      <c r="G3" s="37"/>
    </row>
    <row r="4" spans="1:8" ht="21" customHeight="1" outlineLevel="1" thickBot="1" x14ac:dyDescent="0.4">
      <c r="A4" s="21"/>
      <c r="B4" s="21"/>
      <c r="C4" s="21"/>
      <c r="D4" s="21"/>
      <c r="E4" s="21"/>
      <c r="F4" s="21"/>
      <c r="G4" s="21"/>
    </row>
    <row r="5" spans="1:8" ht="15.45" outlineLevel="1" x14ac:dyDescent="0.4">
      <c r="A5" s="4"/>
      <c r="B5" s="1"/>
      <c r="C5" s="1"/>
      <c r="D5" s="1"/>
      <c r="E5" s="1"/>
      <c r="F5" s="38"/>
      <c r="G5" s="39"/>
    </row>
    <row r="6" spans="1:8" ht="12.9" outlineLevel="1" thickBot="1" x14ac:dyDescent="0.35">
      <c r="F6" s="40"/>
      <c r="G6" s="41"/>
    </row>
    <row r="7" spans="1:8" ht="15.75" customHeight="1" x14ac:dyDescent="0.3">
      <c r="A7" s="22" t="s">
        <v>1</v>
      </c>
      <c r="B7" s="22" t="s">
        <v>2</v>
      </c>
      <c r="C7" s="22" t="s">
        <v>3</v>
      </c>
      <c r="D7" s="22"/>
      <c r="E7" s="23" t="s">
        <v>4</v>
      </c>
      <c r="F7" s="23" t="s">
        <v>5</v>
      </c>
      <c r="G7" s="23" t="s">
        <v>0</v>
      </c>
      <c r="H7" s="31" t="s">
        <v>481</v>
      </c>
    </row>
    <row r="8" spans="1:8" ht="15.75" customHeight="1" x14ac:dyDescent="0.4">
      <c r="A8" s="9"/>
      <c r="B8" s="9"/>
      <c r="C8" s="3" t="s">
        <v>6</v>
      </c>
      <c r="D8" s="9"/>
      <c r="E8" s="26"/>
      <c r="F8" s="26"/>
      <c r="G8" s="26"/>
    </row>
    <row r="9" spans="1:8" x14ac:dyDescent="0.3">
      <c r="A9" s="9">
        <v>1</v>
      </c>
      <c r="B9" s="9" t="s">
        <v>7</v>
      </c>
      <c r="C9" s="9" t="s">
        <v>8</v>
      </c>
      <c r="D9" s="19">
        <v>5</v>
      </c>
      <c r="E9" s="9" t="s">
        <v>9</v>
      </c>
      <c r="F9" s="27">
        <v>68.771000000000001</v>
      </c>
      <c r="G9" s="10">
        <f>D9*F9</f>
        <v>343.85500000000002</v>
      </c>
    </row>
    <row r="10" spans="1:8" x14ac:dyDescent="0.3">
      <c r="A10" s="9">
        <v>2</v>
      </c>
      <c r="B10" s="9" t="s">
        <v>10</v>
      </c>
      <c r="C10" s="9" t="s">
        <v>11</v>
      </c>
      <c r="D10" s="19">
        <v>5</v>
      </c>
      <c r="E10" s="9" t="s">
        <v>9</v>
      </c>
      <c r="F10" s="27">
        <v>186</v>
      </c>
      <c r="G10" s="10">
        <f t="shared" ref="G10:G51" si="0">D10*F10</f>
        <v>930</v>
      </c>
    </row>
    <row r="11" spans="1:8" x14ac:dyDescent="0.3">
      <c r="A11" s="9">
        <v>3</v>
      </c>
      <c r="B11" s="9" t="s">
        <v>12</v>
      </c>
      <c r="C11" s="9" t="s">
        <v>383</v>
      </c>
      <c r="D11" s="19">
        <v>245</v>
      </c>
      <c r="E11" s="9" t="s">
        <v>13</v>
      </c>
      <c r="F11" s="27">
        <v>19.634999999999998</v>
      </c>
      <c r="G11" s="10">
        <f t="shared" si="0"/>
        <v>4810.5749999999998</v>
      </c>
    </row>
    <row r="12" spans="1:8" x14ac:dyDescent="0.3">
      <c r="A12" s="9">
        <v>4</v>
      </c>
      <c r="B12" s="9" t="s">
        <v>14</v>
      </c>
      <c r="C12" s="9" t="s">
        <v>384</v>
      </c>
      <c r="D12" s="19">
        <v>245</v>
      </c>
      <c r="E12" s="9" t="s">
        <v>13</v>
      </c>
      <c r="F12" s="27">
        <v>17.36</v>
      </c>
      <c r="G12" s="10">
        <f t="shared" si="0"/>
        <v>4253.2</v>
      </c>
    </row>
    <row r="13" spans="1:8" x14ac:dyDescent="0.3">
      <c r="A13" s="9">
        <v>5</v>
      </c>
      <c r="B13" s="9" t="s">
        <v>15</v>
      </c>
      <c r="C13" s="9" t="s">
        <v>16</v>
      </c>
      <c r="D13" s="19">
        <v>308</v>
      </c>
      <c r="E13" s="9" t="s">
        <v>9</v>
      </c>
      <c r="F13" s="27">
        <v>5.6524999999999999</v>
      </c>
      <c r="G13" s="10">
        <f t="shared" si="0"/>
        <v>1740.97</v>
      </c>
    </row>
    <row r="14" spans="1:8" x14ac:dyDescent="0.3">
      <c r="A14" s="9">
        <v>6</v>
      </c>
      <c r="B14" s="9" t="s">
        <v>17</v>
      </c>
      <c r="C14" s="9" t="s">
        <v>18</v>
      </c>
      <c r="D14" s="19">
        <v>122</v>
      </c>
      <c r="E14" s="9" t="s">
        <v>9</v>
      </c>
      <c r="F14" s="27">
        <v>28.500499999999999</v>
      </c>
      <c r="G14" s="10">
        <f t="shared" si="0"/>
        <v>3477.0609999999997</v>
      </c>
    </row>
    <row r="15" spans="1:8" x14ac:dyDescent="0.3">
      <c r="A15" s="9">
        <v>7</v>
      </c>
      <c r="B15" s="9" t="s">
        <v>19</v>
      </c>
      <c r="C15" s="9" t="s">
        <v>20</v>
      </c>
      <c r="D15" s="19">
        <v>16</v>
      </c>
      <c r="E15" s="9" t="s">
        <v>9</v>
      </c>
      <c r="F15" s="27">
        <v>101.983</v>
      </c>
      <c r="G15" s="10">
        <f t="shared" si="0"/>
        <v>1631.7280000000001</v>
      </c>
    </row>
    <row r="16" spans="1:8" x14ac:dyDescent="0.3">
      <c r="A16" s="9">
        <v>8</v>
      </c>
      <c r="B16" s="9" t="s">
        <v>21</v>
      </c>
      <c r="C16" s="9" t="s">
        <v>22</v>
      </c>
      <c r="D16" s="19">
        <v>16</v>
      </c>
      <c r="E16" s="9" t="s">
        <v>9</v>
      </c>
      <c r="F16" s="27">
        <v>314.39799999999997</v>
      </c>
      <c r="G16" s="10">
        <f t="shared" si="0"/>
        <v>5030.3679999999995</v>
      </c>
    </row>
    <row r="17" spans="1:7" x14ac:dyDescent="0.3">
      <c r="A17" s="9">
        <v>9</v>
      </c>
      <c r="B17" s="9" t="s">
        <v>23</v>
      </c>
      <c r="C17" s="9" t="s">
        <v>317</v>
      </c>
      <c r="D17" s="19">
        <v>48</v>
      </c>
      <c r="E17" s="9" t="s">
        <v>9</v>
      </c>
      <c r="F17" s="27">
        <v>106.51779999999999</v>
      </c>
      <c r="G17" s="10">
        <f t="shared" si="0"/>
        <v>5112.8544000000002</v>
      </c>
    </row>
    <row r="18" spans="1:7" x14ac:dyDescent="0.3">
      <c r="A18" s="9">
        <v>10</v>
      </c>
      <c r="B18" s="9" t="s">
        <v>24</v>
      </c>
      <c r="C18" s="9" t="s">
        <v>25</v>
      </c>
      <c r="D18" s="19">
        <v>462</v>
      </c>
      <c r="E18" s="9" t="s">
        <v>9</v>
      </c>
      <c r="F18" s="27">
        <v>0</v>
      </c>
      <c r="G18" s="10">
        <f t="shared" si="0"/>
        <v>0</v>
      </c>
    </row>
    <row r="19" spans="1:7" x14ac:dyDescent="0.3">
      <c r="A19" s="9">
        <v>11</v>
      </c>
      <c r="B19" s="9" t="s">
        <v>26</v>
      </c>
      <c r="C19" s="9" t="s">
        <v>27</v>
      </c>
      <c r="D19" s="19">
        <v>430</v>
      </c>
      <c r="E19" s="9" t="s">
        <v>9</v>
      </c>
      <c r="F19" s="27">
        <v>0</v>
      </c>
      <c r="G19" s="10">
        <f t="shared" si="0"/>
        <v>0</v>
      </c>
    </row>
    <row r="20" spans="1:7" x14ac:dyDescent="0.3">
      <c r="A20" s="9">
        <v>12</v>
      </c>
      <c r="B20" s="9" t="s">
        <v>28</v>
      </c>
      <c r="C20" s="9" t="s">
        <v>29</v>
      </c>
      <c r="D20" s="19">
        <v>32</v>
      </c>
      <c r="E20" s="9" t="s">
        <v>9</v>
      </c>
      <c r="F20" s="27">
        <v>0</v>
      </c>
      <c r="G20" s="10">
        <f t="shared" si="0"/>
        <v>0</v>
      </c>
    </row>
    <row r="21" spans="1:7" x14ac:dyDescent="0.3">
      <c r="A21" s="9">
        <v>13</v>
      </c>
      <c r="B21" s="9" t="s">
        <v>30</v>
      </c>
      <c r="C21" s="9" t="s">
        <v>31</v>
      </c>
      <c r="D21" s="19">
        <v>202</v>
      </c>
      <c r="E21" s="9" t="s">
        <v>13</v>
      </c>
      <c r="F21" s="27">
        <v>30.366799999999998</v>
      </c>
      <c r="G21" s="10">
        <f t="shared" si="0"/>
        <v>6134.0935999999992</v>
      </c>
    </row>
    <row r="22" spans="1:7" x14ac:dyDescent="0.3">
      <c r="A22" s="9">
        <v>15</v>
      </c>
      <c r="B22" s="9" t="s">
        <v>32</v>
      </c>
      <c r="C22" s="9" t="s">
        <v>33</v>
      </c>
      <c r="D22" s="19">
        <v>306</v>
      </c>
      <c r="E22" s="9" t="s">
        <v>13</v>
      </c>
      <c r="F22" s="27">
        <v>42.659499999999994</v>
      </c>
      <c r="G22" s="10">
        <f t="shared" si="0"/>
        <v>13053.806999999999</v>
      </c>
    </row>
    <row r="23" spans="1:7" x14ac:dyDescent="0.3">
      <c r="A23" s="9">
        <v>16</v>
      </c>
      <c r="B23" s="9" t="s">
        <v>34</v>
      </c>
      <c r="C23" s="9" t="s">
        <v>35</v>
      </c>
      <c r="D23" s="19">
        <v>340</v>
      </c>
      <c r="E23" s="9" t="s">
        <v>13</v>
      </c>
      <c r="F23" s="27">
        <v>41.528999999999996</v>
      </c>
      <c r="G23" s="10">
        <f t="shared" si="0"/>
        <v>14119.859999999999</v>
      </c>
    </row>
    <row r="24" spans="1:7" x14ac:dyDescent="0.3">
      <c r="A24" s="9">
        <v>18</v>
      </c>
      <c r="B24" s="9" t="s">
        <v>36</v>
      </c>
      <c r="C24" s="9" t="s">
        <v>37</v>
      </c>
      <c r="D24" s="19">
        <v>188</v>
      </c>
      <c r="E24" s="9" t="s">
        <v>13</v>
      </c>
      <c r="F24" s="27">
        <v>56.879999999999995</v>
      </c>
      <c r="G24" s="10">
        <f t="shared" si="0"/>
        <v>10693.439999999999</v>
      </c>
    </row>
    <row r="25" spans="1:7" x14ac:dyDescent="0.3">
      <c r="A25" s="9">
        <v>19</v>
      </c>
      <c r="B25" s="9" t="s">
        <v>38</v>
      </c>
      <c r="C25" s="9" t="s">
        <v>39</v>
      </c>
      <c r="D25" s="19">
        <v>508</v>
      </c>
      <c r="E25" s="9" t="s">
        <v>13</v>
      </c>
      <c r="F25" s="27">
        <v>3.81514</v>
      </c>
      <c r="G25" s="10">
        <f t="shared" si="0"/>
        <v>1938.09112</v>
      </c>
    </row>
    <row r="26" spans="1:7" x14ac:dyDescent="0.3">
      <c r="A26" s="9">
        <v>20</v>
      </c>
      <c r="B26" s="9" t="s">
        <v>40</v>
      </c>
      <c r="C26" s="9" t="s">
        <v>41</v>
      </c>
      <c r="D26" s="19">
        <v>508</v>
      </c>
      <c r="E26" s="9" t="s">
        <v>13</v>
      </c>
      <c r="F26" s="27">
        <v>5.2080000000000002</v>
      </c>
      <c r="G26" s="10">
        <f t="shared" si="0"/>
        <v>2645.6640000000002</v>
      </c>
    </row>
    <row r="27" spans="1:7" x14ac:dyDescent="0.3">
      <c r="A27" s="9">
        <v>21</v>
      </c>
      <c r="B27" s="9" t="s">
        <v>42</v>
      </c>
      <c r="C27" s="9" t="s">
        <v>43</v>
      </c>
      <c r="D27" s="19">
        <v>508</v>
      </c>
      <c r="E27" s="9" t="s">
        <v>13</v>
      </c>
      <c r="F27" s="27">
        <v>4.96</v>
      </c>
      <c r="G27" s="10">
        <f t="shared" si="0"/>
        <v>2519.6799999999998</v>
      </c>
    </row>
    <row r="28" spans="1:7" x14ac:dyDescent="0.3">
      <c r="A28" s="9">
        <v>22</v>
      </c>
      <c r="B28" s="15">
        <v>220260722</v>
      </c>
      <c r="C28" s="9" t="s">
        <v>388</v>
      </c>
      <c r="D28" s="19">
        <v>48</v>
      </c>
      <c r="E28" s="9" t="s">
        <v>13</v>
      </c>
      <c r="F28" s="27">
        <v>387.79999999999995</v>
      </c>
      <c r="G28" s="10">
        <f t="shared" si="0"/>
        <v>18614.399999999998</v>
      </c>
    </row>
    <row r="29" spans="1:7" x14ac:dyDescent="0.3">
      <c r="A29" s="9">
        <v>23</v>
      </c>
      <c r="B29" s="9" t="s">
        <v>467</v>
      </c>
      <c r="C29" s="9" t="s">
        <v>468</v>
      </c>
      <c r="D29" s="19">
        <v>56</v>
      </c>
      <c r="E29" s="9" t="s">
        <v>13</v>
      </c>
      <c r="F29" s="27">
        <v>460.20000000000005</v>
      </c>
      <c r="G29" s="10">
        <f t="shared" si="0"/>
        <v>25771.200000000004</v>
      </c>
    </row>
    <row r="30" spans="1:7" x14ac:dyDescent="0.3">
      <c r="A30" s="9">
        <v>24</v>
      </c>
      <c r="B30" s="9" t="s">
        <v>389</v>
      </c>
      <c r="C30" s="9" t="s">
        <v>409</v>
      </c>
      <c r="D30" s="19">
        <v>48</v>
      </c>
      <c r="E30" s="9" t="s">
        <v>13</v>
      </c>
      <c r="F30" s="27">
        <v>627.6099999999999</v>
      </c>
      <c r="G30" s="10">
        <f t="shared" si="0"/>
        <v>30125.279999999995</v>
      </c>
    </row>
    <row r="31" spans="1:7" x14ac:dyDescent="0.3">
      <c r="A31" s="9">
        <v>25</v>
      </c>
      <c r="B31" s="9" t="s">
        <v>44</v>
      </c>
      <c r="C31" s="9" t="s">
        <v>45</v>
      </c>
      <c r="D31" s="19">
        <v>4</v>
      </c>
      <c r="E31" s="9" t="s">
        <v>13</v>
      </c>
      <c r="F31" s="27">
        <v>923.3</v>
      </c>
      <c r="G31" s="10">
        <f t="shared" si="0"/>
        <v>3693.2</v>
      </c>
    </row>
    <row r="32" spans="1:7" x14ac:dyDescent="0.3">
      <c r="A32" s="9">
        <v>26</v>
      </c>
      <c r="B32" s="9" t="s">
        <v>46</v>
      </c>
      <c r="C32" s="9" t="s">
        <v>47</v>
      </c>
      <c r="D32" s="19">
        <v>96</v>
      </c>
      <c r="E32" s="9" t="s">
        <v>9</v>
      </c>
      <c r="F32" s="27">
        <v>53.55</v>
      </c>
      <c r="G32" s="10">
        <f t="shared" si="0"/>
        <v>5140.7999999999993</v>
      </c>
    </row>
    <row r="33" spans="1:8" x14ac:dyDescent="0.3">
      <c r="A33" s="9">
        <v>27</v>
      </c>
      <c r="B33" s="9" t="s">
        <v>48</v>
      </c>
      <c r="C33" s="9" t="s">
        <v>49</v>
      </c>
      <c r="D33" s="19">
        <v>216</v>
      </c>
      <c r="E33" s="9" t="s">
        <v>9</v>
      </c>
      <c r="F33" s="27">
        <v>77.349999999999994</v>
      </c>
      <c r="G33" s="10">
        <f t="shared" si="0"/>
        <v>16707.599999999999</v>
      </c>
    </row>
    <row r="34" spans="1:8" x14ac:dyDescent="0.3">
      <c r="A34" s="9">
        <v>28</v>
      </c>
      <c r="B34" s="9" t="s">
        <v>50</v>
      </c>
      <c r="C34" s="9" t="s">
        <v>51</v>
      </c>
      <c r="D34" s="19">
        <v>312</v>
      </c>
      <c r="E34" s="9" t="s">
        <v>9</v>
      </c>
      <c r="F34" s="27">
        <v>80.599999999999994</v>
      </c>
      <c r="G34" s="10">
        <f t="shared" si="0"/>
        <v>25147.199999999997</v>
      </c>
    </row>
    <row r="35" spans="1:8" x14ac:dyDescent="0.3">
      <c r="A35" s="9">
        <v>29</v>
      </c>
      <c r="B35" s="9" t="s">
        <v>52</v>
      </c>
      <c r="C35" s="9" t="s">
        <v>53</v>
      </c>
      <c r="D35" s="19">
        <v>78</v>
      </c>
      <c r="E35" s="9" t="s">
        <v>9</v>
      </c>
      <c r="F35" s="27">
        <v>7.4399999999999995</v>
      </c>
      <c r="G35" s="10">
        <f t="shared" si="0"/>
        <v>580.31999999999994</v>
      </c>
    </row>
    <row r="36" spans="1:8" x14ac:dyDescent="0.3">
      <c r="A36" s="9">
        <v>30</v>
      </c>
      <c r="B36" s="9" t="s">
        <v>54</v>
      </c>
      <c r="C36" s="9" t="s">
        <v>55</v>
      </c>
      <c r="D36" s="19">
        <v>1020</v>
      </c>
      <c r="E36" s="9" t="s">
        <v>9</v>
      </c>
      <c r="F36" s="27">
        <v>7.4399999999999995</v>
      </c>
      <c r="G36" s="10">
        <f t="shared" si="0"/>
        <v>7588.7999999999993</v>
      </c>
    </row>
    <row r="37" spans="1:8" x14ac:dyDescent="0.3">
      <c r="A37" s="9">
        <v>31</v>
      </c>
      <c r="B37" s="9" t="s">
        <v>56</v>
      </c>
      <c r="C37" s="9" t="s">
        <v>57</v>
      </c>
      <c r="D37" s="19">
        <v>96</v>
      </c>
      <c r="E37" s="9" t="s">
        <v>9</v>
      </c>
      <c r="F37" s="27">
        <v>8.68</v>
      </c>
      <c r="G37" s="10">
        <f t="shared" si="0"/>
        <v>833.28</v>
      </c>
    </row>
    <row r="38" spans="1:8" x14ac:dyDescent="0.3">
      <c r="A38" s="9">
        <v>32</v>
      </c>
      <c r="B38" s="9" t="s">
        <v>58</v>
      </c>
      <c r="C38" s="9" t="s">
        <v>59</v>
      </c>
      <c r="D38" s="19">
        <v>216</v>
      </c>
      <c r="E38" s="9" t="s">
        <v>9</v>
      </c>
      <c r="F38" s="27">
        <v>8.68</v>
      </c>
      <c r="G38" s="10">
        <f t="shared" si="0"/>
        <v>1874.8799999999999</v>
      </c>
    </row>
    <row r="39" spans="1:8" x14ac:dyDescent="0.3">
      <c r="A39" s="9">
        <v>33</v>
      </c>
      <c r="B39" s="9" t="s">
        <v>60</v>
      </c>
      <c r="C39" s="9" t="s">
        <v>61</v>
      </c>
      <c r="D39" s="19">
        <v>1</v>
      </c>
      <c r="E39" s="9" t="s">
        <v>9</v>
      </c>
      <c r="F39" s="27">
        <v>186</v>
      </c>
      <c r="G39" s="10">
        <f t="shared" si="0"/>
        <v>186</v>
      </c>
    </row>
    <row r="40" spans="1:8" x14ac:dyDescent="0.3">
      <c r="A40" s="9">
        <v>34</v>
      </c>
      <c r="B40" s="9" t="s">
        <v>62</v>
      </c>
      <c r="C40" s="9" t="s">
        <v>63</v>
      </c>
      <c r="D40" s="19">
        <v>1</v>
      </c>
      <c r="E40" s="9" t="s">
        <v>9</v>
      </c>
      <c r="F40" s="27">
        <v>372</v>
      </c>
      <c r="G40" s="10">
        <f t="shared" si="0"/>
        <v>372</v>
      </c>
    </row>
    <row r="41" spans="1:8" x14ac:dyDescent="0.3">
      <c r="A41" s="9">
        <v>35</v>
      </c>
      <c r="B41" s="9" t="s">
        <v>64</v>
      </c>
      <c r="C41" s="9" t="s">
        <v>65</v>
      </c>
      <c r="D41" s="19">
        <v>1</v>
      </c>
      <c r="E41" s="9" t="s">
        <v>9</v>
      </c>
      <c r="F41" s="27">
        <v>186</v>
      </c>
      <c r="G41" s="10">
        <f t="shared" si="0"/>
        <v>186</v>
      </c>
    </row>
    <row r="42" spans="1:8" x14ac:dyDescent="0.3">
      <c r="A42" s="9">
        <v>36</v>
      </c>
      <c r="B42" s="9" t="s">
        <v>66</v>
      </c>
      <c r="C42" s="9" t="s">
        <v>67</v>
      </c>
      <c r="D42" s="19">
        <v>1</v>
      </c>
      <c r="E42" s="9" t="s">
        <v>9</v>
      </c>
      <c r="F42" s="27">
        <v>186</v>
      </c>
      <c r="G42" s="10">
        <f t="shared" si="0"/>
        <v>186</v>
      </c>
    </row>
    <row r="43" spans="1:8" x14ac:dyDescent="0.3">
      <c r="A43" s="9">
        <v>37</v>
      </c>
      <c r="B43" s="9" t="s">
        <v>69</v>
      </c>
      <c r="C43" s="9" t="s">
        <v>70</v>
      </c>
      <c r="D43" s="19">
        <v>0.6</v>
      </c>
      <c r="E43" s="9" t="s">
        <v>68</v>
      </c>
      <c r="F43" s="27">
        <v>0</v>
      </c>
      <c r="G43" s="10">
        <f t="shared" si="0"/>
        <v>0</v>
      </c>
      <c r="H43" s="30" t="s">
        <v>480</v>
      </c>
    </row>
    <row r="44" spans="1:8" x14ac:dyDescent="0.3">
      <c r="A44" s="9">
        <v>38</v>
      </c>
      <c r="B44" s="9" t="s">
        <v>69</v>
      </c>
      <c r="C44" s="9" t="s">
        <v>70</v>
      </c>
      <c r="D44" s="19">
        <v>0.8</v>
      </c>
      <c r="E44" s="9" t="s">
        <v>68</v>
      </c>
      <c r="F44" s="27">
        <v>0</v>
      </c>
      <c r="G44" s="10">
        <f t="shared" si="0"/>
        <v>0</v>
      </c>
      <c r="H44" s="30" t="s">
        <v>480</v>
      </c>
    </row>
    <row r="45" spans="1:8" x14ac:dyDescent="0.3">
      <c r="A45" s="9">
        <v>39</v>
      </c>
      <c r="B45" s="9"/>
      <c r="C45" s="9" t="s">
        <v>71</v>
      </c>
      <c r="D45" s="19">
        <v>8</v>
      </c>
      <c r="E45" s="9" t="s">
        <v>72</v>
      </c>
      <c r="F45" s="27">
        <v>372</v>
      </c>
      <c r="G45" s="10">
        <f t="shared" si="0"/>
        <v>2976</v>
      </c>
    </row>
    <row r="46" spans="1:8" x14ac:dyDescent="0.3">
      <c r="A46" s="9">
        <v>40</v>
      </c>
      <c r="B46" s="9"/>
      <c r="C46" s="9" t="s">
        <v>73</v>
      </c>
      <c r="D46" s="19">
        <v>1</v>
      </c>
      <c r="E46" s="9" t="s">
        <v>74</v>
      </c>
      <c r="F46" s="27">
        <v>1860</v>
      </c>
      <c r="G46" s="10">
        <f t="shared" si="0"/>
        <v>1860</v>
      </c>
    </row>
    <row r="47" spans="1:8" x14ac:dyDescent="0.3">
      <c r="A47" s="9">
        <v>41</v>
      </c>
      <c r="B47" s="9"/>
      <c r="C47" s="9" t="s">
        <v>75</v>
      </c>
      <c r="D47" s="19">
        <v>16</v>
      </c>
      <c r="E47" s="9" t="s">
        <v>72</v>
      </c>
      <c r="F47" s="27">
        <v>558</v>
      </c>
      <c r="G47" s="10">
        <f t="shared" si="0"/>
        <v>8928</v>
      </c>
    </row>
    <row r="48" spans="1:8" x14ac:dyDescent="0.3">
      <c r="A48" s="9">
        <v>42</v>
      </c>
      <c r="B48" s="9"/>
      <c r="C48" s="9" t="s">
        <v>76</v>
      </c>
      <c r="D48" s="19">
        <v>16</v>
      </c>
      <c r="E48" s="9" t="s">
        <v>72</v>
      </c>
      <c r="F48" s="27">
        <v>558</v>
      </c>
      <c r="G48" s="10">
        <f t="shared" si="0"/>
        <v>8928</v>
      </c>
    </row>
    <row r="49" spans="1:8" x14ac:dyDescent="0.3">
      <c r="A49" s="9">
        <v>43</v>
      </c>
      <c r="B49" s="9"/>
      <c r="C49" s="9" t="s">
        <v>77</v>
      </c>
      <c r="D49" s="19">
        <v>1</v>
      </c>
      <c r="E49" s="9" t="s">
        <v>74</v>
      </c>
      <c r="F49" s="27">
        <v>5580</v>
      </c>
      <c r="G49" s="10">
        <f t="shared" si="0"/>
        <v>5580</v>
      </c>
    </row>
    <row r="50" spans="1:8" x14ac:dyDescent="0.3">
      <c r="A50" s="9">
        <v>44</v>
      </c>
      <c r="B50" s="9"/>
      <c r="C50" s="9" t="s">
        <v>78</v>
      </c>
      <c r="D50" s="19">
        <v>8</v>
      </c>
      <c r="E50" s="9" t="s">
        <v>72</v>
      </c>
      <c r="F50" s="27">
        <v>558</v>
      </c>
      <c r="G50" s="10">
        <f t="shared" si="0"/>
        <v>4464</v>
      </c>
    </row>
    <row r="51" spans="1:8" x14ac:dyDescent="0.3">
      <c r="A51" s="9">
        <v>45</v>
      </c>
      <c r="B51" s="9"/>
      <c r="C51" s="9" t="s">
        <v>79</v>
      </c>
      <c r="D51" s="19">
        <v>19</v>
      </c>
      <c r="E51" s="9" t="s">
        <v>74</v>
      </c>
      <c r="F51" s="27">
        <v>496</v>
      </c>
      <c r="G51" s="10">
        <f t="shared" si="0"/>
        <v>9424</v>
      </c>
    </row>
    <row r="52" spans="1:8" ht="14.15" x14ac:dyDescent="0.35">
      <c r="A52" s="6"/>
      <c r="B52" s="6"/>
      <c r="C52" s="11" t="s">
        <v>0</v>
      </c>
      <c r="D52" s="20"/>
      <c r="E52" s="12"/>
      <c r="F52" s="12"/>
      <c r="G52" s="13">
        <f>SUM(G9:G51)</f>
        <v>257602.20712000001</v>
      </c>
    </row>
    <row r="54" spans="1:8" ht="15.45" x14ac:dyDescent="0.4">
      <c r="C54" s="3" t="s">
        <v>80</v>
      </c>
    </row>
    <row r="55" spans="1:8" x14ac:dyDescent="0.3">
      <c r="A55" s="7" t="s">
        <v>1</v>
      </c>
      <c r="B55" s="7" t="s">
        <v>2</v>
      </c>
      <c r="C55" s="7" t="s">
        <v>3</v>
      </c>
      <c r="D55" s="7"/>
      <c r="E55" s="8" t="s">
        <v>4</v>
      </c>
      <c r="F55" s="8"/>
      <c r="G55" s="8" t="s">
        <v>0</v>
      </c>
    </row>
    <row r="56" spans="1:8" x14ac:dyDescent="0.3">
      <c r="A56" s="9">
        <v>1</v>
      </c>
      <c r="B56" s="9" t="s">
        <v>81</v>
      </c>
      <c r="C56" s="9" t="s">
        <v>82</v>
      </c>
      <c r="D56" s="19">
        <v>0.9</v>
      </c>
      <c r="E56" s="9" t="s">
        <v>83</v>
      </c>
      <c r="F56" s="27"/>
      <c r="G56" s="10">
        <f t="shared" ref="G56:G71" si="1">D56*F56</f>
        <v>0</v>
      </c>
      <c r="H56" s="30" t="s">
        <v>480</v>
      </c>
    </row>
    <row r="57" spans="1:8" x14ac:dyDescent="0.3">
      <c r="A57" s="9">
        <v>2</v>
      </c>
      <c r="B57" s="9" t="s">
        <v>84</v>
      </c>
      <c r="C57" s="9" t="s">
        <v>85</v>
      </c>
      <c r="D57" s="19">
        <v>4.0999999999999996</v>
      </c>
      <c r="E57" s="9" t="s">
        <v>86</v>
      </c>
      <c r="F57" s="27"/>
      <c r="G57" s="10">
        <f t="shared" si="1"/>
        <v>0</v>
      </c>
      <c r="H57" s="30" t="s">
        <v>480</v>
      </c>
    </row>
    <row r="58" spans="1:8" x14ac:dyDescent="0.3">
      <c r="A58" s="9">
        <v>3</v>
      </c>
      <c r="B58" s="9" t="s">
        <v>87</v>
      </c>
      <c r="C58" s="9" t="s">
        <v>88</v>
      </c>
      <c r="D58" s="19">
        <v>42.8</v>
      </c>
      <c r="E58" s="9" t="s">
        <v>86</v>
      </c>
      <c r="F58" s="27"/>
      <c r="G58" s="10">
        <f t="shared" si="1"/>
        <v>0</v>
      </c>
      <c r="H58" s="30" t="s">
        <v>480</v>
      </c>
    </row>
    <row r="59" spans="1:8" x14ac:dyDescent="0.3">
      <c r="A59" s="9">
        <v>4</v>
      </c>
      <c r="B59" s="9" t="s">
        <v>89</v>
      </c>
      <c r="C59" s="9" t="s">
        <v>90</v>
      </c>
      <c r="D59" s="19">
        <v>42.8</v>
      </c>
      <c r="E59" s="9" t="s">
        <v>86</v>
      </c>
      <c r="F59" s="27"/>
      <c r="G59" s="10">
        <f t="shared" si="1"/>
        <v>0</v>
      </c>
      <c r="H59" s="30" t="s">
        <v>480</v>
      </c>
    </row>
    <row r="60" spans="1:8" x14ac:dyDescent="0.3">
      <c r="A60" s="9">
        <v>5</v>
      </c>
      <c r="B60" s="9" t="s">
        <v>91</v>
      </c>
      <c r="C60" s="9" t="s">
        <v>92</v>
      </c>
      <c r="D60" s="19">
        <v>42.8</v>
      </c>
      <c r="E60" s="9" t="s">
        <v>86</v>
      </c>
      <c r="F60" s="27"/>
      <c r="G60" s="10">
        <f t="shared" si="1"/>
        <v>0</v>
      </c>
      <c r="H60" s="30" t="s">
        <v>480</v>
      </c>
    </row>
    <row r="61" spans="1:8" x14ac:dyDescent="0.3">
      <c r="A61" s="9">
        <v>6</v>
      </c>
      <c r="B61" s="9" t="s">
        <v>93</v>
      </c>
      <c r="C61" s="9" t="s">
        <v>94</v>
      </c>
      <c r="D61" s="19">
        <v>476</v>
      </c>
      <c r="E61" s="9" t="s">
        <v>13</v>
      </c>
      <c r="F61" s="27"/>
      <c r="G61" s="10">
        <f t="shared" si="1"/>
        <v>0</v>
      </c>
      <c r="H61" s="30" t="s">
        <v>480</v>
      </c>
    </row>
    <row r="62" spans="1:8" x14ac:dyDescent="0.3">
      <c r="A62" s="9">
        <v>8</v>
      </c>
      <c r="B62" s="9" t="s">
        <v>95</v>
      </c>
      <c r="C62" s="9" t="s">
        <v>96</v>
      </c>
      <c r="D62" s="19">
        <v>476</v>
      </c>
      <c r="E62" s="9" t="s">
        <v>13</v>
      </c>
      <c r="F62" s="27"/>
      <c r="G62" s="10">
        <f t="shared" si="1"/>
        <v>0</v>
      </c>
      <c r="H62" s="30" t="s">
        <v>480</v>
      </c>
    </row>
    <row r="63" spans="1:8" x14ac:dyDescent="0.3">
      <c r="A63" s="9">
        <v>9</v>
      </c>
      <c r="B63" s="9" t="s">
        <v>97</v>
      </c>
      <c r="C63" s="9" t="s">
        <v>98</v>
      </c>
      <c r="D63" s="19">
        <v>9</v>
      </c>
      <c r="E63" s="9" t="s">
        <v>9</v>
      </c>
      <c r="F63" s="27">
        <v>297.5</v>
      </c>
      <c r="G63" s="10">
        <f t="shared" si="1"/>
        <v>2677.5</v>
      </c>
    </row>
    <row r="64" spans="1:8" x14ac:dyDescent="0.3">
      <c r="A64" s="9">
        <v>10</v>
      </c>
      <c r="B64" s="9" t="s">
        <v>99</v>
      </c>
      <c r="C64" s="9" t="s">
        <v>100</v>
      </c>
      <c r="D64" s="19">
        <v>476</v>
      </c>
      <c r="E64" s="9" t="s">
        <v>13</v>
      </c>
      <c r="F64" s="27">
        <v>3.968</v>
      </c>
      <c r="G64" s="10">
        <f t="shared" si="1"/>
        <v>1888.768</v>
      </c>
    </row>
    <row r="65" spans="1:8" x14ac:dyDescent="0.3">
      <c r="A65" s="9">
        <v>11</v>
      </c>
      <c r="B65" s="9" t="s">
        <v>101</v>
      </c>
      <c r="C65" s="9" t="s">
        <v>102</v>
      </c>
      <c r="D65" s="19">
        <v>32</v>
      </c>
      <c r="E65" s="9" t="s">
        <v>9</v>
      </c>
      <c r="F65" s="27">
        <v>409.2</v>
      </c>
      <c r="G65" s="10">
        <f t="shared" si="1"/>
        <v>13094.4</v>
      </c>
    </row>
    <row r="66" spans="1:8" x14ac:dyDescent="0.3">
      <c r="A66" s="9">
        <v>12</v>
      </c>
      <c r="B66" s="9" t="s">
        <v>103</v>
      </c>
      <c r="C66" s="9" t="s">
        <v>104</v>
      </c>
      <c r="D66" s="19">
        <v>32</v>
      </c>
      <c r="E66" s="9" t="s">
        <v>9</v>
      </c>
      <c r="F66" s="27">
        <v>372</v>
      </c>
      <c r="G66" s="10">
        <f t="shared" si="1"/>
        <v>11904</v>
      </c>
    </row>
    <row r="67" spans="1:8" x14ac:dyDescent="0.3">
      <c r="A67" s="9">
        <v>13</v>
      </c>
      <c r="B67" s="9" t="s">
        <v>105</v>
      </c>
      <c r="C67" s="9" t="s">
        <v>106</v>
      </c>
      <c r="D67" s="19">
        <v>476</v>
      </c>
      <c r="E67" s="9" t="s">
        <v>13</v>
      </c>
      <c r="F67" s="27"/>
      <c r="G67" s="10">
        <f t="shared" si="1"/>
        <v>0</v>
      </c>
      <c r="H67" s="30" t="s">
        <v>480</v>
      </c>
    </row>
    <row r="68" spans="1:8" x14ac:dyDescent="0.3">
      <c r="A68" s="9">
        <v>15</v>
      </c>
      <c r="B68" s="9" t="s">
        <v>107</v>
      </c>
      <c r="C68" s="9" t="s">
        <v>108</v>
      </c>
      <c r="D68" s="19">
        <v>558</v>
      </c>
      <c r="E68" s="9" t="s">
        <v>68</v>
      </c>
      <c r="F68" s="27"/>
      <c r="G68" s="10">
        <f t="shared" si="1"/>
        <v>0</v>
      </c>
      <c r="H68" s="30" t="s">
        <v>480</v>
      </c>
    </row>
    <row r="69" spans="1:8" x14ac:dyDescent="0.3">
      <c r="A69" s="9">
        <v>16</v>
      </c>
      <c r="B69" s="9" t="s">
        <v>410</v>
      </c>
      <c r="C69" s="9" t="s">
        <v>411</v>
      </c>
      <c r="D69" s="19">
        <v>82</v>
      </c>
      <c r="E69" s="9" t="s">
        <v>13</v>
      </c>
      <c r="F69" s="27"/>
      <c r="G69" s="10">
        <f t="shared" si="1"/>
        <v>0</v>
      </c>
      <c r="H69" s="30" t="s">
        <v>480</v>
      </c>
    </row>
    <row r="70" spans="1:8" x14ac:dyDescent="0.3">
      <c r="A70" s="9">
        <v>17</v>
      </c>
      <c r="B70" s="9" t="s">
        <v>412</v>
      </c>
      <c r="C70" s="9" t="s">
        <v>413</v>
      </c>
      <c r="D70" s="19">
        <v>82</v>
      </c>
      <c r="E70" s="9" t="s">
        <v>13</v>
      </c>
      <c r="F70" s="27"/>
      <c r="G70" s="10">
        <f t="shared" si="1"/>
        <v>0</v>
      </c>
      <c r="H70" s="30" t="s">
        <v>480</v>
      </c>
    </row>
    <row r="71" spans="1:8" x14ac:dyDescent="0.3">
      <c r="A71" s="9">
        <v>18</v>
      </c>
      <c r="B71" s="16" t="s">
        <v>414</v>
      </c>
      <c r="C71" s="9" t="s">
        <v>474</v>
      </c>
      <c r="D71" s="19">
        <v>328</v>
      </c>
      <c r="E71" s="9" t="s">
        <v>13</v>
      </c>
      <c r="F71" s="27">
        <v>92.19</v>
      </c>
      <c r="G71" s="10">
        <f t="shared" si="1"/>
        <v>30238.32</v>
      </c>
      <c r="H71" s="32"/>
    </row>
    <row r="72" spans="1:8" ht="14.15" x14ac:dyDescent="0.35">
      <c r="A72" s="6"/>
      <c r="B72" s="6"/>
      <c r="C72" s="11" t="s">
        <v>0</v>
      </c>
      <c r="D72" s="20"/>
      <c r="E72" s="12"/>
      <c r="F72" s="12"/>
      <c r="G72" s="13">
        <f>SUM(G56:G71)</f>
        <v>59802.987999999998</v>
      </c>
    </row>
    <row r="74" spans="1:8" ht="15.45" x14ac:dyDescent="0.4">
      <c r="C74" s="3" t="s">
        <v>123</v>
      </c>
    </row>
    <row r="75" spans="1:8" x14ac:dyDescent="0.3">
      <c r="A75" s="7" t="s">
        <v>1</v>
      </c>
      <c r="B75" s="7" t="s">
        <v>2</v>
      </c>
      <c r="C75" s="7" t="s">
        <v>3</v>
      </c>
      <c r="D75" s="7"/>
      <c r="E75" s="8" t="s">
        <v>4</v>
      </c>
      <c r="F75" s="8"/>
      <c r="G75" s="8" t="s">
        <v>0</v>
      </c>
    </row>
    <row r="76" spans="1:8" x14ac:dyDescent="0.3">
      <c r="A76" s="9">
        <v>1</v>
      </c>
      <c r="B76" s="9"/>
      <c r="C76" s="9" t="s">
        <v>124</v>
      </c>
      <c r="D76" s="19">
        <v>3</v>
      </c>
      <c r="E76" s="9" t="s">
        <v>9</v>
      </c>
      <c r="F76" s="27">
        <v>1680.2</v>
      </c>
      <c r="G76" s="10">
        <f t="shared" ref="G76:G110" si="2">D76*F76</f>
        <v>5040.6000000000004</v>
      </c>
    </row>
    <row r="77" spans="1:8" x14ac:dyDescent="0.3">
      <c r="A77" s="9">
        <v>2</v>
      </c>
      <c r="B77" s="9"/>
      <c r="C77" s="9" t="s">
        <v>125</v>
      </c>
      <c r="D77" s="19">
        <v>7</v>
      </c>
      <c r="E77" s="9" t="s">
        <v>9</v>
      </c>
      <c r="F77" s="27">
        <v>3360.4</v>
      </c>
      <c r="G77" s="10">
        <f t="shared" si="2"/>
        <v>23522.799999999999</v>
      </c>
    </row>
    <row r="78" spans="1:8" x14ac:dyDescent="0.3">
      <c r="A78" s="9">
        <v>3</v>
      </c>
      <c r="B78" s="9"/>
      <c r="C78" s="9" t="s">
        <v>126</v>
      </c>
      <c r="D78" s="19">
        <v>12</v>
      </c>
      <c r="E78" s="9" t="s">
        <v>9</v>
      </c>
      <c r="F78" s="27">
        <v>310</v>
      </c>
      <c r="G78" s="10">
        <f t="shared" si="2"/>
        <v>3720</v>
      </c>
    </row>
    <row r="79" spans="1:8" x14ac:dyDescent="0.3">
      <c r="A79" s="9">
        <v>4</v>
      </c>
      <c r="B79" s="9"/>
      <c r="C79" s="9" t="s">
        <v>127</v>
      </c>
      <c r="D79" s="19">
        <v>18655</v>
      </c>
      <c r="E79" s="9" t="s">
        <v>13</v>
      </c>
      <c r="F79" s="27">
        <v>17.36</v>
      </c>
      <c r="G79" s="10">
        <f t="shared" si="2"/>
        <v>323850.8</v>
      </c>
    </row>
    <row r="80" spans="1:8" x14ac:dyDescent="0.3">
      <c r="A80" s="9">
        <v>5</v>
      </c>
      <c r="B80" s="9"/>
      <c r="C80" s="9" t="s">
        <v>128</v>
      </c>
      <c r="D80" s="19">
        <v>574</v>
      </c>
      <c r="E80" s="9" t="s">
        <v>9</v>
      </c>
      <c r="F80" s="27">
        <v>59.519999999999996</v>
      </c>
      <c r="G80" s="10">
        <f t="shared" si="2"/>
        <v>34164.479999999996</v>
      </c>
    </row>
    <row r="81" spans="1:7" x14ac:dyDescent="0.3">
      <c r="A81" s="9">
        <v>6</v>
      </c>
      <c r="B81" s="9"/>
      <c r="C81" s="9" t="s">
        <v>129</v>
      </c>
      <c r="D81" s="19">
        <v>287</v>
      </c>
      <c r="E81" s="9" t="s">
        <v>9</v>
      </c>
      <c r="F81" s="27">
        <v>43.4</v>
      </c>
      <c r="G81" s="10">
        <f t="shared" si="2"/>
        <v>12455.8</v>
      </c>
    </row>
    <row r="82" spans="1:7" x14ac:dyDescent="0.3">
      <c r="A82" s="9">
        <v>7</v>
      </c>
      <c r="B82" s="9"/>
      <c r="C82" s="9" t="s">
        <v>130</v>
      </c>
      <c r="D82" s="19">
        <v>120</v>
      </c>
      <c r="E82" s="9" t="s">
        <v>9</v>
      </c>
      <c r="F82" s="27">
        <v>163.68</v>
      </c>
      <c r="G82" s="10">
        <f t="shared" si="2"/>
        <v>19641.600000000002</v>
      </c>
    </row>
    <row r="83" spans="1:7" x14ac:dyDescent="0.3">
      <c r="A83" s="9">
        <v>8</v>
      </c>
      <c r="B83" s="9"/>
      <c r="C83" s="9" t="s">
        <v>131</v>
      </c>
      <c r="D83" s="19">
        <v>240</v>
      </c>
      <c r="E83" s="9" t="s">
        <v>9</v>
      </c>
      <c r="F83" s="27">
        <v>70.679999999999993</v>
      </c>
      <c r="G83" s="10">
        <f t="shared" si="2"/>
        <v>16963.199999999997</v>
      </c>
    </row>
    <row r="84" spans="1:7" x14ac:dyDescent="0.3">
      <c r="A84" s="9">
        <v>9</v>
      </c>
      <c r="B84" s="9"/>
      <c r="C84" s="9" t="s">
        <v>132</v>
      </c>
      <c r="D84" s="19">
        <v>287</v>
      </c>
      <c r="E84" s="9" t="s">
        <v>9</v>
      </c>
      <c r="F84" s="27">
        <v>35.96</v>
      </c>
      <c r="G84" s="10">
        <f t="shared" si="2"/>
        <v>10320.52</v>
      </c>
    </row>
    <row r="85" spans="1:7" x14ac:dyDescent="0.3">
      <c r="A85" s="9">
        <v>10</v>
      </c>
      <c r="B85" s="9"/>
      <c r="C85" s="9" t="s">
        <v>133</v>
      </c>
      <c r="D85" s="19">
        <v>8</v>
      </c>
      <c r="E85" s="9" t="s">
        <v>72</v>
      </c>
      <c r="F85" s="27">
        <v>558</v>
      </c>
      <c r="G85" s="10">
        <f t="shared" si="2"/>
        <v>4464</v>
      </c>
    </row>
    <row r="86" spans="1:7" x14ac:dyDescent="0.3">
      <c r="A86" s="9">
        <v>11</v>
      </c>
      <c r="B86" s="9" t="s">
        <v>134</v>
      </c>
      <c r="C86" s="9" t="s">
        <v>135</v>
      </c>
      <c r="D86" s="19">
        <v>1</v>
      </c>
      <c r="E86" s="9" t="s">
        <v>9</v>
      </c>
      <c r="F86" s="27">
        <v>2306.4</v>
      </c>
      <c r="G86" s="10">
        <f t="shared" si="2"/>
        <v>2306.4</v>
      </c>
    </row>
    <row r="87" spans="1:7" x14ac:dyDescent="0.3">
      <c r="A87" s="9">
        <v>12</v>
      </c>
      <c r="B87" s="9"/>
      <c r="C87" s="9" t="s">
        <v>136</v>
      </c>
      <c r="D87" s="19">
        <v>8</v>
      </c>
      <c r="E87" s="9" t="s">
        <v>9</v>
      </c>
      <c r="F87" s="27">
        <v>248</v>
      </c>
      <c r="G87" s="10">
        <f t="shared" si="2"/>
        <v>1984</v>
      </c>
    </row>
    <row r="88" spans="1:7" x14ac:dyDescent="0.3">
      <c r="A88" s="9">
        <v>13</v>
      </c>
      <c r="B88" s="9" t="s">
        <v>137</v>
      </c>
      <c r="C88" s="9" t="s">
        <v>138</v>
      </c>
      <c r="D88" s="19">
        <v>3</v>
      </c>
      <c r="E88" s="9" t="s">
        <v>9</v>
      </c>
      <c r="F88" s="27">
        <v>186</v>
      </c>
      <c r="G88" s="10">
        <f t="shared" si="2"/>
        <v>558</v>
      </c>
    </row>
    <row r="89" spans="1:7" x14ac:dyDescent="0.3">
      <c r="A89" s="9">
        <v>14</v>
      </c>
      <c r="B89" s="9" t="s">
        <v>139</v>
      </c>
      <c r="C89" s="9" t="s">
        <v>140</v>
      </c>
      <c r="D89" s="19">
        <v>2</v>
      </c>
      <c r="E89" s="9" t="s">
        <v>9</v>
      </c>
      <c r="F89" s="27">
        <v>248</v>
      </c>
      <c r="G89" s="10">
        <f t="shared" si="2"/>
        <v>496</v>
      </c>
    </row>
    <row r="90" spans="1:7" x14ac:dyDescent="0.3">
      <c r="A90" s="9">
        <v>15</v>
      </c>
      <c r="B90" s="9" t="s">
        <v>111</v>
      </c>
      <c r="C90" s="9" t="s">
        <v>122</v>
      </c>
      <c r="D90" s="19">
        <v>2</v>
      </c>
      <c r="E90" s="9" t="s">
        <v>9</v>
      </c>
      <c r="F90" s="27">
        <v>434</v>
      </c>
      <c r="G90" s="10">
        <f t="shared" si="2"/>
        <v>868</v>
      </c>
    </row>
    <row r="91" spans="1:7" x14ac:dyDescent="0.3">
      <c r="A91" s="9">
        <v>16</v>
      </c>
      <c r="B91" s="9" t="s">
        <v>7</v>
      </c>
      <c r="C91" s="9" t="s">
        <v>8</v>
      </c>
      <c r="D91" s="19">
        <v>2</v>
      </c>
      <c r="E91" s="9" t="s">
        <v>9</v>
      </c>
      <c r="F91" s="27">
        <v>62</v>
      </c>
      <c r="G91" s="10">
        <f t="shared" si="2"/>
        <v>124</v>
      </c>
    </row>
    <row r="92" spans="1:7" x14ac:dyDescent="0.3">
      <c r="A92" s="9">
        <v>17</v>
      </c>
      <c r="B92" s="9" t="s">
        <v>10</v>
      </c>
      <c r="C92" s="9" t="s">
        <v>11</v>
      </c>
      <c r="D92" s="19">
        <v>2</v>
      </c>
      <c r="E92" s="9" t="s">
        <v>9</v>
      </c>
      <c r="F92" s="27">
        <v>35.96</v>
      </c>
      <c r="G92" s="10">
        <f t="shared" si="2"/>
        <v>71.92</v>
      </c>
    </row>
    <row r="93" spans="1:7" x14ac:dyDescent="0.3">
      <c r="A93" s="9">
        <v>18</v>
      </c>
      <c r="B93" s="9" t="s">
        <v>141</v>
      </c>
      <c r="C93" s="9" t="s">
        <v>142</v>
      </c>
      <c r="D93" s="19">
        <v>80</v>
      </c>
      <c r="E93" s="9" t="s">
        <v>13</v>
      </c>
      <c r="F93" s="27">
        <v>7.4399999999999995</v>
      </c>
      <c r="G93" s="10">
        <f t="shared" si="2"/>
        <v>595.19999999999993</v>
      </c>
    </row>
    <row r="94" spans="1:7" x14ac:dyDescent="0.3">
      <c r="A94" s="9">
        <v>19</v>
      </c>
      <c r="B94" s="9" t="s">
        <v>143</v>
      </c>
      <c r="C94" s="9" t="s">
        <v>144</v>
      </c>
      <c r="D94" s="19">
        <v>2</v>
      </c>
      <c r="E94" s="9" t="s">
        <v>9</v>
      </c>
      <c r="F94" s="27">
        <v>84.32</v>
      </c>
      <c r="G94" s="10">
        <f t="shared" si="2"/>
        <v>168.64</v>
      </c>
    </row>
    <row r="95" spans="1:7" x14ac:dyDescent="0.3">
      <c r="A95" s="9">
        <v>20</v>
      </c>
      <c r="B95" s="9" t="s">
        <v>145</v>
      </c>
      <c r="C95" s="9" t="s">
        <v>146</v>
      </c>
      <c r="D95" s="19">
        <v>80</v>
      </c>
      <c r="E95" s="9" t="s">
        <v>13</v>
      </c>
      <c r="F95" s="27">
        <v>17.36</v>
      </c>
      <c r="G95" s="10">
        <f t="shared" si="2"/>
        <v>1388.8</v>
      </c>
    </row>
    <row r="96" spans="1:7" x14ac:dyDescent="0.3">
      <c r="A96" s="9">
        <v>21</v>
      </c>
      <c r="B96" s="9"/>
      <c r="C96" s="9" t="s">
        <v>75</v>
      </c>
      <c r="D96" s="19">
        <v>12</v>
      </c>
      <c r="E96" s="9" t="s">
        <v>72</v>
      </c>
      <c r="F96" s="27">
        <v>434</v>
      </c>
      <c r="G96" s="10">
        <f t="shared" si="2"/>
        <v>5208</v>
      </c>
    </row>
    <row r="97" spans="1:8" x14ac:dyDescent="0.3">
      <c r="A97" s="9">
        <v>22</v>
      </c>
      <c r="B97" s="9"/>
      <c r="C97" s="9" t="s">
        <v>76</v>
      </c>
      <c r="D97" s="19">
        <v>12</v>
      </c>
      <c r="E97" s="9" t="s">
        <v>72</v>
      </c>
      <c r="F97" s="27">
        <v>434</v>
      </c>
      <c r="G97" s="10">
        <f t="shared" si="2"/>
        <v>5208</v>
      </c>
    </row>
    <row r="98" spans="1:8" x14ac:dyDescent="0.3">
      <c r="A98" s="9">
        <v>23</v>
      </c>
      <c r="B98" s="19" t="s">
        <v>415</v>
      </c>
      <c r="C98" s="19" t="s">
        <v>416</v>
      </c>
      <c r="D98" s="19">
        <v>112</v>
      </c>
      <c r="E98" s="9" t="s">
        <v>13</v>
      </c>
      <c r="F98" s="27">
        <v>22.32</v>
      </c>
      <c r="G98" s="10">
        <f t="shared" si="2"/>
        <v>2499.84</v>
      </c>
      <c r="H98" s="33"/>
    </row>
    <row r="99" spans="1:8" x14ac:dyDescent="0.3">
      <c r="A99" s="9">
        <v>24</v>
      </c>
      <c r="B99" s="19" t="s">
        <v>417</v>
      </c>
      <c r="C99" s="19" t="s">
        <v>418</v>
      </c>
      <c r="D99" s="19">
        <v>16</v>
      </c>
      <c r="E99" s="9" t="s">
        <v>9</v>
      </c>
      <c r="F99" s="27">
        <v>192.2</v>
      </c>
      <c r="G99" s="10">
        <f t="shared" si="2"/>
        <v>3075.2</v>
      </c>
      <c r="H99" s="33"/>
    </row>
    <row r="100" spans="1:8" x14ac:dyDescent="0.3">
      <c r="A100" s="9">
        <v>25</v>
      </c>
      <c r="B100" s="19" t="s">
        <v>419</v>
      </c>
      <c r="C100" s="19" t="s">
        <v>420</v>
      </c>
      <c r="D100" s="19">
        <v>2</v>
      </c>
      <c r="E100" s="9" t="s">
        <v>9</v>
      </c>
      <c r="F100" s="27">
        <v>18.600000000000001</v>
      </c>
      <c r="G100" s="10">
        <f t="shared" si="2"/>
        <v>37.200000000000003</v>
      </c>
      <c r="H100" s="33"/>
    </row>
    <row r="101" spans="1:8" x14ac:dyDescent="0.3">
      <c r="A101" s="9">
        <v>26</v>
      </c>
      <c r="B101" s="19" t="s">
        <v>421</v>
      </c>
      <c r="C101" s="19" t="s">
        <v>422</v>
      </c>
      <c r="D101" s="19">
        <v>2</v>
      </c>
      <c r="E101" s="9" t="s">
        <v>9</v>
      </c>
      <c r="F101" s="27">
        <v>198.4</v>
      </c>
      <c r="G101" s="10">
        <f t="shared" si="2"/>
        <v>396.8</v>
      </c>
      <c r="H101" s="33"/>
    </row>
    <row r="102" spans="1:8" x14ac:dyDescent="0.3">
      <c r="A102" s="9">
        <v>27</v>
      </c>
      <c r="B102" s="19" t="s">
        <v>423</v>
      </c>
      <c r="C102" s="19" t="s">
        <v>424</v>
      </c>
      <c r="D102" s="19">
        <v>2</v>
      </c>
      <c r="E102" s="9" t="s">
        <v>9</v>
      </c>
      <c r="F102" s="27">
        <v>117.8</v>
      </c>
      <c r="G102" s="10">
        <f t="shared" si="2"/>
        <v>235.6</v>
      </c>
      <c r="H102" s="33"/>
    </row>
    <row r="103" spans="1:8" x14ac:dyDescent="0.3">
      <c r="A103" s="9">
        <v>28</v>
      </c>
      <c r="B103" s="19" t="s">
        <v>425</v>
      </c>
      <c r="C103" s="19" t="s">
        <v>426</v>
      </c>
      <c r="D103" s="19">
        <v>8</v>
      </c>
      <c r="E103" s="9" t="s">
        <v>9</v>
      </c>
      <c r="F103" s="27">
        <v>55.8</v>
      </c>
      <c r="G103" s="10">
        <f t="shared" si="2"/>
        <v>446.4</v>
      </c>
      <c r="H103" s="33"/>
    </row>
    <row r="104" spans="1:8" x14ac:dyDescent="0.3">
      <c r="A104" s="9">
        <v>29</v>
      </c>
      <c r="B104" s="19" t="s">
        <v>427</v>
      </c>
      <c r="C104" s="19" t="s">
        <v>428</v>
      </c>
      <c r="D104" s="19">
        <v>16</v>
      </c>
      <c r="E104" s="9" t="s">
        <v>9</v>
      </c>
      <c r="F104" s="27">
        <v>49.6</v>
      </c>
      <c r="G104" s="10">
        <f t="shared" si="2"/>
        <v>793.6</v>
      </c>
      <c r="H104" s="33"/>
    </row>
    <row r="105" spans="1:8" x14ac:dyDescent="0.3">
      <c r="A105" s="9">
        <v>30</v>
      </c>
      <c r="B105" s="19" t="s">
        <v>429</v>
      </c>
      <c r="C105" s="19" t="s">
        <v>430</v>
      </c>
      <c r="D105" s="19">
        <v>2</v>
      </c>
      <c r="E105" s="9" t="s">
        <v>9</v>
      </c>
      <c r="F105" s="27">
        <v>148.80000000000001</v>
      </c>
      <c r="G105" s="10">
        <f t="shared" si="2"/>
        <v>297.60000000000002</v>
      </c>
      <c r="H105" s="33"/>
    </row>
    <row r="106" spans="1:8" x14ac:dyDescent="0.3">
      <c r="A106" s="9">
        <v>31</v>
      </c>
      <c r="B106" s="19" t="s">
        <v>431</v>
      </c>
      <c r="C106" s="19" t="s">
        <v>432</v>
      </c>
      <c r="D106" s="19">
        <v>16</v>
      </c>
      <c r="E106" s="9" t="s">
        <v>9</v>
      </c>
      <c r="F106" s="27">
        <v>33.479999999999997</v>
      </c>
      <c r="G106" s="10">
        <f t="shared" si="2"/>
        <v>535.67999999999995</v>
      </c>
      <c r="H106" s="33"/>
    </row>
    <row r="107" spans="1:8" x14ac:dyDescent="0.3">
      <c r="A107" s="9">
        <v>32</v>
      </c>
      <c r="B107" s="19" t="s">
        <v>433</v>
      </c>
      <c r="C107" s="19" t="s">
        <v>434</v>
      </c>
      <c r="D107" s="19">
        <v>2</v>
      </c>
      <c r="E107" s="9" t="s">
        <v>9</v>
      </c>
      <c r="F107" s="27">
        <v>117.8</v>
      </c>
      <c r="G107" s="10">
        <f t="shared" si="2"/>
        <v>235.6</v>
      </c>
      <c r="H107" s="33"/>
    </row>
    <row r="108" spans="1:8" x14ac:dyDescent="0.3">
      <c r="A108" s="9">
        <v>33</v>
      </c>
      <c r="B108" s="19" t="s">
        <v>435</v>
      </c>
      <c r="C108" s="19" t="s">
        <v>436</v>
      </c>
      <c r="D108" s="19">
        <v>8</v>
      </c>
      <c r="E108" s="9" t="s">
        <v>9</v>
      </c>
      <c r="F108" s="27">
        <v>155</v>
      </c>
      <c r="G108" s="10">
        <f t="shared" si="2"/>
        <v>1240</v>
      </c>
      <c r="H108" s="33"/>
    </row>
    <row r="109" spans="1:8" x14ac:dyDescent="0.3">
      <c r="A109" s="9">
        <v>34</v>
      </c>
      <c r="B109" s="19"/>
      <c r="C109" s="19" t="s">
        <v>437</v>
      </c>
      <c r="D109" s="19">
        <v>1</v>
      </c>
      <c r="E109" s="9" t="s">
        <v>9</v>
      </c>
      <c r="F109" s="27">
        <v>1054</v>
      </c>
      <c r="G109" s="10">
        <f t="shared" si="2"/>
        <v>1054</v>
      </c>
    </row>
    <row r="110" spans="1:8" x14ac:dyDescent="0.3">
      <c r="A110" s="9">
        <v>35</v>
      </c>
      <c r="B110" s="19"/>
      <c r="C110" s="19" t="s">
        <v>438</v>
      </c>
      <c r="D110" s="19">
        <v>1</v>
      </c>
      <c r="E110" s="9" t="s">
        <v>9</v>
      </c>
      <c r="F110" s="27">
        <v>186</v>
      </c>
      <c r="G110" s="10">
        <f t="shared" si="2"/>
        <v>186</v>
      </c>
    </row>
    <row r="111" spans="1:8" ht="14.15" x14ac:dyDescent="0.35">
      <c r="A111" s="6"/>
      <c r="B111" s="6"/>
      <c r="C111" s="11" t="s">
        <v>0</v>
      </c>
      <c r="D111" s="20"/>
      <c r="E111" s="12"/>
      <c r="F111" s="12"/>
      <c r="G111" s="13">
        <f>SUM(G76:G110)</f>
        <v>484154.27999999997</v>
      </c>
    </row>
    <row r="113" spans="1:8" ht="15.45" x14ac:dyDescent="0.4">
      <c r="C113" s="3" t="s">
        <v>147</v>
      </c>
    </row>
    <row r="114" spans="1:8" x14ac:dyDescent="0.3">
      <c r="A114" s="7" t="s">
        <v>1</v>
      </c>
      <c r="B114" s="7" t="s">
        <v>2</v>
      </c>
      <c r="C114" s="7" t="s">
        <v>3</v>
      </c>
      <c r="D114" s="7"/>
      <c r="E114" s="8" t="s">
        <v>4</v>
      </c>
      <c r="F114" s="8"/>
      <c r="G114" s="8" t="s">
        <v>0</v>
      </c>
    </row>
    <row r="115" spans="1:8" x14ac:dyDescent="0.3">
      <c r="A115" s="9">
        <v>1</v>
      </c>
      <c r="B115" s="9" t="s">
        <v>148</v>
      </c>
      <c r="C115" s="9" t="s">
        <v>149</v>
      </c>
      <c r="D115" s="19">
        <v>18655</v>
      </c>
      <c r="E115" s="9" t="s">
        <v>13</v>
      </c>
      <c r="F115" s="27">
        <v>7.4260000000000002</v>
      </c>
      <c r="G115" s="10">
        <f t="shared" ref="G115:G144" si="3">D115*F115</f>
        <v>138532.03</v>
      </c>
      <c r="H115" s="30">
        <v>5.4</v>
      </c>
    </row>
    <row r="116" spans="1:8" x14ac:dyDescent="0.3">
      <c r="A116" s="9">
        <v>2</v>
      </c>
      <c r="B116" s="9" t="s">
        <v>150</v>
      </c>
      <c r="C116" s="9" t="s">
        <v>397</v>
      </c>
      <c r="D116" s="19">
        <v>115</v>
      </c>
      <c r="E116" s="9" t="s">
        <v>9</v>
      </c>
      <c r="F116" s="27">
        <v>25.227999999999998</v>
      </c>
      <c r="G116" s="10">
        <f t="shared" si="3"/>
        <v>2901.22</v>
      </c>
    </row>
    <row r="117" spans="1:8" x14ac:dyDescent="0.3">
      <c r="A117" s="9">
        <v>3</v>
      </c>
      <c r="B117" s="9" t="s">
        <v>390</v>
      </c>
      <c r="C117" s="9" t="s">
        <v>398</v>
      </c>
      <c r="D117" s="19">
        <v>240</v>
      </c>
      <c r="E117" s="9" t="s">
        <v>9</v>
      </c>
      <c r="F117" s="27">
        <v>34.747999999999998</v>
      </c>
      <c r="G117" s="10">
        <f t="shared" si="3"/>
        <v>8339.5199999999986</v>
      </c>
    </row>
    <row r="118" spans="1:8" x14ac:dyDescent="0.3">
      <c r="A118" s="9">
        <v>4</v>
      </c>
      <c r="B118" s="9" t="s">
        <v>392</v>
      </c>
      <c r="C118" s="9" t="s">
        <v>399</v>
      </c>
      <c r="D118" s="19">
        <v>5</v>
      </c>
      <c r="E118" s="9" t="s">
        <v>9</v>
      </c>
      <c r="F118" s="27">
        <v>315.11200000000002</v>
      </c>
      <c r="G118" s="10">
        <f t="shared" si="3"/>
        <v>1575.5600000000002</v>
      </c>
    </row>
    <row r="119" spans="1:8" x14ac:dyDescent="0.3">
      <c r="A119" s="9">
        <v>5</v>
      </c>
      <c r="B119" s="9" t="s">
        <v>391</v>
      </c>
      <c r="C119" s="9" t="s">
        <v>400</v>
      </c>
      <c r="D119" s="19">
        <v>0</v>
      </c>
      <c r="E119" s="9" t="s">
        <v>9</v>
      </c>
      <c r="F119" s="27">
        <v>335.58</v>
      </c>
      <c r="G119" s="10">
        <f t="shared" si="3"/>
        <v>0</v>
      </c>
    </row>
    <row r="120" spans="1:8" x14ac:dyDescent="0.3">
      <c r="A120" s="9">
        <v>6</v>
      </c>
      <c r="B120" s="9" t="s">
        <v>395</v>
      </c>
      <c r="C120" s="9" t="s">
        <v>401</v>
      </c>
      <c r="D120" s="19">
        <v>63</v>
      </c>
      <c r="E120" s="9" t="s">
        <v>9</v>
      </c>
      <c r="F120" s="27">
        <v>60.69</v>
      </c>
      <c r="G120" s="10">
        <f t="shared" si="3"/>
        <v>3823.47</v>
      </c>
    </row>
    <row r="121" spans="1:8" x14ac:dyDescent="0.3">
      <c r="A121" s="9">
        <v>7</v>
      </c>
      <c r="B121" s="9" t="s">
        <v>393</v>
      </c>
      <c r="C121" s="9" t="s">
        <v>402</v>
      </c>
      <c r="D121" s="19">
        <v>5</v>
      </c>
      <c r="E121" s="9" t="s">
        <v>9</v>
      </c>
      <c r="F121" s="27">
        <v>89.368999999999986</v>
      </c>
      <c r="G121" s="10">
        <f t="shared" si="3"/>
        <v>446.84499999999991</v>
      </c>
    </row>
    <row r="122" spans="1:8" x14ac:dyDescent="0.3">
      <c r="A122" s="9">
        <v>8</v>
      </c>
      <c r="B122" s="9" t="s">
        <v>394</v>
      </c>
      <c r="C122" s="9" t="s">
        <v>403</v>
      </c>
      <c r="D122" s="19">
        <v>0</v>
      </c>
      <c r="E122" s="9" t="s">
        <v>9</v>
      </c>
      <c r="F122" s="27">
        <v>111.86</v>
      </c>
      <c r="G122" s="10">
        <f t="shared" si="3"/>
        <v>0</v>
      </c>
    </row>
    <row r="123" spans="1:8" x14ac:dyDescent="0.3">
      <c r="A123" s="9">
        <v>9</v>
      </c>
      <c r="B123" s="9" t="s">
        <v>151</v>
      </c>
      <c r="C123" s="9" t="s">
        <v>404</v>
      </c>
      <c r="D123" s="19">
        <v>63</v>
      </c>
      <c r="E123" s="9" t="s">
        <v>9</v>
      </c>
      <c r="F123" s="27">
        <v>23.085999999999999</v>
      </c>
      <c r="G123" s="10">
        <f t="shared" si="3"/>
        <v>1454.4179999999999</v>
      </c>
    </row>
    <row r="124" spans="1:8" x14ac:dyDescent="0.3">
      <c r="A124" s="9">
        <v>10</v>
      </c>
      <c r="B124" s="9" t="s">
        <v>396</v>
      </c>
      <c r="C124" s="9" t="s">
        <v>405</v>
      </c>
      <c r="D124" s="19">
        <v>104</v>
      </c>
      <c r="E124" s="9" t="s">
        <v>9</v>
      </c>
      <c r="F124" s="27">
        <v>64.259999999999991</v>
      </c>
      <c r="G124" s="10">
        <f t="shared" si="3"/>
        <v>6683.0399999999991</v>
      </c>
    </row>
    <row r="125" spans="1:8" x14ac:dyDescent="0.3">
      <c r="A125" s="9">
        <v>11</v>
      </c>
      <c r="B125" s="9" t="s">
        <v>152</v>
      </c>
      <c r="C125" s="9" t="s">
        <v>153</v>
      </c>
      <c r="D125" s="19">
        <v>3</v>
      </c>
      <c r="E125" s="9" t="s">
        <v>9</v>
      </c>
      <c r="F125" s="27">
        <v>1059.0999999999999</v>
      </c>
      <c r="G125" s="10">
        <f t="shared" si="3"/>
        <v>3177.2999999999997</v>
      </c>
    </row>
    <row r="126" spans="1:8" x14ac:dyDescent="0.3">
      <c r="A126" s="9">
        <v>12</v>
      </c>
      <c r="B126" s="9" t="s">
        <v>154</v>
      </c>
      <c r="C126" s="9" t="s">
        <v>155</v>
      </c>
      <c r="D126" s="19">
        <v>7</v>
      </c>
      <c r="E126" s="9" t="s">
        <v>9</v>
      </c>
      <c r="F126" s="27">
        <v>2118.1999999999998</v>
      </c>
      <c r="G126" s="10">
        <f t="shared" si="3"/>
        <v>14827.399999999998</v>
      </c>
    </row>
    <row r="127" spans="1:8" x14ac:dyDescent="0.3">
      <c r="A127" s="9">
        <v>13</v>
      </c>
      <c r="B127" s="9" t="s">
        <v>156</v>
      </c>
      <c r="C127" s="9" t="s">
        <v>157</v>
      </c>
      <c r="D127" s="19">
        <v>12</v>
      </c>
      <c r="E127" s="9" t="s">
        <v>9</v>
      </c>
      <c r="F127" s="27">
        <v>183.26</v>
      </c>
      <c r="G127" s="10">
        <f t="shared" si="3"/>
        <v>2199.12</v>
      </c>
    </row>
    <row r="128" spans="1:8" x14ac:dyDescent="0.3">
      <c r="A128" s="9">
        <v>14</v>
      </c>
      <c r="B128" s="9" t="s">
        <v>158</v>
      </c>
      <c r="C128" s="9" t="s">
        <v>159</v>
      </c>
      <c r="D128" s="19">
        <v>8</v>
      </c>
      <c r="E128" s="9" t="s">
        <v>9</v>
      </c>
      <c r="F128" s="27">
        <v>365.33</v>
      </c>
      <c r="G128" s="10">
        <f t="shared" si="3"/>
        <v>2922.64</v>
      </c>
    </row>
    <row r="129" spans="1:8" x14ac:dyDescent="0.3">
      <c r="A129" s="9">
        <v>15</v>
      </c>
      <c r="B129" s="9" t="s">
        <v>160</v>
      </c>
      <c r="C129" s="9" t="s">
        <v>470</v>
      </c>
      <c r="D129" s="19">
        <v>2</v>
      </c>
      <c r="E129" s="9" t="s">
        <v>9</v>
      </c>
      <c r="F129" s="27">
        <v>4294.71</v>
      </c>
      <c r="G129" s="10">
        <f t="shared" si="3"/>
        <v>8589.42</v>
      </c>
    </row>
    <row r="130" spans="1:8" x14ac:dyDescent="0.3">
      <c r="A130" s="9">
        <v>16</v>
      </c>
      <c r="B130" s="9" t="s">
        <v>161</v>
      </c>
      <c r="C130" s="9" t="s">
        <v>382</v>
      </c>
      <c r="D130" s="19">
        <v>3</v>
      </c>
      <c r="E130" s="9" t="s">
        <v>9</v>
      </c>
      <c r="F130" s="27">
        <v>619.99</v>
      </c>
      <c r="G130" s="10">
        <f t="shared" si="3"/>
        <v>1859.97</v>
      </c>
    </row>
    <row r="131" spans="1:8" x14ac:dyDescent="0.3">
      <c r="A131" s="9">
        <v>17</v>
      </c>
      <c r="B131" s="9"/>
      <c r="C131" s="9" t="s">
        <v>475</v>
      </c>
      <c r="D131" s="19">
        <v>1</v>
      </c>
      <c r="E131" s="9" t="s">
        <v>9</v>
      </c>
      <c r="F131" s="27">
        <v>15286.74</v>
      </c>
      <c r="G131" s="10">
        <f t="shared" si="3"/>
        <v>15286.74</v>
      </c>
    </row>
    <row r="132" spans="1:8" x14ac:dyDescent="0.3">
      <c r="A132" s="9">
        <v>18</v>
      </c>
      <c r="B132" s="19"/>
      <c r="C132" s="19" t="s">
        <v>469</v>
      </c>
      <c r="D132" s="19">
        <v>1</v>
      </c>
      <c r="E132" s="9" t="s">
        <v>9</v>
      </c>
      <c r="F132" s="27">
        <v>4236.3999999999996</v>
      </c>
      <c r="G132" s="10">
        <f t="shared" si="3"/>
        <v>4236.3999999999996</v>
      </c>
    </row>
    <row r="133" spans="1:8" x14ac:dyDescent="0.3">
      <c r="A133" s="9">
        <v>19</v>
      </c>
      <c r="B133" s="19"/>
      <c r="C133" s="19" t="s">
        <v>439</v>
      </c>
      <c r="D133" s="19">
        <v>112</v>
      </c>
      <c r="E133" s="9" t="s">
        <v>13</v>
      </c>
      <c r="F133" s="27">
        <v>72.59</v>
      </c>
      <c r="G133" s="10">
        <f t="shared" si="3"/>
        <v>8130.08</v>
      </c>
      <c r="H133" s="33"/>
    </row>
    <row r="134" spans="1:8" x14ac:dyDescent="0.3">
      <c r="A134" s="9">
        <v>20</v>
      </c>
      <c r="B134" s="19" t="s">
        <v>440</v>
      </c>
      <c r="C134" s="19" t="s">
        <v>441</v>
      </c>
      <c r="D134" s="19">
        <v>2</v>
      </c>
      <c r="E134" s="9" t="s">
        <v>9</v>
      </c>
      <c r="F134" s="27">
        <v>297.5</v>
      </c>
      <c r="G134" s="10">
        <f t="shared" si="3"/>
        <v>595</v>
      </c>
      <c r="H134" s="33"/>
    </row>
    <row r="135" spans="1:8" x14ac:dyDescent="0.3">
      <c r="A135" s="9">
        <v>21</v>
      </c>
      <c r="B135" s="19" t="s">
        <v>442</v>
      </c>
      <c r="C135" s="19" t="s">
        <v>443</v>
      </c>
      <c r="D135" s="19">
        <v>2</v>
      </c>
      <c r="E135" s="9" t="s">
        <v>9</v>
      </c>
      <c r="F135" s="27">
        <v>309.39999999999998</v>
      </c>
      <c r="G135" s="10">
        <f t="shared" si="3"/>
        <v>618.79999999999995</v>
      </c>
      <c r="H135" s="33"/>
    </row>
    <row r="136" spans="1:8" x14ac:dyDescent="0.3">
      <c r="A136" s="9">
        <v>22</v>
      </c>
      <c r="B136" s="19" t="s">
        <v>444</v>
      </c>
      <c r="C136" s="19" t="s">
        <v>445</v>
      </c>
      <c r="D136" s="19">
        <v>8</v>
      </c>
      <c r="E136" s="9" t="s">
        <v>9</v>
      </c>
      <c r="F136" s="27">
        <v>19.159000000000002</v>
      </c>
      <c r="G136" s="10">
        <f t="shared" si="3"/>
        <v>153.27200000000002</v>
      </c>
      <c r="H136" s="33"/>
    </row>
    <row r="137" spans="1:8" x14ac:dyDescent="0.3">
      <c r="A137" s="9">
        <v>23</v>
      </c>
      <c r="B137" s="19" t="s">
        <v>446</v>
      </c>
      <c r="C137" s="19" t="s">
        <v>447</v>
      </c>
      <c r="D137" s="19">
        <v>16</v>
      </c>
      <c r="E137" s="9" t="s">
        <v>9</v>
      </c>
      <c r="F137" s="27">
        <v>16.183999999999997</v>
      </c>
      <c r="G137" s="10">
        <f t="shared" si="3"/>
        <v>258.94399999999996</v>
      </c>
      <c r="H137" s="33"/>
    </row>
    <row r="138" spans="1:8" x14ac:dyDescent="0.3">
      <c r="A138" s="9">
        <v>24</v>
      </c>
      <c r="B138" s="19"/>
      <c r="C138" s="19" t="s">
        <v>448</v>
      </c>
      <c r="D138" s="19">
        <v>16</v>
      </c>
      <c r="E138" s="9" t="s">
        <v>9</v>
      </c>
      <c r="F138" s="27">
        <v>40.340999999999994</v>
      </c>
      <c r="G138" s="10">
        <f t="shared" si="3"/>
        <v>645.4559999999999</v>
      </c>
      <c r="H138" s="33"/>
    </row>
    <row r="139" spans="1:8" x14ac:dyDescent="0.3">
      <c r="A139" s="9">
        <v>25</v>
      </c>
      <c r="B139" s="19"/>
      <c r="C139" s="19" t="s">
        <v>449</v>
      </c>
      <c r="D139" s="19">
        <v>8</v>
      </c>
      <c r="E139" s="9" t="s">
        <v>9</v>
      </c>
      <c r="F139" s="27">
        <v>145.89399999999998</v>
      </c>
      <c r="G139" s="10">
        <f t="shared" si="3"/>
        <v>1167.1519999999998</v>
      </c>
      <c r="H139" s="33"/>
    </row>
    <row r="140" spans="1:8" x14ac:dyDescent="0.3">
      <c r="A140" s="9">
        <v>26</v>
      </c>
      <c r="B140" s="19" t="s">
        <v>450</v>
      </c>
      <c r="C140" s="19" t="s">
        <v>451</v>
      </c>
      <c r="D140" s="19">
        <v>16</v>
      </c>
      <c r="E140" s="9" t="s">
        <v>9</v>
      </c>
      <c r="F140" s="27">
        <v>2.9749999999999996</v>
      </c>
      <c r="G140" s="10">
        <f t="shared" si="3"/>
        <v>47.599999999999994</v>
      </c>
      <c r="H140" s="33"/>
    </row>
    <row r="141" spans="1:8" x14ac:dyDescent="0.3">
      <c r="A141" s="9">
        <v>27</v>
      </c>
      <c r="B141" s="19" t="s">
        <v>452</v>
      </c>
      <c r="C141" s="19" t="s">
        <v>453</v>
      </c>
      <c r="D141" s="19">
        <v>2</v>
      </c>
      <c r="E141" s="9" t="s">
        <v>9</v>
      </c>
      <c r="F141" s="27">
        <v>659.26</v>
      </c>
      <c r="G141" s="10">
        <f t="shared" si="3"/>
        <v>1318.52</v>
      </c>
      <c r="H141" s="33"/>
    </row>
    <row r="142" spans="1:8" x14ac:dyDescent="0.3">
      <c r="A142" s="9">
        <v>28</v>
      </c>
      <c r="B142" s="19" t="s">
        <v>454</v>
      </c>
      <c r="C142" s="19" t="s">
        <v>455</v>
      </c>
      <c r="D142" s="19">
        <v>2</v>
      </c>
      <c r="E142" s="9" t="s">
        <v>9</v>
      </c>
      <c r="F142" s="27">
        <v>89.25</v>
      </c>
      <c r="G142" s="10">
        <f t="shared" si="3"/>
        <v>178.5</v>
      </c>
      <c r="H142" s="33"/>
    </row>
    <row r="143" spans="1:8" x14ac:dyDescent="0.3">
      <c r="A143" s="9">
        <v>29</v>
      </c>
      <c r="B143" s="19" t="s">
        <v>456</v>
      </c>
      <c r="C143" s="19" t="s">
        <v>457</v>
      </c>
      <c r="D143" s="19">
        <v>4</v>
      </c>
      <c r="E143" s="9" t="s">
        <v>9</v>
      </c>
      <c r="F143" s="27">
        <v>17.849999999999998</v>
      </c>
      <c r="G143" s="10">
        <f t="shared" si="3"/>
        <v>71.399999999999991</v>
      </c>
      <c r="H143" s="33"/>
    </row>
    <row r="144" spans="1:8" x14ac:dyDescent="0.3">
      <c r="A144" s="9">
        <v>30</v>
      </c>
      <c r="B144" s="19"/>
      <c r="C144" s="19" t="s">
        <v>458</v>
      </c>
      <c r="D144" s="19">
        <v>1</v>
      </c>
      <c r="E144" s="9" t="s">
        <v>9</v>
      </c>
      <c r="F144" s="27">
        <v>5364.5199999999995</v>
      </c>
      <c r="G144" s="10">
        <f t="shared" si="3"/>
        <v>5364.5199999999995</v>
      </c>
    </row>
    <row r="145" spans="1:7" ht="14.15" x14ac:dyDescent="0.35">
      <c r="A145" s="6"/>
      <c r="B145" s="6"/>
      <c r="C145" s="11" t="s">
        <v>0</v>
      </c>
      <c r="D145" s="20"/>
      <c r="E145" s="12"/>
      <c r="F145" s="12"/>
      <c r="G145" s="13">
        <f>SUM(G115:G144)</f>
        <v>235404.33699999994</v>
      </c>
    </row>
    <row r="147" spans="1:7" ht="15.45" x14ac:dyDescent="0.4">
      <c r="C147" s="3" t="s">
        <v>162</v>
      </c>
    </row>
    <row r="148" spans="1:7" x14ac:dyDescent="0.3">
      <c r="A148" s="7" t="s">
        <v>1</v>
      </c>
      <c r="B148" s="7" t="s">
        <v>2</v>
      </c>
      <c r="C148" s="7" t="s">
        <v>3</v>
      </c>
      <c r="D148" s="7"/>
      <c r="E148" s="8" t="s">
        <v>4</v>
      </c>
      <c r="F148" s="8"/>
      <c r="G148" s="8" t="s">
        <v>0</v>
      </c>
    </row>
    <row r="149" spans="1:7" x14ac:dyDescent="0.3">
      <c r="A149" s="9">
        <v>1</v>
      </c>
      <c r="B149" s="9"/>
      <c r="C149" s="9" t="s">
        <v>75</v>
      </c>
      <c r="D149" s="19">
        <v>4</v>
      </c>
      <c r="E149" s="9" t="s">
        <v>72</v>
      </c>
      <c r="F149" s="27">
        <v>558</v>
      </c>
      <c r="G149" s="10">
        <f t="shared" ref="G149:G162" si="4">D149*F149</f>
        <v>2232</v>
      </c>
    </row>
    <row r="150" spans="1:7" x14ac:dyDescent="0.3">
      <c r="A150" s="9">
        <v>2</v>
      </c>
      <c r="B150" s="9"/>
      <c r="C150" s="9" t="s">
        <v>76</v>
      </c>
      <c r="D150" s="19">
        <v>4</v>
      </c>
      <c r="E150" s="9" t="s">
        <v>72</v>
      </c>
      <c r="F150" s="27">
        <v>558</v>
      </c>
      <c r="G150" s="10">
        <f t="shared" si="4"/>
        <v>2232</v>
      </c>
    </row>
    <row r="151" spans="1:7" x14ac:dyDescent="0.3">
      <c r="A151" s="9">
        <v>3</v>
      </c>
      <c r="B151" s="9" t="s">
        <v>163</v>
      </c>
      <c r="C151" s="9" t="s">
        <v>164</v>
      </c>
      <c r="D151" s="19">
        <v>30</v>
      </c>
      <c r="E151" s="9" t="s">
        <v>9</v>
      </c>
      <c r="F151" s="27">
        <v>148.80000000000001</v>
      </c>
      <c r="G151" s="10">
        <f t="shared" si="4"/>
        <v>4464</v>
      </c>
    </row>
    <row r="152" spans="1:7" x14ac:dyDescent="0.3">
      <c r="A152" s="9">
        <v>4</v>
      </c>
      <c r="B152" s="9" t="s">
        <v>165</v>
      </c>
      <c r="C152" s="9" t="s">
        <v>166</v>
      </c>
      <c r="D152" s="19">
        <v>30</v>
      </c>
      <c r="E152" s="9" t="s">
        <v>9</v>
      </c>
      <c r="F152" s="27">
        <v>198.4</v>
      </c>
      <c r="G152" s="10">
        <f t="shared" si="4"/>
        <v>5952</v>
      </c>
    </row>
    <row r="153" spans="1:7" x14ac:dyDescent="0.3">
      <c r="A153" s="9">
        <v>5</v>
      </c>
      <c r="B153" s="9" t="s">
        <v>167</v>
      </c>
      <c r="C153" s="9" t="s">
        <v>168</v>
      </c>
      <c r="D153" s="19">
        <v>30</v>
      </c>
      <c r="E153" s="9" t="s">
        <v>9</v>
      </c>
      <c r="F153" s="27">
        <v>272.8</v>
      </c>
      <c r="G153" s="10">
        <f t="shared" si="4"/>
        <v>8184</v>
      </c>
    </row>
    <row r="154" spans="1:7" x14ac:dyDescent="0.3">
      <c r="A154" s="9">
        <v>6</v>
      </c>
      <c r="B154" s="9" t="s">
        <v>169</v>
      </c>
      <c r="C154" s="9" t="s">
        <v>170</v>
      </c>
      <c r="D154" s="19">
        <v>30</v>
      </c>
      <c r="E154" s="9" t="s">
        <v>9</v>
      </c>
      <c r="F154" s="27">
        <v>186</v>
      </c>
      <c r="G154" s="10">
        <f t="shared" si="4"/>
        <v>5580</v>
      </c>
    </row>
    <row r="155" spans="1:7" x14ac:dyDescent="0.3">
      <c r="A155" s="9">
        <v>7</v>
      </c>
      <c r="B155" s="9" t="s">
        <v>171</v>
      </c>
      <c r="C155" s="9" t="s">
        <v>172</v>
      </c>
      <c r="D155" s="19">
        <v>30</v>
      </c>
      <c r="E155" s="9" t="s">
        <v>9</v>
      </c>
      <c r="F155" s="27">
        <v>74.400000000000006</v>
      </c>
      <c r="G155" s="10">
        <f t="shared" si="4"/>
        <v>2232</v>
      </c>
    </row>
    <row r="156" spans="1:7" x14ac:dyDescent="0.3">
      <c r="A156" s="9">
        <v>8</v>
      </c>
      <c r="B156" s="9" t="s">
        <v>173</v>
      </c>
      <c r="C156" s="9" t="s">
        <v>174</v>
      </c>
      <c r="D156" s="19">
        <v>1</v>
      </c>
      <c r="E156" s="9" t="s">
        <v>9</v>
      </c>
      <c r="F156" s="27">
        <v>1066.4000000000001</v>
      </c>
      <c r="G156" s="10">
        <f t="shared" si="4"/>
        <v>1066.4000000000001</v>
      </c>
    </row>
    <row r="157" spans="1:7" x14ac:dyDescent="0.3">
      <c r="A157" s="9">
        <v>9</v>
      </c>
      <c r="B157" s="9" t="s">
        <v>175</v>
      </c>
      <c r="C157" s="9" t="s">
        <v>176</v>
      </c>
      <c r="D157" s="19">
        <v>1</v>
      </c>
      <c r="E157" s="9" t="s">
        <v>9</v>
      </c>
      <c r="F157" s="27">
        <v>8060</v>
      </c>
      <c r="G157" s="10">
        <f t="shared" si="4"/>
        <v>8060</v>
      </c>
    </row>
    <row r="158" spans="1:7" x14ac:dyDescent="0.3">
      <c r="A158" s="9">
        <v>10</v>
      </c>
      <c r="B158" s="9"/>
      <c r="C158" s="9" t="s">
        <v>177</v>
      </c>
      <c r="D158" s="19">
        <v>1</v>
      </c>
      <c r="E158" s="9" t="s">
        <v>74</v>
      </c>
      <c r="F158" s="27">
        <v>1178</v>
      </c>
      <c r="G158" s="10">
        <f t="shared" si="4"/>
        <v>1178</v>
      </c>
    </row>
    <row r="159" spans="1:7" x14ac:dyDescent="0.3">
      <c r="A159" s="9">
        <v>11</v>
      </c>
      <c r="B159" s="9"/>
      <c r="C159" s="9" t="s">
        <v>178</v>
      </c>
      <c r="D159" s="19">
        <v>1</v>
      </c>
      <c r="E159" s="9" t="s">
        <v>74</v>
      </c>
      <c r="F159" s="27">
        <v>2058.4</v>
      </c>
      <c r="G159" s="10">
        <f t="shared" si="4"/>
        <v>2058.4</v>
      </c>
    </row>
    <row r="160" spans="1:7" x14ac:dyDescent="0.3">
      <c r="A160" s="9">
        <v>12</v>
      </c>
      <c r="B160" s="9" t="s">
        <v>111</v>
      </c>
      <c r="C160" s="9" t="s">
        <v>122</v>
      </c>
      <c r="D160" s="19">
        <v>2</v>
      </c>
      <c r="E160" s="9" t="s">
        <v>9</v>
      </c>
      <c r="F160" s="27">
        <v>1054</v>
      </c>
      <c r="G160" s="10">
        <f t="shared" si="4"/>
        <v>2108</v>
      </c>
    </row>
    <row r="161" spans="1:7" x14ac:dyDescent="0.3">
      <c r="A161" s="9">
        <v>13</v>
      </c>
      <c r="B161" s="9" t="s">
        <v>179</v>
      </c>
      <c r="C161" s="9" t="s">
        <v>180</v>
      </c>
      <c r="D161" s="19">
        <v>2</v>
      </c>
      <c r="E161" s="9" t="s">
        <v>9</v>
      </c>
      <c r="F161" s="27">
        <v>558</v>
      </c>
      <c r="G161" s="10">
        <f t="shared" si="4"/>
        <v>1116</v>
      </c>
    </row>
    <row r="162" spans="1:7" x14ac:dyDescent="0.3">
      <c r="A162" s="9">
        <v>14</v>
      </c>
      <c r="B162" s="9" t="s">
        <v>181</v>
      </c>
      <c r="C162" s="9" t="s">
        <v>182</v>
      </c>
      <c r="D162" s="19">
        <v>2</v>
      </c>
      <c r="E162" s="9" t="s">
        <v>183</v>
      </c>
      <c r="F162" s="27">
        <v>1364</v>
      </c>
      <c r="G162" s="10">
        <f t="shared" si="4"/>
        <v>2728</v>
      </c>
    </row>
    <row r="163" spans="1:7" ht="14.15" x14ac:dyDescent="0.35">
      <c r="A163" s="6"/>
      <c r="B163" s="6"/>
      <c r="C163" s="11" t="s">
        <v>0</v>
      </c>
      <c r="D163" s="20"/>
      <c r="E163" s="12"/>
      <c r="F163" s="12"/>
      <c r="G163" s="13">
        <f>SUM(G149:G162)</f>
        <v>49190.8</v>
      </c>
    </row>
    <row r="165" spans="1:7" ht="15.45" x14ac:dyDescent="0.4">
      <c r="C165" s="3" t="s">
        <v>184</v>
      </c>
    </row>
    <row r="166" spans="1:7" x14ac:dyDescent="0.3">
      <c r="A166" s="7" t="s">
        <v>1</v>
      </c>
      <c r="B166" s="7" t="s">
        <v>2</v>
      </c>
      <c r="C166" s="7" t="s">
        <v>3</v>
      </c>
      <c r="D166" s="7"/>
      <c r="E166" s="8" t="s">
        <v>4</v>
      </c>
      <c r="F166" s="8"/>
      <c r="G166" s="8" t="s">
        <v>0</v>
      </c>
    </row>
    <row r="167" spans="1:7" x14ac:dyDescent="0.3">
      <c r="A167" s="9">
        <v>1</v>
      </c>
      <c r="B167" s="9" t="s">
        <v>341</v>
      </c>
      <c r="C167" s="9" t="s">
        <v>342</v>
      </c>
      <c r="D167" s="19">
        <v>17</v>
      </c>
      <c r="E167" s="9" t="s">
        <v>9</v>
      </c>
      <c r="F167" s="27">
        <v>4360.16</v>
      </c>
      <c r="G167" s="10">
        <f t="shared" ref="G167:G178" si="5">D167*F167</f>
        <v>74122.720000000001</v>
      </c>
    </row>
    <row r="168" spans="1:7" ht="23.15" x14ac:dyDescent="0.3">
      <c r="A168" s="9">
        <v>2</v>
      </c>
      <c r="B168" s="9" t="s">
        <v>376</v>
      </c>
      <c r="C168" s="14" t="s">
        <v>385</v>
      </c>
      <c r="D168" s="19">
        <v>12</v>
      </c>
      <c r="E168" s="9" t="s">
        <v>9</v>
      </c>
      <c r="F168" s="27">
        <v>5725.09</v>
      </c>
      <c r="G168" s="10">
        <f t="shared" si="5"/>
        <v>68701.08</v>
      </c>
    </row>
    <row r="169" spans="1:7" ht="23.15" x14ac:dyDescent="0.3">
      <c r="A169" s="9">
        <v>3</v>
      </c>
      <c r="B169" s="9" t="s">
        <v>377</v>
      </c>
      <c r="C169" s="14" t="s">
        <v>378</v>
      </c>
      <c r="D169" s="19">
        <v>1</v>
      </c>
      <c r="E169" s="9" t="s">
        <v>9</v>
      </c>
      <c r="F169" s="27">
        <v>9235.59</v>
      </c>
      <c r="G169" s="10">
        <f t="shared" si="5"/>
        <v>9235.59</v>
      </c>
    </row>
    <row r="170" spans="1:7" x14ac:dyDescent="0.3">
      <c r="A170" s="9">
        <v>4</v>
      </c>
      <c r="B170" s="9" t="s">
        <v>320</v>
      </c>
      <c r="C170" s="9" t="s">
        <v>321</v>
      </c>
      <c r="D170" s="19">
        <v>4</v>
      </c>
      <c r="E170" s="9" t="s">
        <v>9</v>
      </c>
      <c r="F170" s="27">
        <v>2998.7999999999997</v>
      </c>
      <c r="G170" s="10">
        <f t="shared" si="5"/>
        <v>11995.199999999999</v>
      </c>
    </row>
    <row r="171" spans="1:7" x14ac:dyDescent="0.3">
      <c r="A171" s="9">
        <v>5</v>
      </c>
      <c r="B171" s="9" t="s">
        <v>318</v>
      </c>
      <c r="C171" s="9" t="s">
        <v>319</v>
      </c>
      <c r="D171" s="19">
        <v>1</v>
      </c>
      <c r="E171" s="9" t="s">
        <v>9</v>
      </c>
      <c r="F171" s="27">
        <v>41104.979999999996</v>
      </c>
      <c r="G171" s="10">
        <f t="shared" si="5"/>
        <v>41104.979999999996</v>
      </c>
    </row>
    <row r="172" spans="1:7" x14ac:dyDescent="0.3">
      <c r="A172" s="9">
        <v>6</v>
      </c>
      <c r="B172" s="9" t="s">
        <v>185</v>
      </c>
      <c r="C172" s="9" t="s">
        <v>186</v>
      </c>
      <c r="D172" s="19">
        <v>1</v>
      </c>
      <c r="E172" s="9" t="s">
        <v>9</v>
      </c>
      <c r="F172" s="27">
        <v>4165</v>
      </c>
      <c r="G172" s="10">
        <f t="shared" si="5"/>
        <v>4165</v>
      </c>
    </row>
    <row r="173" spans="1:7" ht="23.15" x14ac:dyDescent="0.3">
      <c r="A173" s="9">
        <v>7</v>
      </c>
      <c r="B173" s="14" t="s">
        <v>471</v>
      </c>
      <c r="C173" s="14" t="s">
        <v>472</v>
      </c>
      <c r="D173" s="19">
        <v>2</v>
      </c>
      <c r="E173" s="9" t="s">
        <v>9</v>
      </c>
      <c r="F173" s="27">
        <v>11721.5</v>
      </c>
      <c r="G173" s="10">
        <f t="shared" si="5"/>
        <v>23443</v>
      </c>
    </row>
    <row r="174" spans="1:7" x14ac:dyDescent="0.3">
      <c r="A174" s="9">
        <v>8</v>
      </c>
      <c r="B174" s="9"/>
      <c r="C174" s="9" t="s">
        <v>187</v>
      </c>
      <c r="D174" s="19">
        <v>30</v>
      </c>
      <c r="E174" s="9" t="s">
        <v>9</v>
      </c>
      <c r="F174" s="27">
        <v>32.129999999999995</v>
      </c>
      <c r="G174" s="10">
        <f t="shared" si="5"/>
        <v>963.89999999999986</v>
      </c>
    </row>
    <row r="175" spans="1:7" x14ac:dyDescent="0.3">
      <c r="A175" s="9">
        <v>9</v>
      </c>
      <c r="B175" s="9"/>
      <c r="C175" s="9" t="s">
        <v>188</v>
      </c>
      <c r="D175" s="19">
        <v>30</v>
      </c>
      <c r="E175" s="9" t="s">
        <v>9</v>
      </c>
      <c r="F175" s="27">
        <v>19.04</v>
      </c>
      <c r="G175" s="10">
        <f t="shared" si="5"/>
        <v>571.19999999999993</v>
      </c>
    </row>
    <row r="176" spans="1:7" x14ac:dyDescent="0.3">
      <c r="A176" s="9">
        <v>10</v>
      </c>
      <c r="B176" s="9" t="s">
        <v>189</v>
      </c>
      <c r="C176" s="9" t="s">
        <v>190</v>
      </c>
      <c r="D176" s="19">
        <v>1</v>
      </c>
      <c r="E176" s="9" t="s">
        <v>9</v>
      </c>
      <c r="F176" s="27">
        <v>17627.469999999998</v>
      </c>
      <c r="G176" s="10">
        <f t="shared" si="5"/>
        <v>17627.469999999998</v>
      </c>
    </row>
    <row r="177" spans="1:7" ht="23.15" x14ac:dyDescent="0.3">
      <c r="A177" s="9">
        <v>11</v>
      </c>
      <c r="B177" s="14"/>
      <c r="C177" s="14" t="s">
        <v>473</v>
      </c>
      <c r="D177" s="19">
        <v>2</v>
      </c>
      <c r="E177" s="19" t="s">
        <v>9</v>
      </c>
      <c r="F177" s="27">
        <v>642.6</v>
      </c>
      <c r="G177" s="10">
        <f t="shared" si="5"/>
        <v>1285.2</v>
      </c>
    </row>
    <row r="178" spans="1:7" x14ac:dyDescent="0.3">
      <c r="A178" s="9">
        <v>12</v>
      </c>
      <c r="B178" s="19" t="s">
        <v>459</v>
      </c>
      <c r="C178" s="19" t="s">
        <v>460</v>
      </c>
      <c r="D178" s="19">
        <v>1</v>
      </c>
      <c r="E178" s="19" t="s">
        <v>9</v>
      </c>
      <c r="F178" s="27">
        <v>10055.5</v>
      </c>
      <c r="G178" s="10">
        <f t="shared" si="5"/>
        <v>10055.5</v>
      </c>
    </row>
    <row r="179" spans="1:7" ht="14.15" x14ac:dyDescent="0.35">
      <c r="A179" s="6"/>
      <c r="B179" s="6"/>
      <c r="C179" s="11" t="s">
        <v>0</v>
      </c>
      <c r="D179" s="20"/>
      <c r="E179" s="12"/>
      <c r="F179" s="12"/>
      <c r="G179" s="13">
        <f>SUM(G167:G178)</f>
        <v>263270.84000000003</v>
      </c>
    </row>
    <row r="181" spans="1:7" ht="15.45" x14ac:dyDescent="0.4">
      <c r="C181" s="3" t="s">
        <v>191</v>
      </c>
    </row>
    <row r="182" spans="1:7" x14ac:dyDescent="0.3">
      <c r="A182" s="7" t="s">
        <v>1</v>
      </c>
      <c r="B182" s="7" t="s">
        <v>2</v>
      </c>
      <c r="C182" s="7" t="s">
        <v>3</v>
      </c>
      <c r="D182" s="7"/>
      <c r="E182" s="8" t="s">
        <v>4</v>
      </c>
      <c r="F182" s="8"/>
      <c r="G182" s="8" t="s">
        <v>0</v>
      </c>
    </row>
    <row r="183" spans="1:7" x14ac:dyDescent="0.3">
      <c r="A183" s="9">
        <v>1</v>
      </c>
      <c r="B183" s="9" t="s">
        <v>192</v>
      </c>
      <c r="C183" s="9" t="s">
        <v>193</v>
      </c>
      <c r="D183" s="19">
        <v>1</v>
      </c>
      <c r="E183" s="9" t="s">
        <v>9</v>
      </c>
      <c r="F183" s="27">
        <v>3720</v>
      </c>
      <c r="G183" s="10">
        <f t="shared" ref="G183:G186" si="6">D183*F183</f>
        <v>3720</v>
      </c>
    </row>
    <row r="184" spans="1:7" x14ac:dyDescent="0.3">
      <c r="A184" s="9">
        <v>2</v>
      </c>
      <c r="B184" s="9" t="s">
        <v>194</v>
      </c>
      <c r="C184" s="9" t="s">
        <v>195</v>
      </c>
      <c r="D184" s="19">
        <v>2</v>
      </c>
      <c r="E184" s="9" t="s">
        <v>9</v>
      </c>
      <c r="F184" s="27">
        <v>74.400000000000006</v>
      </c>
      <c r="G184" s="10">
        <f t="shared" si="6"/>
        <v>148.80000000000001</v>
      </c>
    </row>
    <row r="185" spans="1:7" x14ac:dyDescent="0.3">
      <c r="A185" s="9">
        <v>3</v>
      </c>
      <c r="B185" s="9" t="s">
        <v>196</v>
      </c>
      <c r="C185" s="9" t="s">
        <v>197</v>
      </c>
      <c r="D185" s="19">
        <v>1</v>
      </c>
      <c r="E185" s="9" t="s">
        <v>9</v>
      </c>
      <c r="F185" s="27">
        <v>186</v>
      </c>
      <c r="G185" s="10">
        <f t="shared" si="6"/>
        <v>186</v>
      </c>
    </row>
    <row r="186" spans="1:7" x14ac:dyDescent="0.3">
      <c r="A186" s="9">
        <v>4</v>
      </c>
      <c r="B186" s="9" t="s">
        <v>198</v>
      </c>
      <c r="C186" s="9" t="s">
        <v>199</v>
      </c>
      <c r="D186" s="19">
        <v>1</v>
      </c>
      <c r="E186" s="9" t="s">
        <v>9</v>
      </c>
      <c r="F186" s="27">
        <v>99.2</v>
      </c>
      <c r="G186" s="10">
        <f t="shared" si="6"/>
        <v>99.2</v>
      </c>
    </row>
    <row r="187" spans="1:7" x14ac:dyDescent="0.3">
      <c r="A187" s="9">
        <v>5</v>
      </c>
      <c r="B187" s="9"/>
      <c r="C187" s="9" t="s">
        <v>200</v>
      </c>
      <c r="D187" s="19">
        <v>1</v>
      </c>
      <c r="E187" s="9" t="s">
        <v>9</v>
      </c>
      <c r="F187" s="27">
        <v>74.400000000000006</v>
      </c>
      <c r="G187" s="10">
        <f t="shared" ref="G187:G240" si="7">D187*F187</f>
        <v>74.400000000000006</v>
      </c>
    </row>
    <row r="188" spans="1:7" x14ac:dyDescent="0.3">
      <c r="A188" s="9">
        <v>6</v>
      </c>
      <c r="B188" s="9" t="s">
        <v>201</v>
      </c>
      <c r="C188" s="9" t="s">
        <v>202</v>
      </c>
      <c r="D188" s="19">
        <v>1</v>
      </c>
      <c r="E188" s="9" t="s">
        <v>9</v>
      </c>
      <c r="F188" s="27">
        <v>5952</v>
      </c>
      <c r="G188" s="10">
        <f t="shared" si="7"/>
        <v>5952</v>
      </c>
    </row>
    <row r="189" spans="1:7" x14ac:dyDescent="0.3">
      <c r="A189" s="9">
        <v>7</v>
      </c>
      <c r="B189" s="9" t="s">
        <v>203</v>
      </c>
      <c r="C189" s="9" t="s">
        <v>381</v>
      </c>
      <c r="D189" s="19">
        <v>1</v>
      </c>
      <c r="E189" s="9" t="s">
        <v>9</v>
      </c>
      <c r="F189" s="27">
        <v>3472</v>
      </c>
      <c r="G189" s="10">
        <f t="shared" si="7"/>
        <v>3472</v>
      </c>
    </row>
    <row r="190" spans="1:7" x14ac:dyDescent="0.3">
      <c r="A190" s="9">
        <v>8</v>
      </c>
      <c r="B190" s="9"/>
      <c r="C190" s="9" t="s">
        <v>204</v>
      </c>
      <c r="D190" s="19">
        <v>2</v>
      </c>
      <c r="E190" s="9" t="s">
        <v>9</v>
      </c>
      <c r="F190" s="27">
        <v>520.79999999999995</v>
      </c>
      <c r="G190" s="10">
        <f t="shared" si="7"/>
        <v>1041.5999999999999</v>
      </c>
    </row>
    <row r="191" spans="1:7" x14ac:dyDescent="0.3">
      <c r="A191" s="9">
        <v>9</v>
      </c>
      <c r="B191" s="9" t="s">
        <v>205</v>
      </c>
      <c r="C191" s="9" t="s">
        <v>206</v>
      </c>
      <c r="D191" s="19">
        <v>5</v>
      </c>
      <c r="E191" s="9" t="s">
        <v>9</v>
      </c>
      <c r="F191" s="27">
        <v>570.4</v>
      </c>
      <c r="G191" s="10">
        <f t="shared" si="7"/>
        <v>2852</v>
      </c>
    </row>
    <row r="192" spans="1:7" x14ac:dyDescent="0.3">
      <c r="A192" s="9">
        <v>10</v>
      </c>
      <c r="B192" s="9" t="s">
        <v>207</v>
      </c>
      <c r="C192" s="9" t="s">
        <v>208</v>
      </c>
      <c r="D192" s="19">
        <v>6</v>
      </c>
      <c r="E192" s="9" t="s">
        <v>9</v>
      </c>
      <c r="F192" s="27">
        <v>372</v>
      </c>
      <c r="G192" s="10">
        <f t="shared" si="7"/>
        <v>2232</v>
      </c>
    </row>
    <row r="193" spans="1:7" x14ac:dyDescent="0.3">
      <c r="A193" s="9">
        <v>11</v>
      </c>
      <c r="B193" s="9" t="s">
        <v>198</v>
      </c>
      <c r="C193" s="9" t="s">
        <v>209</v>
      </c>
      <c r="D193" s="19">
        <v>10</v>
      </c>
      <c r="E193" s="9" t="s">
        <v>9</v>
      </c>
      <c r="F193" s="27">
        <v>99.2</v>
      </c>
      <c r="G193" s="10">
        <f t="shared" si="7"/>
        <v>992</v>
      </c>
    </row>
    <row r="194" spans="1:7" x14ac:dyDescent="0.3">
      <c r="A194" s="9">
        <v>12</v>
      </c>
      <c r="B194" s="9"/>
      <c r="C194" s="9" t="s">
        <v>210</v>
      </c>
      <c r="D194" s="19">
        <v>10</v>
      </c>
      <c r="E194" s="9" t="s">
        <v>9</v>
      </c>
      <c r="F194" s="27">
        <v>74.400000000000006</v>
      </c>
      <c r="G194" s="10">
        <f t="shared" si="7"/>
        <v>744</v>
      </c>
    </row>
    <row r="195" spans="1:7" x14ac:dyDescent="0.3">
      <c r="A195" s="9">
        <v>13</v>
      </c>
      <c r="B195" s="9"/>
      <c r="C195" s="9" t="s">
        <v>211</v>
      </c>
      <c r="D195" s="19">
        <v>7</v>
      </c>
      <c r="E195" s="9" t="s">
        <v>9</v>
      </c>
      <c r="F195" s="27">
        <v>186</v>
      </c>
      <c r="G195" s="10">
        <f t="shared" si="7"/>
        <v>1302</v>
      </c>
    </row>
    <row r="196" spans="1:7" x14ac:dyDescent="0.3">
      <c r="A196" s="9">
        <v>14</v>
      </c>
      <c r="B196" s="9" t="s">
        <v>212</v>
      </c>
      <c r="C196" s="9" t="s">
        <v>213</v>
      </c>
      <c r="D196" s="19">
        <v>10</v>
      </c>
      <c r="E196" s="9" t="s">
        <v>9</v>
      </c>
      <c r="F196" s="27">
        <v>186</v>
      </c>
      <c r="G196" s="10">
        <f t="shared" si="7"/>
        <v>1860</v>
      </c>
    </row>
    <row r="197" spans="1:7" x14ac:dyDescent="0.3">
      <c r="A197" s="9">
        <v>15</v>
      </c>
      <c r="B197" s="9"/>
      <c r="C197" s="9" t="s">
        <v>214</v>
      </c>
      <c r="D197" s="19">
        <v>7</v>
      </c>
      <c r="E197" s="9" t="s">
        <v>9</v>
      </c>
      <c r="F197" s="27">
        <v>248</v>
      </c>
      <c r="G197" s="10">
        <f t="shared" si="7"/>
        <v>1736</v>
      </c>
    </row>
    <row r="198" spans="1:7" x14ac:dyDescent="0.3">
      <c r="A198" s="9">
        <v>16</v>
      </c>
      <c r="B198" s="9" t="s">
        <v>215</v>
      </c>
      <c r="C198" s="9" t="s">
        <v>216</v>
      </c>
      <c r="D198" s="19">
        <v>10</v>
      </c>
      <c r="E198" s="9" t="s">
        <v>9</v>
      </c>
      <c r="F198" s="27">
        <v>74.400000000000006</v>
      </c>
      <c r="G198" s="10">
        <f t="shared" si="7"/>
        <v>744</v>
      </c>
    </row>
    <row r="199" spans="1:7" x14ac:dyDescent="0.3">
      <c r="A199" s="9">
        <v>17</v>
      </c>
      <c r="B199" s="9" t="s">
        <v>217</v>
      </c>
      <c r="C199" s="9" t="s">
        <v>332</v>
      </c>
      <c r="D199" s="19">
        <v>12</v>
      </c>
      <c r="E199" s="9" t="s">
        <v>9</v>
      </c>
      <c r="F199" s="27">
        <v>248</v>
      </c>
      <c r="G199" s="10">
        <f t="shared" si="7"/>
        <v>2976</v>
      </c>
    </row>
    <row r="200" spans="1:7" x14ac:dyDescent="0.3">
      <c r="A200" s="9">
        <v>18</v>
      </c>
      <c r="B200" s="9"/>
      <c r="C200" s="9" t="s">
        <v>218</v>
      </c>
      <c r="D200" s="19">
        <v>12</v>
      </c>
      <c r="E200" s="9" t="s">
        <v>72</v>
      </c>
      <c r="F200" s="27">
        <v>558</v>
      </c>
      <c r="G200" s="10">
        <f t="shared" si="7"/>
        <v>6696</v>
      </c>
    </row>
    <row r="201" spans="1:7" x14ac:dyDescent="0.3">
      <c r="A201" s="9">
        <v>19</v>
      </c>
      <c r="B201" s="9"/>
      <c r="C201" s="9" t="s">
        <v>219</v>
      </c>
      <c r="D201" s="19">
        <v>12</v>
      </c>
      <c r="E201" s="9" t="s">
        <v>13</v>
      </c>
      <c r="F201" s="27">
        <v>31</v>
      </c>
      <c r="G201" s="10">
        <f t="shared" si="7"/>
        <v>372</v>
      </c>
    </row>
    <row r="202" spans="1:7" x14ac:dyDescent="0.3">
      <c r="A202" s="9">
        <v>20</v>
      </c>
      <c r="B202" s="9"/>
      <c r="C202" s="9" t="s">
        <v>220</v>
      </c>
      <c r="D202" s="19">
        <v>11</v>
      </c>
      <c r="E202" s="9" t="s">
        <v>9</v>
      </c>
      <c r="F202" s="27">
        <v>570.4</v>
      </c>
      <c r="G202" s="10">
        <f t="shared" si="7"/>
        <v>6274.4</v>
      </c>
    </row>
    <row r="203" spans="1:7" x14ac:dyDescent="0.3">
      <c r="A203" s="9">
        <v>21</v>
      </c>
      <c r="B203" s="9"/>
      <c r="C203" s="9" t="s">
        <v>329</v>
      </c>
      <c r="D203" s="19">
        <v>22</v>
      </c>
      <c r="E203" s="9" t="s">
        <v>9</v>
      </c>
      <c r="F203" s="27">
        <v>620</v>
      </c>
      <c r="G203" s="10">
        <f t="shared" si="7"/>
        <v>13640</v>
      </c>
    </row>
    <row r="204" spans="1:7" x14ac:dyDescent="0.3">
      <c r="A204" s="9">
        <v>22</v>
      </c>
      <c r="B204" s="9"/>
      <c r="C204" s="9" t="s">
        <v>221</v>
      </c>
      <c r="D204" s="19">
        <v>1</v>
      </c>
      <c r="E204" s="9" t="s">
        <v>9</v>
      </c>
      <c r="F204" s="27">
        <v>434</v>
      </c>
      <c r="G204" s="10">
        <f t="shared" si="7"/>
        <v>434</v>
      </c>
    </row>
    <row r="205" spans="1:7" x14ac:dyDescent="0.3">
      <c r="A205" s="9">
        <v>23</v>
      </c>
      <c r="B205" s="9"/>
      <c r="C205" s="9" t="s">
        <v>222</v>
      </c>
      <c r="D205" s="19">
        <v>1</v>
      </c>
      <c r="E205" s="9" t="s">
        <v>74</v>
      </c>
      <c r="F205" s="27">
        <v>744</v>
      </c>
      <c r="G205" s="10">
        <f t="shared" si="7"/>
        <v>744</v>
      </c>
    </row>
    <row r="206" spans="1:7" x14ac:dyDescent="0.3">
      <c r="A206" s="9">
        <v>24</v>
      </c>
      <c r="B206" s="9" t="s">
        <v>223</v>
      </c>
      <c r="C206" s="9" t="s">
        <v>224</v>
      </c>
      <c r="D206" s="19">
        <v>47</v>
      </c>
      <c r="E206" s="9" t="s">
        <v>9</v>
      </c>
      <c r="F206" s="27">
        <v>124</v>
      </c>
      <c r="G206" s="10">
        <f t="shared" si="7"/>
        <v>5828</v>
      </c>
    </row>
    <row r="207" spans="1:7" x14ac:dyDescent="0.3">
      <c r="A207" s="9">
        <v>25</v>
      </c>
      <c r="B207" s="9" t="s">
        <v>225</v>
      </c>
      <c r="C207" s="9" t="s">
        <v>226</v>
      </c>
      <c r="D207" s="19">
        <v>47</v>
      </c>
      <c r="E207" s="9" t="s">
        <v>9</v>
      </c>
      <c r="F207" s="27">
        <v>74.400000000000006</v>
      </c>
      <c r="G207" s="10">
        <f t="shared" si="7"/>
        <v>3496.8</v>
      </c>
    </row>
    <row r="208" spans="1:7" x14ac:dyDescent="0.3">
      <c r="A208" s="9">
        <v>26</v>
      </c>
      <c r="B208" s="9" t="s">
        <v>227</v>
      </c>
      <c r="C208" s="9" t="s">
        <v>228</v>
      </c>
      <c r="D208" s="19">
        <v>47</v>
      </c>
      <c r="E208" s="9" t="s">
        <v>9</v>
      </c>
      <c r="F208" s="27">
        <v>53.32</v>
      </c>
      <c r="G208" s="10">
        <f t="shared" si="7"/>
        <v>2506.04</v>
      </c>
    </row>
    <row r="209" spans="1:7" x14ac:dyDescent="0.3">
      <c r="A209" s="9">
        <v>27</v>
      </c>
      <c r="B209" s="9" t="s">
        <v>229</v>
      </c>
      <c r="C209" s="9" t="s">
        <v>230</v>
      </c>
      <c r="D209" s="19">
        <v>47</v>
      </c>
      <c r="E209" s="9" t="s">
        <v>9</v>
      </c>
      <c r="F209" s="27">
        <v>24.8</v>
      </c>
      <c r="G209" s="10">
        <f t="shared" si="7"/>
        <v>1165.6000000000001</v>
      </c>
    </row>
    <row r="210" spans="1:7" x14ac:dyDescent="0.3">
      <c r="A210" s="9">
        <v>28</v>
      </c>
      <c r="B210" s="9" t="s">
        <v>231</v>
      </c>
      <c r="C210" s="9" t="s">
        <v>232</v>
      </c>
      <c r="D210" s="19">
        <v>4</v>
      </c>
      <c r="E210" s="9" t="s">
        <v>9</v>
      </c>
      <c r="F210" s="27">
        <v>186</v>
      </c>
      <c r="G210" s="10">
        <f t="shared" si="7"/>
        <v>744</v>
      </c>
    </row>
    <row r="211" spans="1:7" x14ac:dyDescent="0.3">
      <c r="A211" s="9">
        <v>29</v>
      </c>
      <c r="B211" s="9"/>
      <c r="C211" s="9" t="s">
        <v>233</v>
      </c>
      <c r="D211" s="19">
        <v>2</v>
      </c>
      <c r="E211" s="9" t="s">
        <v>9</v>
      </c>
      <c r="F211" s="27">
        <v>310</v>
      </c>
      <c r="G211" s="10">
        <f t="shared" si="7"/>
        <v>620</v>
      </c>
    </row>
    <row r="212" spans="1:7" x14ac:dyDescent="0.3">
      <c r="A212" s="9">
        <v>30</v>
      </c>
      <c r="B212" s="9"/>
      <c r="C212" s="9" t="s">
        <v>234</v>
      </c>
      <c r="D212" s="19">
        <v>2</v>
      </c>
      <c r="E212" s="9" t="s">
        <v>9</v>
      </c>
      <c r="F212" s="27">
        <v>186</v>
      </c>
      <c r="G212" s="10">
        <f t="shared" si="7"/>
        <v>372</v>
      </c>
    </row>
    <row r="213" spans="1:7" x14ac:dyDescent="0.3">
      <c r="A213" s="9">
        <v>31</v>
      </c>
      <c r="B213" s="9" t="s">
        <v>119</v>
      </c>
      <c r="C213" s="9" t="s">
        <v>120</v>
      </c>
      <c r="D213" s="19">
        <v>285</v>
      </c>
      <c r="E213" s="9" t="s">
        <v>121</v>
      </c>
      <c r="F213" s="27">
        <v>49.6</v>
      </c>
      <c r="G213" s="10">
        <f t="shared" si="7"/>
        <v>14136</v>
      </c>
    </row>
    <row r="214" spans="1:7" x14ac:dyDescent="0.3">
      <c r="A214" s="9">
        <v>32</v>
      </c>
      <c r="B214" s="9" t="s">
        <v>235</v>
      </c>
      <c r="C214" s="9" t="s">
        <v>236</v>
      </c>
      <c r="D214" s="19">
        <v>53</v>
      </c>
      <c r="E214" s="9" t="s">
        <v>9</v>
      </c>
      <c r="F214" s="27">
        <v>65.72</v>
      </c>
      <c r="G214" s="10">
        <f t="shared" si="7"/>
        <v>3483.16</v>
      </c>
    </row>
    <row r="215" spans="1:7" x14ac:dyDescent="0.3">
      <c r="A215" s="9">
        <v>33</v>
      </c>
      <c r="B215" s="9" t="s">
        <v>237</v>
      </c>
      <c r="C215" s="9" t="s">
        <v>238</v>
      </c>
      <c r="D215" s="19">
        <v>4</v>
      </c>
      <c r="E215" s="9" t="s">
        <v>9</v>
      </c>
      <c r="F215" s="27">
        <v>59.519999999999996</v>
      </c>
      <c r="G215" s="10">
        <f t="shared" si="7"/>
        <v>238.07999999999998</v>
      </c>
    </row>
    <row r="216" spans="1:7" x14ac:dyDescent="0.3">
      <c r="A216" s="9">
        <v>34</v>
      </c>
      <c r="B216" s="9" t="s">
        <v>239</v>
      </c>
      <c r="C216" s="9" t="s">
        <v>240</v>
      </c>
      <c r="D216" s="19">
        <v>54</v>
      </c>
      <c r="E216" s="9" t="s">
        <v>9</v>
      </c>
      <c r="F216" s="27">
        <v>55.8</v>
      </c>
      <c r="G216" s="10">
        <f t="shared" si="7"/>
        <v>3013.2</v>
      </c>
    </row>
    <row r="217" spans="1:7" x14ac:dyDescent="0.3">
      <c r="A217" s="9">
        <v>35</v>
      </c>
      <c r="B217" s="9" t="s">
        <v>112</v>
      </c>
      <c r="C217" s="9" t="s">
        <v>241</v>
      </c>
      <c r="D217" s="19">
        <v>2</v>
      </c>
      <c r="E217" s="9" t="s">
        <v>9</v>
      </c>
      <c r="F217" s="27">
        <v>74.400000000000006</v>
      </c>
      <c r="G217" s="10">
        <f t="shared" si="7"/>
        <v>148.80000000000001</v>
      </c>
    </row>
    <row r="218" spans="1:7" x14ac:dyDescent="0.3">
      <c r="A218" s="9">
        <v>36</v>
      </c>
      <c r="B218" s="9" t="s">
        <v>113</v>
      </c>
      <c r="C218" s="9" t="s">
        <v>242</v>
      </c>
      <c r="D218" s="19">
        <v>22</v>
      </c>
      <c r="E218" s="9" t="s">
        <v>9</v>
      </c>
      <c r="F218" s="27">
        <v>18.600000000000001</v>
      </c>
      <c r="G218" s="10">
        <f t="shared" si="7"/>
        <v>409.20000000000005</v>
      </c>
    </row>
    <row r="219" spans="1:7" x14ac:dyDescent="0.3">
      <c r="A219" s="9">
        <v>37</v>
      </c>
      <c r="B219" s="9" t="s">
        <v>114</v>
      </c>
      <c r="C219" s="9" t="s">
        <v>243</v>
      </c>
      <c r="D219" s="19">
        <v>4</v>
      </c>
      <c r="E219" s="9" t="s">
        <v>9</v>
      </c>
      <c r="F219" s="27">
        <v>60.76</v>
      </c>
      <c r="G219" s="10">
        <f t="shared" si="7"/>
        <v>243.04</v>
      </c>
    </row>
    <row r="220" spans="1:7" x14ac:dyDescent="0.3">
      <c r="A220" s="9">
        <v>38</v>
      </c>
      <c r="B220" s="9"/>
      <c r="C220" s="9" t="s">
        <v>244</v>
      </c>
      <c r="D220" s="19">
        <v>54</v>
      </c>
      <c r="E220" s="9" t="s">
        <v>9</v>
      </c>
      <c r="F220" s="27">
        <v>186</v>
      </c>
      <c r="G220" s="10">
        <f t="shared" si="7"/>
        <v>10044</v>
      </c>
    </row>
    <row r="221" spans="1:7" x14ac:dyDescent="0.3">
      <c r="A221" s="9">
        <v>39</v>
      </c>
      <c r="B221" s="9"/>
      <c r="C221" s="9" t="s">
        <v>245</v>
      </c>
      <c r="D221" s="19">
        <v>62</v>
      </c>
      <c r="E221" s="9" t="s">
        <v>9</v>
      </c>
      <c r="F221" s="27">
        <v>74.400000000000006</v>
      </c>
      <c r="G221" s="10">
        <f t="shared" si="7"/>
        <v>4612.8</v>
      </c>
    </row>
    <row r="222" spans="1:7" x14ac:dyDescent="0.3">
      <c r="A222" s="9">
        <v>40</v>
      </c>
      <c r="B222" s="9" t="s">
        <v>246</v>
      </c>
      <c r="C222" s="9" t="s">
        <v>247</v>
      </c>
      <c r="D222" s="19">
        <v>2343</v>
      </c>
      <c r="E222" s="9" t="s">
        <v>13</v>
      </c>
      <c r="F222" s="27">
        <v>14.879999999999999</v>
      </c>
      <c r="G222" s="10">
        <f t="shared" si="7"/>
        <v>34863.839999999997</v>
      </c>
    </row>
    <row r="223" spans="1:7" x14ac:dyDescent="0.3">
      <c r="A223" s="9">
        <v>41</v>
      </c>
      <c r="B223" s="9" t="s">
        <v>109</v>
      </c>
      <c r="C223" s="9" t="s">
        <v>248</v>
      </c>
      <c r="D223" s="19">
        <v>224</v>
      </c>
      <c r="E223" s="9" t="s">
        <v>13</v>
      </c>
      <c r="F223" s="27">
        <v>14.879999999999999</v>
      </c>
      <c r="G223" s="10">
        <f t="shared" si="7"/>
        <v>3333.12</v>
      </c>
    </row>
    <row r="224" spans="1:7" x14ac:dyDescent="0.3">
      <c r="A224" s="9">
        <v>42</v>
      </c>
      <c r="B224" s="9" t="s">
        <v>249</v>
      </c>
      <c r="C224" s="9" t="s">
        <v>250</v>
      </c>
      <c r="D224" s="19">
        <v>224</v>
      </c>
      <c r="E224" s="9" t="s">
        <v>13</v>
      </c>
      <c r="F224" s="27">
        <v>17.36</v>
      </c>
      <c r="G224" s="10">
        <f t="shared" si="7"/>
        <v>3888.64</v>
      </c>
    </row>
    <row r="225" spans="1:7" x14ac:dyDescent="0.3">
      <c r="A225" s="9">
        <v>43</v>
      </c>
      <c r="B225" s="9" t="s">
        <v>251</v>
      </c>
      <c r="C225" s="9" t="s">
        <v>252</v>
      </c>
      <c r="D225" s="19">
        <v>28</v>
      </c>
      <c r="E225" s="9" t="s">
        <v>9</v>
      </c>
      <c r="F225" s="27">
        <v>101.67999999999999</v>
      </c>
      <c r="G225" s="10">
        <f t="shared" si="7"/>
        <v>2847.04</v>
      </c>
    </row>
    <row r="226" spans="1:7" x14ac:dyDescent="0.3">
      <c r="A226" s="9">
        <v>44</v>
      </c>
      <c r="B226" s="9" t="s">
        <v>253</v>
      </c>
      <c r="C226" s="9" t="s">
        <v>254</v>
      </c>
      <c r="D226" s="19">
        <v>102</v>
      </c>
      <c r="E226" s="9" t="s">
        <v>9</v>
      </c>
      <c r="F226" s="27">
        <v>94.24</v>
      </c>
      <c r="G226" s="10">
        <f t="shared" si="7"/>
        <v>9612.48</v>
      </c>
    </row>
    <row r="227" spans="1:7" x14ac:dyDescent="0.3">
      <c r="A227" s="9">
        <v>45</v>
      </c>
      <c r="B227" s="9" t="s">
        <v>110</v>
      </c>
      <c r="C227" s="9" t="s">
        <v>255</v>
      </c>
      <c r="D227" s="19">
        <v>32</v>
      </c>
      <c r="E227" s="9" t="s">
        <v>9</v>
      </c>
      <c r="F227" s="27">
        <v>64.48</v>
      </c>
      <c r="G227" s="10">
        <f t="shared" si="7"/>
        <v>2063.36</v>
      </c>
    </row>
    <row r="228" spans="1:7" x14ac:dyDescent="0.3">
      <c r="A228" s="9">
        <v>46</v>
      </c>
      <c r="B228" s="9" t="s">
        <v>256</v>
      </c>
      <c r="C228" s="9" t="s">
        <v>330</v>
      </c>
      <c r="D228" s="19">
        <v>2832</v>
      </c>
      <c r="E228" s="9" t="s">
        <v>13</v>
      </c>
      <c r="F228" s="27">
        <v>17.36</v>
      </c>
      <c r="G228" s="10">
        <f t="shared" si="7"/>
        <v>49163.519999999997</v>
      </c>
    </row>
    <row r="229" spans="1:7" x14ac:dyDescent="0.3">
      <c r="A229" s="9">
        <v>47</v>
      </c>
      <c r="B229" s="9" t="s">
        <v>257</v>
      </c>
      <c r="C229" s="9" t="s">
        <v>258</v>
      </c>
      <c r="D229" s="19">
        <v>36</v>
      </c>
      <c r="E229" s="9" t="s">
        <v>9</v>
      </c>
      <c r="F229" s="27">
        <v>80.599999999999994</v>
      </c>
      <c r="G229" s="10">
        <f t="shared" si="7"/>
        <v>2901.6</v>
      </c>
    </row>
    <row r="230" spans="1:7" x14ac:dyDescent="0.3">
      <c r="A230" s="9">
        <v>48</v>
      </c>
      <c r="B230" s="9"/>
      <c r="C230" s="9" t="s">
        <v>75</v>
      </c>
      <c r="D230" s="19">
        <v>12</v>
      </c>
      <c r="E230" s="9" t="s">
        <v>72</v>
      </c>
      <c r="F230" s="27">
        <v>558</v>
      </c>
      <c r="G230" s="10">
        <f t="shared" si="7"/>
        <v>6696</v>
      </c>
    </row>
    <row r="231" spans="1:7" x14ac:dyDescent="0.3">
      <c r="A231" s="9">
        <v>49</v>
      </c>
      <c r="B231" s="9"/>
      <c r="C231" s="9" t="s">
        <v>76</v>
      </c>
      <c r="D231" s="19">
        <v>12</v>
      </c>
      <c r="E231" s="9" t="s">
        <v>72</v>
      </c>
      <c r="F231" s="27">
        <v>558</v>
      </c>
      <c r="G231" s="10">
        <f t="shared" si="7"/>
        <v>6696</v>
      </c>
    </row>
    <row r="232" spans="1:7" x14ac:dyDescent="0.3">
      <c r="A232" s="9">
        <v>50</v>
      </c>
      <c r="B232" s="9"/>
      <c r="C232" s="9" t="s">
        <v>259</v>
      </c>
      <c r="D232" s="19">
        <v>8</v>
      </c>
      <c r="E232" s="9" t="s">
        <v>72</v>
      </c>
      <c r="F232" s="27">
        <v>558</v>
      </c>
      <c r="G232" s="10">
        <f t="shared" si="7"/>
        <v>4464</v>
      </c>
    </row>
    <row r="233" spans="1:7" x14ac:dyDescent="0.3">
      <c r="A233" s="9">
        <v>51</v>
      </c>
      <c r="B233" s="9"/>
      <c r="C233" s="9" t="s">
        <v>260</v>
      </c>
      <c r="D233" s="19">
        <v>7</v>
      </c>
      <c r="E233" s="9" t="s">
        <v>261</v>
      </c>
      <c r="F233" s="27">
        <v>1860</v>
      </c>
      <c r="G233" s="10">
        <f t="shared" si="7"/>
        <v>13020</v>
      </c>
    </row>
    <row r="234" spans="1:7" x14ac:dyDescent="0.3">
      <c r="A234" s="9">
        <v>52</v>
      </c>
      <c r="B234" s="9"/>
      <c r="C234" s="9" t="s">
        <v>262</v>
      </c>
      <c r="D234" s="19">
        <v>8</v>
      </c>
      <c r="E234" s="9" t="s">
        <v>72</v>
      </c>
      <c r="F234" s="27">
        <v>1054</v>
      </c>
      <c r="G234" s="10">
        <f t="shared" si="7"/>
        <v>8432</v>
      </c>
    </row>
    <row r="235" spans="1:7" x14ac:dyDescent="0.3">
      <c r="A235" s="9">
        <v>53</v>
      </c>
      <c r="B235" s="9" t="s">
        <v>215</v>
      </c>
      <c r="C235" s="9" t="s">
        <v>263</v>
      </c>
      <c r="D235" s="19">
        <v>1</v>
      </c>
      <c r="E235" s="9" t="s">
        <v>9</v>
      </c>
      <c r="F235" s="27">
        <v>434</v>
      </c>
      <c r="G235" s="10">
        <f t="shared" si="7"/>
        <v>434</v>
      </c>
    </row>
    <row r="236" spans="1:7" x14ac:dyDescent="0.3">
      <c r="A236" s="9">
        <v>54</v>
      </c>
      <c r="B236" s="9" t="s">
        <v>264</v>
      </c>
      <c r="C236" s="9" t="s">
        <v>265</v>
      </c>
      <c r="D236" s="19">
        <v>2</v>
      </c>
      <c r="E236" s="9" t="s">
        <v>9</v>
      </c>
      <c r="F236" s="27">
        <v>372</v>
      </c>
      <c r="G236" s="10">
        <f t="shared" si="7"/>
        <v>744</v>
      </c>
    </row>
    <row r="237" spans="1:7" x14ac:dyDescent="0.3">
      <c r="A237" s="9">
        <v>55</v>
      </c>
      <c r="B237" s="9" t="s">
        <v>266</v>
      </c>
      <c r="C237" s="9" t="s">
        <v>267</v>
      </c>
      <c r="D237" s="19">
        <v>2</v>
      </c>
      <c r="E237" s="9" t="s">
        <v>9</v>
      </c>
      <c r="F237" s="27">
        <v>272.8</v>
      </c>
      <c r="G237" s="10">
        <f t="shared" si="7"/>
        <v>545.6</v>
      </c>
    </row>
    <row r="238" spans="1:7" x14ac:dyDescent="0.3">
      <c r="A238" s="9">
        <v>56</v>
      </c>
      <c r="B238" s="9" t="s">
        <v>268</v>
      </c>
      <c r="C238" s="9" t="s">
        <v>331</v>
      </c>
      <c r="D238" s="19">
        <v>1416</v>
      </c>
      <c r="E238" s="9" t="s">
        <v>13</v>
      </c>
      <c r="F238" s="27">
        <v>31</v>
      </c>
      <c r="G238" s="10">
        <f t="shared" si="7"/>
        <v>43896</v>
      </c>
    </row>
    <row r="239" spans="1:7" x14ac:dyDescent="0.3">
      <c r="A239" s="9">
        <v>57</v>
      </c>
      <c r="B239" s="9" t="s">
        <v>115</v>
      </c>
      <c r="C239" s="9" t="s">
        <v>116</v>
      </c>
      <c r="D239" s="19">
        <v>28</v>
      </c>
      <c r="E239" s="9" t="s">
        <v>9</v>
      </c>
      <c r="F239" s="27">
        <v>24.8</v>
      </c>
      <c r="G239" s="10">
        <f t="shared" si="7"/>
        <v>694.4</v>
      </c>
    </row>
    <row r="240" spans="1:7" x14ac:dyDescent="0.3">
      <c r="A240" s="9">
        <v>58</v>
      </c>
      <c r="B240" s="9" t="s">
        <v>117</v>
      </c>
      <c r="C240" s="9" t="s">
        <v>118</v>
      </c>
      <c r="D240" s="19">
        <v>28</v>
      </c>
      <c r="E240" s="9" t="s">
        <v>9</v>
      </c>
      <c r="F240" s="27">
        <v>31</v>
      </c>
      <c r="G240" s="10">
        <f t="shared" si="7"/>
        <v>868</v>
      </c>
    </row>
    <row r="241" spans="1:7" ht="14.15" x14ac:dyDescent="0.35">
      <c r="A241" s="6"/>
      <c r="B241" s="6"/>
      <c r="C241" s="11" t="s">
        <v>0</v>
      </c>
      <c r="D241" s="20"/>
      <c r="E241" s="12"/>
      <c r="F241" s="12"/>
      <c r="G241" s="13">
        <f>SUM(G183:G240)</f>
        <v>304516.72000000003</v>
      </c>
    </row>
    <row r="243" spans="1:7" ht="15.45" x14ac:dyDescent="0.4">
      <c r="C243" s="3" t="s">
        <v>269</v>
      </c>
    </row>
    <row r="244" spans="1:7" x14ac:dyDescent="0.3">
      <c r="A244" s="7" t="s">
        <v>1</v>
      </c>
      <c r="B244" s="7" t="s">
        <v>2</v>
      </c>
      <c r="C244" s="7" t="s">
        <v>3</v>
      </c>
      <c r="D244" s="7"/>
      <c r="E244" s="8" t="s">
        <v>4</v>
      </c>
      <c r="F244" s="8"/>
      <c r="G244" s="8" t="s">
        <v>0</v>
      </c>
    </row>
    <row r="245" spans="1:7" x14ac:dyDescent="0.3">
      <c r="A245" s="9">
        <v>1</v>
      </c>
      <c r="B245" s="9" t="s">
        <v>270</v>
      </c>
      <c r="C245" s="9" t="s">
        <v>271</v>
      </c>
      <c r="D245" s="19">
        <v>1</v>
      </c>
      <c r="E245" s="9" t="s">
        <v>9</v>
      </c>
      <c r="F245" s="27">
        <v>18683</v>
      </c>
      <c r="G245" s="10">
        <f t="shared" ref="G245:G265" si="8">D245*F245</f>
        <v>18683</v>
      </c>
    </row>
    <row r="246" spans="1:7" x14ac:dyDescent="0.3">
      <c r="A246" s="9">
        <v>2</v>
      </c>
      <c r="B246" s="9" t="s">
        <v>272</v>
      </c>
      <c r="C246" s="9" t="s">
        <v>273</v>
      </c>
      <c r="D246" s="19">
        <v>9</v>
      </c>
      <c r="E246" s="9" t="s">
        <v>9</v>
      </c>
      <c r="F246" s="27">
        <v>1094.8</v>
      </c>
      <c r="G246" s="10">
        <f t="shared" si="8"/>
        <v>9853.1999999999989</v>
      </c>
    </row>
    <row r="247" spans="1:7" x14ac:dyDescent="0.3">
      <c r="A247" s="9">
        <v>3</v>
      </c>
      <c r="B247" s="9" t="s">
        <v>274</v>
      </c>
      <c r="C247" s="9" t="s">
        <v>275</v>
      </c>
      <c r="D247" s="19">
        <v>1</v>
      </c>
      <c r="E247" s="9" t="s">
        <v>9</v>
      </c>
      <c r="F247" s="27">
        <v>8806</v>
      </c>
      <c r="G247" s="10">
        <f t="shared" si="8"/>
        <v>8806</v>
      </c>
    </row>
    <row r="248" spans="1:7" x14ac:dyDescent="0.3">
      <c r="A248" s="9">
        <v>4</v>
      </c>
      <c r="B248" s="9" t="s">
        <v>276</v>
      </c>
      <c r="C248" s="9" t="s">
        <v>277</v>
      </c>
      <c r="D248" s="19">
        <v>5</v>
      </c>
      <c r="E248" s="9" t="s">
        <v>9</v>
      </c>
      <c r="F248" s="27">
        <v>2487.1</v>
      </c>
      <c r="G248" s="10">
        <f t="shared" si="8"/>
        <v>12435.5</v>
      </c>
    </row>
    <row r="249" spans="1:7" x14ac:dyDescent="0.3">
      <c r="A249" s="9">
        <v>5</v>
      </c>
      <c r="B249" s="9" t="s">
        <v>278</v>
      </c>
      <c r="C249" s="9" t="s">
        <v>279</v>
      </c>
      <c r="D249" s="19">
        <v>5</v>
      </c>
      <c r="E249" s="9" t="s">
        <v>9</v>
      </c>
      <c r="F249" s="27">
        <v>744.93999999999994</v>
      </c>
      <c r="G249" s="10">
        <f t="shared" si="8"/>
        <v>3724.7</v>
      </c>
    </row>
    <row r="250" spans="1:7" x14ac:dyDescent="0.3">
      <c r="A250" s="9">
        <v>6</v>
      </c>
      <c r="B250" s="9" t="s">
        <v>406</v>
      </c>
      <c r="C250" s="9" t="s">
        <v>407</v>
      </c>
      <c r="D250" s="19">
        <v>0</v>
      </c>
      <c r="E250" s="9" t="s">
        <v>9</v>
      </c>
      <c r="F250" s="27">
        <v>6099.94</v>
      </c>
      <c r="G250" s="10">
        <f t="shared" si="8"/>
        <v>0</v>
      </c>
    </row>
    <row r="251" spans="1:7" x14ac:dyDescent="0.3">
      <c r="A251" s="9">
        <v>7</v>
      </c>
      <c r="B251" s="9" t="s">
        <v>280</v>
      </c>
      <c r="C251" s="9" t="s">
        <v>281</v>
      </c>
      <c r="D251" s="19">
        <v>2</v>
      </c>
      <c r="E251" s="9" t="s">
        <v>9</v>
      </c>
      <c r="F251" s="27">
        <v>1884.9599999999998</v>
      </c>
      <c r="G251" s="10">
        <f t="shared" si="8"/>
        <v>3769.9199999999996</v>
      </c>
    </row>
    <row r="252" spans="1:7" x14ac:dyDescent="0.3">
      <c r="A252" s="9">
        <v>8</v>
      </c>
      <c r="B252" s="9" t="s">
        <v>282</v>
      </c>
      <c r="C252" s="9" t="s">
        <v>283</v>
      </c>
      <c r="D252" s="19">
        <v>4</v>
      </c>
      <c r="E252" s="9" t="s">
        <v>9</v>
      </c>
      <c r="F252" s="27">
        <v>193.97</v>
      </c>
      <c r="G252" s="10">
        <f t="shared" si="8"/>
        <v>775.88</v>
      </c>
    </row>
    <row r="253" spans="1:7" x14ac:dyDescent="0.3">
      <c r="A253" s="9">
        <v>9</v>
      </c>
      <c r="B253" s="9" t="s">
        <v>284</v>
      </c>
      <c r="C253" s="9" t="s">
        <v>285</v>
      </c>
      <c r="D253" s="19">
        <v>10</v>
      </c>
      <c r="E253" s="9" t="s">
        <v>9</v>
      </c>
      <c r="F253" s="27">
        <v>406.97999999999996</v>
      </c>
      <c r="G253" s="10">
        <f t="shared" si="8"/>
        <v>4069.7999999999997</v>
      </c>
    </row>
    <row r="254" spans="1:7" x14ac:dyDescent="0.3">
      <c r="A254" s="9">
        <v>10</v>
      </c>
      <c r="B254" s="9"/>
      <c r="C254" s="9" t="s">
        <v>286</v>
      </c>
      <c r="D254" s="19">
        <v>10</v>
      </c>
      <c r="E254" s="9" t="s">
        <v>9</v>
      </c>
      <c r="F254" s="27">
        <v>126.14</v>
      </c>
      <c r="G254" s="10">
        <f t="shared" si="8"/>
        <v>1261.4000000000001</v>
      </c>
    </row>
    <row r="255" spans="1:7" x14ac:dyDescent="0.3">
      <c r="A255" s="9">
        <v>11</v>
      </c>
      <c r="B255" s="9" t="s">
        <v>287</v>
      </c>
      <c r="C255" s="9" t="s">
        <v>288</v>
      </c>
      <c r="D255" s="19">
        <v>7</v>
      </c>
      <c r="E255" s="9" t="s">
        <v>9</v>
      </c>
      <c r="F255" s="27">
        <v>1091.23</v>
      </c>
      <c r="G255" s="10">
        <f t="shared" si="8"/>
        <v>7638.6100000000006</v>
      </c>
    </row>
    <row r="256" spans="1:7" x14ac:dyDescent="0.3">
      <c r="A256" s="9">
        <v>12</v>
      </c>
      <c r="B256" s="9" t="s">
        <v>379</v>
      </c>
      <c r="C256" s="9" t="s">
        <v>380</v>
      </c>
      <c r="D256" s="19">
        <v>7</v>
      </c>
      <c r="E256" s="9" t="s">
        <v>9</v>
      </c>
      <c r="F256" s="27">
        <v>2009.9099999999999</v>
      </c>
      <c r="G256" s="10">
        <f t="shared" si="8"/>
        <v>14069.369999999999</v>
      </c>
    </row>
    <row r="257" spans="1:7" x14ac:dyDescent="0.3">
      <c r="A257" s="9">
        <v>13</v>
      </c>
      <c r="B257" s="9" t="s">
        <v>333</v>
      </c>
      <c r="C257" s="9" t="s">
        <v>334</v>
      </c>
      <c r="D257" s="19">
        <v>2</v>
      </c>
      <c r="E257" s="9" t="s">
        <v>9</v>
      </c>
      <c r="F257" s="27">
        <v>5938.0999999999995</v>
      </c>
      <c r="G257" s="10">
        <f t="shared" si="8"/>
        <v>11876.199999999999</v>
      </c>
    </row>
    <row r="258" spans="1:7" x14ac:dyDescent="0.3">
      <c r="A258" s="9">
        <v>14</v>
      </c>
      <c r="B258" s="9" t="s">
        <v>336</v>
      </c>
      <c r="C258" s="9" t="s">
        <v>335</v>
      </c>
      <c r="D258" s="19">
        <v>9</v>
      </c>
      <c r="E258" s="9" t="s">
        <v>9</v>
      </c>
      <c r="F258" s="27">
        <v>11781</v>
      </c>
      <c r="G258" s="10">
        <f t="shared" si="8"/>
        <v>106029</v>
      </c>
    </row>
    <row r="259" spans="1:7" x14ac:dyDescent="0.3">
      <c r="A259" s="9">
        <v>15</v>
      </c>
      <c r="B259" s="9" t="s">
        <v>337</v>
      </c>
      <c r="C259" s="9" t="s">
        <v>338</v>
      </c>
      <c r="D259" s="19">
        <v>0</v>
      </c>
      <c r="E259" s="9" t="s">
        <v>9</v>
      </c>
      <c r="F259" s="27">
        <v>13685</v>
      </c>
      <c r="G259" s="10">
        <f t="shared" si="8"/>
        <v>0</v>
      </c>
    </row>
    <row r="260" spans="1:7" x14ac:dyDescent="0.3">
      <c r="A260" s="9">
        <v>16</v>
      </c>
      <c r="B260" s="9" t="s">
        <v>289</v>
      </c>
      <c r="C260" s="9" t="s">
        <v>290</v>
      </c>
      <c r="D260" s="19">
        <v>2</v>
      </c>
      <c r="E260" s="9" t="s">
        <v>9</v>
      </c>
      <c r="F260" s="27">
        <v>267.75</v>
      </c>
      <c r="G260" s="10">
        <f t="shared" si="8"/>
        <v>535.5</v>
      </c>
    </row>
    <row r="261" spans="1:7" x14ac:dyDescent="0.3">
      <c r="A261" s="9">
        <v>17</v>
      </c>
      <c r="B261" s="9" t="s">
        <v>339</v>
      </c>
      <c r="C261" s="9" t="s">
        <v>340</v>
      </c>
      <c r="D261" s="19">
        <v>9</v>
      </c>
      <c r="E261" s="9" t="s">
        <v>9</v>
      </c>
      <c r="F261" s="27">
        <v>297.5</v>
      </c>
      <c r="G261" s="10">
        <f t="shared" si="8"/>
        <v>2677.5</v>
      </c>
    </row>
    <row r="262" spans="1:7" x14ac:dyDescent="0.3">
      <c r="A262" s="9">
        <v>18</v>
      </c>
      <c r="B262" s="9" t="s">
        <v>322</v>
      </c>
      <c r="C262" s="9" t="s">
        <v>323</v>
      </c>
      <c r="D262" s="19">
        <v>21</v>
      </c>
      <c r="E262" s="9" t="s">
        <v>9</v>
      </c>
      <c r="F262" s="27">
        <v>357</v>
      </c>
      <c r="G262" s="10">
        <f t="shared" si="8"/>
        <v>7497</v>
      </c>
    </row>
    <row r="263" spans="1:7" x14ac:dyDescent="0.3">
      <c r="A263" s="9">
        <v>19</v>
      </c>
      <c r="B263" s="9" t="s">
        <v>325</v>
      </c>
      <c r="C263" s="9" t="s">
        <v>324</v>
      </c>
      <c r="D263" s="19">
        <v>20</v>
      </c>
      <c r="E263" s="9" t="s">
        <v>9</v>
      </c>
      <c r="F263" s="27">
        <v>952</v>
      </c>
      <c r="G263" s="10">
        <f t="shared" si="8"/>
        <v>19040</v>
      </c>
    </row>
    <row r="264" spans="1:7" x14ac:dyDescent="0.3">
      <c r="A264" s="9">
        <v>20</v>
      </c>
      <c r="B264" s="9"/>
      <c r="C264" s="9" t="s">
        <v>328</v>
      </c>
      <c r="D264" s="19">
        <v>22</v>
      </c>
      <c r="E264" s="9" t="s">
        <v>9</v>
      </c>
      <c r="F264" s="27">
        <v>535.5</v>
      </c>
      <c r="G264" s="10">
        <f t="shared" si="8"/>
        <v>11781</v>
      </c>
    </row>
    <row r="265" spans="1:7" x14ac:dyDescent="0.3">
      <c r="A265" s="9">
        <v>21</v>
      </c>
      <c r="B265" s="9" t="s">
        <v>326</v>
      </c>
      <c r="C265" s="9" t="s">
        <v>327</v>
      </c>
      <c r="D265" s="19">
        <v>2</v>
      </c>
      <c r="E265" s="9" t="s">
        <v>9</v>
      </c>
      <c r="F265" s="27">
        <v>5851.23</v>
      </c>
      <c r="G265" s="10">
        <f t="shared" si="8"/>
        <v>11702.46</v>
      </c>
    </row>
    <row r="266" spans="1:7" x14ac:dyDescent="0.3">
      <c r="A266" s="9">
        <v>22</v>
      </c>
      <c r="B266" s="9" t="s">
        <v>291</v>
      </c>
      <c r="C266" s="9" t="s">
        <v>292</v>
      </c>
      <c r="D266" s="19">
        <v>22</v>
      </c>
      <c r="E266" s="9" t="s">
        <v>9</v>
      </c>
      <c r="F266" s="27">
        <v>79.608619999999988</v>
      </c>
      <c r="G266" s="10">
        <f t="shared" ref="G266:G283" si="9">D266*F266</f>
        <v>1751.3896399999996</v>
      </c>
    </row>
    <row r="267" spans="1:7" x14ac:dyDescent="0.3">
      <c r="A267" s="9">
        <v>23</v>
      </c>
      <c r="B267" s="9"/>
      <c r="C267" s="9" t="s">
        <v>293</v>
      </c>
      <c r="D267" s="19">
        <v>88</v>
      </c>
      <c r="E267" s="9" t="s">
        <v>9</v>
      </c>
      <c r="F267" s="27">
        <v>9.1039759999999994</v>
      </c>
      <c r="G267" s="10">
        <f t="shared" si="9"/>
        <v>801.14988799999992</v>
      </c>
    </row>
    <row r="268" spans="1:7" x14ac:dyDescent="0.3">
      <c r="A268" s="9">
        <v>24</v>
      </c>
      <c r="B268" s="9" t="s">
        <v>294</v>
      </c>
      <c r="C268" s="9" t="s">
        <v>295</v>
      </c>
      <c r="D268" s="19">
        <v>58</v>
      </c>
      <c r="E268" s="9" t="s">
        <v>9</v>
      </c>
      <c r="F268" s="27">
        <v>197.54</v>
      </c>
      <c r="G268" s="10">
        <f t="shared" si="9"/>
        <v>11457.32</v>
      </c>
    </row>
    <row r="269" spans="1:7" x14ac:dyDescent="0.3">
      <c r="A269" s="9">
        <v>25</v>
      </c>
      <c r="B269" s="9" t="s">
        <v>296</v>
      </c>
      <c r="C269" s="9" t="s">
        <v>297</v>
      </c>
      <c r="D269" s="19">
        <v>12</v>
      </c>
      <c r="E269" s="9" t="s">
        <v>9</v>
      </c>
      <c r="F269" s="27">
        <v>205.87</v>
      </c>
      <c r="G269" s="10">
        <f t="shared" si="9"/>
        <v>2470.44</v>
      </c>
    </row>
    <row r="270" spans="1:7" x14ac:dyDescent="0.3">
      <c r="A270" s="9">
        <v>26</v>
      </c>
      <c r="B270" s="9" t="s">
        <v>298</v>
      </c>
      <c r="C270" s="9" t="s">
        <v>299</v>
      </c>
      <c r="D270" s="19">
        <v>3</v>
      </c>
      <c r="E270" s="9" t="s">
        <v>9</v>
      </c>
      <c r="F270" s="27">
        <v>5765.55</v>
      </c>
      <c r="G270" s="10">
        <f t="shared" si="9"/>
        <v>17296.650000000001</v>
      </c>
    </row>
    <row r="271" spans="1:7" x14ac:dyDescent="0.3">
      <c r="A271" s="9">
        <v>27</v>
      </c>
      <c r="B271" s="9" t="s">
        <v>300</v>
      </c>
      <c r="C271" s="9" t="s">
        <v>301</v>
      </c>
      <c r="D271" s="19">
        <v>2</v>
      </c>
      <c r="E271" s="9" t="s">
        <v>9</v>
      </c>
      <c r="F271" s="27">
        <v>2213.4</v>
      </c>
      <c r="G271" s="10">
        <f t="shared" si="9"/>
        <v>4426.8</v>
      </c>
    </row>
    <row r="272" spans="1:7" x14ac:dyDescent="0.3">
      <c r="A272" s="9">
        <v>28</v>
      </c>
      <c r="B272" s="9" t="s">
        <v>306</v>
      </c>
      <c r="C272" s="9" t="s">
        <v>307</v>
      </c>
      <c r="D272" s="19">
        <v>58</v>
      </c>
      <c r="E272" s="9" t="s">
        <v>9</v>
      </c>
      <c r="F272" s="27">
        <v>21.419999999999998</v>
      </c>
      <c r="G272" s="10">
        <f t="shared" si="9"/>
        <v>1242.3599999999999</v>
      </c>
    </row>
    <row r="273" spans="1:7" x14ac:dyDescent="0.3">
      <c r="A273" s="9">
        <v>29</v>
      </c>
      <c r="B273" s="9" t="s">
        <v>308</v>
      </c>
      <c r="C273" s="9" t="s">
        <v>309</v>
      </c>
      <c r="D273" s="19">
        <v>2343</v>
      </c>
      <c r="E273" s="9" t="s">
        <v>9</v>
      </c>
      <c r="F273" s="27">
        <v>8.0303579999999997</v>
      </c>
      <c r="G273" s="10">
        <f t="shared" si="9"/>
        <v>18815.128794</v>
      </c>
    </row>
    <row r="274" spans="1:7" x14ac:dyDescent="0.3">
      <c r="A274" s="9">
        <v>30</v>
      </c>
      <c r="B274" s="9" t="s">
        <v>310</v>
      </c>
      <c r="C274" s="9" t="s">
        <v>311</v>
      </c>
      <c r="D274" s="19">
        <v>224</v>
      </c>
      <c r="E274" s="9" t="s">
        <v>13</v>
      </c>
      <c r="F274" s="27">
        <v>17.029613999999999</v>
      </c>
      <c r="G274" s="10">
        <f t="shared" si="9"/>
        <v>3814.6335359999998</v>
      </c>
    </row>
    <row r="275" spans="1:7" x14ac:dyDescent="0.3">
      <c r="A275" s="9">
        <v>31</v>
      </c>
      <c r="B275" s="9"/>
      <c r="C275" s="9" t="s">
        <v>312</v>
      </c>
      <c r="D275" s="19">
        <v>224</v>
      </c>
      <c r="E275" s="9" t="s">
        <v>13</v>
      </c>
      <c r="F275" s="27">
        <v>8.3960450000000009</v>
      </c>
      <c r="G275" s="10">
        <f t="shared" si="9"/>
        <v>1880.7140800000002</v>
      </c>
    </row>
    <row r="276" spans="1:7" x14ac:dyDescent="0.3">
      <c r="A276" s="9">
        <v>32</v>
      </c>
      <c r="B276" s="9" t="s">
        <v>313</v>
      </c>
      <c r="C276" s="9" t="s">
        <v>314</v>
      </c>
      <c r="D276" s="19">
        <v>1170</v>
      </c>
      <c r="E276" s="9" t="s">
        <v>13</v>
      </c>
      <c r="F276" s="27">
        <v>49.230299999999993</v>
      </c>
      <c r="G276" s="10">
        <f t="shared" si="9"/>
        <v>57599.450999999994</v>
      </c>
    </row>
    <row r="277" spans="1:7" x14ac:dyDescent="0.3">
      <c r="A277" s="9">
        <v>33</v>
      </c>
      <c r="B277" s="9" t="s">
        <v>315</v>
      </c>
      <c r="C277" s="9" t="s">
        <v>316</v>
      </c>
      <c r="D277" s="19">
        <v>2832</v>
      </c>
      <c r="E277" s="9" t="s">
        <v>13</v>
      </c>
      <c r="F277" s="27">
        <v>16.650480000000002</v>
      </c>
      <c r="G277" s="10">
        <f t="shared" si="9"/>
        <v>47154.159360000005</v>
      </c>
    </row>
    <row r="278" spans="1:7" x14ac:dyDescent="0.3">
      <c r="A278" s="9">
        <v>34</v>
      </c>
      <c r="B278" s="9"/>
      <c r="C278" s="9" t="s">
        <v>302</v>
      </c>
      <c r="D278" s="19">
        <v>1</v>
      </c>
      <c r="E278" s="9" t="s">
        <v>9</v>
      </c>
      <c r="F278" s="27">
        <v>1172.1499999999999</v>
      </c>
      <c r="G278" s="10">
        <f t="shared" si="9"/>
        <v>1172.1499999999999</v>
      </c>
    </row>
    <row r="279" spans="1:7" x14ac:dyDescent="0.3">
      <c r="A279" s="28">
        <v>35</v>
      </c>
      <c r="B279" s="28"/>
      <c r="C279" s="28" t="s">
        <v>303</v>
      </c>
      <c r="D279" s="29">
        <v>10</v>
      </c>
      <c r="E279" s="9" t="s">
        <v>9</v>
      </c>
      <c r="F279" s="27">
        <v>323.68</v>
      </c>
      <c r="G279" s="10">
        <f t="shared" si="9"/>
        <v>3236.8</v>
      </c>
    </row>
    <row r="280" spans="1:7" x14ac:dyDescent="0.3">
      <c r="A280" s="9">
        <v>36</v>
      </c>
      <c r="B280" s="9"/>
      <c r="C280" s="9" t="s">
        <v>408</v>
      </c>
      <c r="D280" s="19">
        <v>2</v>
      </c>
      <c r="E280" s="9" t="s">
        <v>9</v>
      </c>
      <c r="F280" s="27">
        <v>166.6</v>
      </c>
      <c r="G280" s="10">
        <f t="shared" si="9"/>
        <v>333.2</v>
      </c>
    </row>
    <row r="281" spans="1:7" x14ac:dyDescent="0.3">
      <c r="A281" s="9">
        <v>37</v>
      </c>
      <c r="B281" s="9"/>
      <c r="C281" s="9" t="s">
        <v>304</v>
      </c>
      <c r="D281" s="19">
        <v>1</v>
      </c>
      <c r="E281" s="9" t="s">
        <v>9</v>
      </c>
      <c r="F281" s="27">
        <v>535.5</v>
      </c>
      <c r="G281" s="10">
        <f t="shared" si="9"/>
        <v>535.5</v>
      </c>
    </row>
    <row r="282" spans="1:7" x14ac:dyDescent="0.3">
      <c r="A282" s="9">
        <v>38</v>
      </c>
      <c r="B282" s="9"/>
      <c r="C282" s="9" t="s">
        <v>305</v>
      </c>
      <c r="D282" s="19">
        <v>1</v>
      </c>
      <c r="E282" s="9" t="s">
        <v>9</v>
      </c>
      <c r="F282" s="27">
        <v>535.5</v>
      </c>
      <c r="G282" s="10">
        <f t="shared" si="9"/>
        <v>535.5</v>
      </c>
    </row>
    <row r="283" spans="1:7" x14ac:dyDescent="0.3">
      <c r="A283" s="9">
        <v>39</v>
      </c>
      <c r="B283" s="19" t="s">
        <v>461</v>
      </c>
      <c r="C283" s="19" t="s">
        <v>462</v>
      </c>
      <c r="D283" s="19">
        <v>1</v>
      </c>
      <c r="E283" s="9" t="s">
        <v>9</v>
      </c>
      <c r="F283" s="27">
        <v>2213.4</v>
      </c>
      <c r="G283" s="10">
        <f t="shared" si="9"/>
        <v>2213.4</v>
      </c>
    </row>
    <row r="284" spans="1:7" x14ac:dyDescent="0.3">
      <c r="A284" s="9">
        <v>40</v>
      </c>
      <c r="B284" s="19" t="s">
        <v>463</v>
      </c>
      <c r="C284" s="19" t="s">
        <v>464</v>
      </c>
      <c r="D284" s="19">
        <v>2</v>
      </c>
      <c r="E284" s="9" t="s">
        <v>9</v>
      </c>
      <c r="F284" s="27">
        <v>11137.21</v>
      </c>
      <c r="G284" s="10">
        <f t="shared" ref="G284:G285" si="10">D284*F284</f>
        <v>22274.42</v>
      </c>
    </row>
    <row r="285" spans="1:7" x14ac:dyDescent="0.3">
      <c r="A285" s="9">
        <v>41</v>
      </c>
      <c r="B285" s="19" t="s">
        <v>465</v>
      </c>
      <c r="C285" s="19" t="s">
        <v>466</v>
      </c>
      <c r="D285" s="19">
        <v>2</v>
      </c>
      <c r="E285" s="9" t="s">
        <v>9</v>
      </c>
      <c r="F285" s="27">
        <v>627.13</v>
      </c>
      <c r="G285" s="10">
        <f t="shared" si="10"/>
        <v>1254.26</v>
      </c>
    </row>
    <row r="286" spans="1:7" ht="14.15" x14ac:dyDescent="0.35">
      <c r="A286" s="6"/>
      <c r="B286" s="6"/>
      <c r="C286" s="11" t="s">
        <v>0</v>
      </c>
      <c r="D286" s="20"/>
      <c r="E286" s="12"/>
      <c r="F286" s="12"/>
      <c r="G286" s="13">
        <f>SUM(G245:G285)</f>
        <v>456491.46629800001</v>
      </c>
    </row>
    <row r="288" spans="1:7" ht="15.45" x14ac:dyDescent="0.4">
      <c r="C288" s="3" t="s">
        <v>343</v>
      </c>
    </row>
    <row r="289" spans="1:7" x14ac:dyDescent="0.3">
      <c r="A289" s="7" t="s">
        <v>1</v>
      </c>
      <c r="B289" s="7" t="s">
        <v>2</v>
      </c>
      <c r="C289" s="7" t="s">
        <v>3</v>
      </c>
      <c r="D289" s="7"/>
      <c r="E289" s="8" t="s">
        <v>4</v>
      </c>
      <c r="F289" s="8"/>
      <c r="G289" s="8" t="s">
        <v>0</v>
      </c>
    </row>
    <row r="290" spans="1:7" x14ac:dyDescent="0.3">
      <c r="A290" s="9">
        <v>1</v>
      </c>
      <c r="B290" s="9" t="s">
        <v>256</v>
      </c>
      <c r="C290" s="9" t="s">
        <v>344</v>
      </c>
      <c r="D290" s="19">
        <v>576</v>
      </c>
      <c r="E290" s="9" t="s">
        <v>13</v>
      </c>
      <c r="F290" s="27">
        <v>27.28</v>
      </c>
      <c r="G290" s="10">
        <f t="shared" ref="G290:G309" si="11">D290*F290</f>
        <v>15713.28</v>
      </c>
    </row>
    <row r="291" spans="1:7" x14ac:dyDescent="0.3">
      <c r="A291" s="9">
        <v>2</v>
      </c>
      <c r="B291" s="9" t="s">
        <v>345</v>
      </c>
      <c r="C291" s="9" t="s">
        <v>346</v>
      </c>
      <c r="D291" s="19">
        <v>60</v>
      </c>
      <c r="E291" s="9" t="s">
        <v>9</v>
      </c>
      <c r="F291" s="27">
        <v>80.599999999999994</v>
      </c>
      <c r="G291" s="10">
        <f t="shared" si="11"/>
        <v>4836</v>
      </c>
    </row>
    <row r="292" spans="1:7" x14ac:dyDescent="0.3">
      <c r="A292" s="9">
        <v>3</v>
      </c>
      <c r="B292" s="9" t="s">
        <v>237</v>
      </c>
      <c r="C292" s="9" t="s">
        <v>238</v>
      </c>
      <c r="D292" s="19">
        <v>22</v>
      </c>
      <c r="E292" s="9" t="s">
        <v>9</v>
      </c>
      <c r="F292" s="27">
        <v>31</v>
      </c>
      <c r="G292" s="10">
        <f t="shared" si="11"/>
        <v>682</v>
      </c>
    </row>
    <row r="293" spans="1:7" x14ac:dyDescent="0.3">
      <c r="A293" s="9">
        <v>4</v>
      </c>
      <c r="B293" s="9" t="s">
        <v>239</v>
      </c>
      <c r="C293" s="9" t="s">
        <v>240</v>
      </c>
      <c r="D293" s="19">
        <v>22</v>
      </c>
      <c r="E293" s="9" t="s">
        <v>9</v>
      </c>
      <c r="F293" s="27">
        <v>59.519999999999996</v>
      </c>
      <c r="G293" s="10">
        <f t="shared" si="11"/>
        <v>1309.4399999999998</v>
      </c>
    </row>
    <row r="294" spans="1:7" x14ac:dyDescent="0.3">
      <c r="A294" s="9">
        <v>5</v>
      </c>
      <c r="B294" s="9" t="s">
        <v>113</v>
      </c>
      <c r="C294" s="9" t="s">
        <v>347</v>
      </c>
      <c r="D294" s="19">
        <v>22</v>
      </c>
      <c r="E294" s="9" t="s">
        <v>9</v>
      </c>
      <c r="F294" s="27">
        <v>55.8</v>
      </c>
      <c r="G294" s="10">
        <f t="shared" si="11"/>
        <v>1227.5999999999999</v>
      </c>
    </row>
    <row r="295" spans="1:7" x14ac:dyDescent="0.3">
      <c r="A295" s="9">
        <v>6</v>
      </c>
      <c r="B295" s="9" t="s">
        <v>114</v>
      </c>
      <c r="C295" s="9" t="s">
        <v>348</v>
      </c>
      <c r="D295" s="19">
        <v>1</v>
      </c>
      <c r="E295" s="9" t="s">
        <v>9</v>
      </c>
      <c r="F295" s="27">
        <v>18.600000000000001</v>
      </c>
      <c r="G295" s="10">
        <f t="shared" si="11"/>
        <v>18.600000000000001</v>
      </c>
    </row>
    <row r="296" spans="1:7" x14ac:dyDescent="0.3">
      <c r="A296" s="9">
        <v>7</v>
      </c>
      <c r="B296" s="9"/>
      <c r="C296" s="9" t="s">
        <v>349</v>
      </c>
      <c r="D296" s="19">
        <v>2</v>
      </c>
      <c r="E296" s="9" t="s">
        <v>9</v>
      </c>
      <c r="F296" s="27">
        <v>99.2</v>
      </c>
      <c r="G296" s="10">
        <f t="shared" si="11"/>
        <v>198.4</v>
      </c>
    </row>
    <row r="297" spans="1:7" x14ac:dyDescent="0.3">
      <c r="A297" s="9">
        <v>8</v>
      </c>
      <c r="B297" s="9" t="s">
        <v>111</v>
      </c>
      <c r="C297" s="9" t="s">
        <v>122</v>
      </c>
      <c r="D297" s="19">
        <v>1</v>
      </c>
      <c r="E297" s="9" t="s">
        <v>9</v>
      </c>
      <c r="F297" s="27">
        <v>818.4</v>
      </c>
      <c r="G297" s="10">
        <f t="shared" si="11"/>
        <v>818.4</v>
      </c>
    </row>
    <row r="298" spans="1:7" x14ac:dyDescent="0.3">
      <c r="A298" s="9">
        <v>9</v>
      </c>
      <c r="B298" s="9" t="s">
        <v>350</v>
      </c>
      <c r="C298" s="9" t="s">
        <v>351</v>
      </c>
      <c r="D298" s="19">
        <v>1</v>
      </c>
      <c r="E298" s="9" t="s">
        <v>9</v>
      </c>
      <c r="F298" s="27">
        <v>310</v>
      </c>
      <c r="G298" s="10">
        <f t="shared" si="11"/>
        <v>310</v>
      </c>
    </row>
    <row r="299" spans="1:7" x14ac:dyDescent="0.3">
      <c r="A299" s="9">
        <v>10</v>
      </c>
      <c r="B299" s="9" t="s">
        <v>352</v>
      </c>
      <c r="C299" s="9" t="s">
        <v>479</v>
      </c>
      <c r="D299" s="19">
        <v>1</v>
      </c>
      <c r="E299" s="9" t="s">
        <v>9</v>
      </c>
      <c r="F299" s="27">
        <v>322.39999999999998</v>
      </c>
      <c r="G299" s="10">
        <f t="shared" si="11"/>
        <v>322.39999999999998</v>
      </c>
    </row>
    <row r="300" spans="1:7" x14ac:dyDescent="0.3">
      <c r="A300" s="9">
        <v>11</v>
      </c>
      <c r="B300" s="9" t="s">
        <v>353</v>
      </c>
      <c r="C300" s="9" t="s">
        <v>354</v>
      </c>
      <c r="D300" s="19">
        <v>24</v>
      </c>
      <c r="E300" s="9" t="s">
        <v>9</v>
      </c>
      <c r="F300" s="27">
        <v>99.2</v>
      </c>
      <c r="G300" s="10">
        <f t="shared" si="11"/>
        <v>2380.8000000000002</v>
      </c>
    </row>
    <row r="301" spans="1:7" x14ac:dyDescent="0.3">
      <c r="A301" s="9">
        <v>12</v>
      </c>
      <c r="B301" s="9" t="s">
        <v>355</v>
      </c>
      <c r="C301" s="9" t="s">
        <v>356</v>
      </c>
      <c r="D301" s="19">
        <v>6</v>
      </c>
      <c r="E301" s="9" t="s">
        <v>9</v>
      </c>
      <c r="F301" s="27">
        <v>310</v>
      </c>
      <c r="G301" s="10">
        <f t="shared" si="11"/>
        <v>1860</v>
      </c>
    </row>
    <row r="302" spans="1:7" x14ac:dyDescent="0.3">
      <c r="A302" s="9">
        <v>13</v>
      </c>
      <c r="B302" s="9" t="s">
        <v>357</v>
      </c>
      <c r="C302" s="9" t="s">
        <v>358</v>
      </c>
      <c r="D302" s="19">
        <v>18</v>
      </c>
      <c r="E302" s="9" t="s">
        <v>9</v>
      </c>
      <c r="F302" s="27">
        <v>372</v>
      </c>
      <c r="G302" s="10">
        <f t="shared" si="11"/>
        <v>6696</v>
      </c>
    </row>
    <row r="303" spans="1:7" x14ac:dyDescent="0.3">
      <c r="A303" s="9">
        <v>14</v>
      </c>
      <c r="B303" s="9"/>
      <c r="C303" s="9" t="s">
        <v>75</v>
      </c>
      <c r="D303" s="19">
        <v>6</v>
      </c>
      <c r="E303" s="9" t="s">
        <v>72</v>
      </c>
      <c r="F303" s="27">
        <v>558</v>
      </c>
      <c r="G303" s="10">
        <f t="shared" si="11"/>
        <v>3348</v>
      </c>
    </row>
    <row r="304" spans="1:7" x14ac:dyDescent="0.3">
      <c r="A304" s="9">
        <v>15</v>
      </c>
      <c r="B304" s="9"/>
      <c r="C304" s="9" t="s">
        <v>76</v>
      </c>
      <c r="D304" s="19">
        <v>6</v>
      </c>
      <c r="E304" s="9" t="s">
        <v>72</v>
      </c>
      <c r="F304" s="27">
        <v>558</v>
      </c>
      <c r="G304" s="10">
        <f t="shared" si="11"/>
        <v>3348</v>
      </c>
    </row>
    <row r="305" spans="1:7" x14ac:dyDescent="0.3">
      <c r="A305" s="9">
        <v>16</v>
      </c>
      <c r="B305" s="9"/>
      <c r="C305" s="9" t="s">
        <v>262</v>
      </c>
      <c r="D305" s="19">
        <v>6</v>
      </c>
      <c r="E305" s="9" t="s">
        <v>72</v>
      </c>
      <c r="F305" s="27">
        <v>1054</v>
      </c>
      <c r="G305" s="10">
        <f t="shared" si="11"/>
        <v>6324</v>
      </c>
    </row>
    <row r="306" spans="1:7" x14ac:dyDescent="0.3">
      <c r="A306" s="9">
        <v>17</v>
      </c>
      <c r="B306" s="9"/>
      <c r="C306" s="9" t="s">
        <v>371</v>
      </c>
      <c r="D306" s="19">
        <v>98</v>
      </c>
      <c r="E306" s="9" t="s">
        <v>13</v>
      </c>
      <c r="F306" s="27">
        <v>17.36</v>
      </c>
      <c r="G306" s="10">
        <f t="shared" si="11"/>
        <v>1701.28</v>
      </c>
    </row>
    <row r="307" spans="1:7" x14ac:dyDescent="0.3">
      <c r="A307" s="9">
        <v>18</v>
      </c>
      <c r="B307" s="9"/>
      <c r="C307" s="9" t="s">
        <v>387</v>
      </c>
      <c r="D307" s="19">
        <v>2</v>
      </c>
      <c r="E307" s="9" t="s">
        <v>9</v>
      </c>
      <c r="F307" s="27">
        <v>111.6</v>
      </c>
      <c r="G307" s="10">
        <f t="shared" si="11"/>
        <v>223.2</v>
      </c>
    </row>
    <row r="308" spans="1:7" x14ac:dyDescent="0.3">
      <c r="A308" s="9">
        <v>19</v>
      </c>
      <c r="B308" s="9"/>
      <c r="C308" s="9" t="s">
        <v>372</v>
      </c>
      <c r="D308" s="19">
        <v>2</v>
      </c>
      <c r="E308" s="9" t="s">
        <v>9</v>
      </c>
      <c r="F308" s="27">
        <v>99.2</v>
      </c>
      <c r="G308" s="10">
        <f t="shared" si="11"/>
        <v>198.4</v>
      </c>
    </row>
    <row r="309" spans="1:7" x14ac:dyDescent="0.3">
      <c r="A309" s="9">
        <v>20</v>
      </c>
      <c r="B309" s="9"/>
      <c r="C309" s="9" t="s">
        <v>373</v>
      </c>
      <c r="D309" s="19">
        <v>1</v>
      </c>
      <c r="E309" s="9" t="s">
        <v>9</v>
      </c>
      <c r="F309" s="27">
        <v>74.400000000000006</v>
      </c>
      <c r="G309" s="10">
        <f t="shared" si="11"/>
        <v>74.400000000000006</v>
      </c>
    </row>
    <row r="310" spans="1:7" ht="14.15" x14ac:dyDescent="0.35">
      <c r="A310" s="6"/>
      <c r="B310" s="6"/>
      <c r="C310" s="11" t="s">
        <v>0</v>
      </c>
      <c r="D310" s="20"/>
      <c r="E310" s="12"/>
      <c r="F310" s="12"/>
      <c r="G310" s="13">
        <f>SUM(G290:G309)</f>
        <v>51590.2</v>
      </c>
    </row>
    <row r="312" spans="1:7" ht="15.45" x14ac:dyDescent="0.4">
      <c r="C312" s="3" t="s">
        <v>359</v>
      </c>
    </row>
    <row r="313" spans="1:7" x14ac:dyDescent="0.3">
      <c r="A313" s="7" t="s">
        <v>1</v>
      </c>
      <c r="B313" s="7" t="s">
        <v>2</v>
      </c>
      <c r="C313" s="7" t="s">
        <v>3</v>
      </c>
      <c r="D313" s="7"/>
      <c r="E313" s="8" t="s">
        <v>4</v>
      </c>
      <c r="F313" s="8"/>
      <c r="G313" s="8" t="s">
        <v>0</v>
      </c>
    </row>
    <row r="314" spans="1:7" x14ac:dyDescent="0.3">
      <c r="A314" s="9">
        <v>1</v>
      </c>
      <c r="B314" s="9" t="s">
        <v>360</v>
      </c>
      <c r="C314" s="9" t="s">
        <v>361</v>
      </c>
      <c r="D314" s="19">
        <v>576</v>
      </c>
      <c r="E314" s="9" t="s">
        <v>13</v>
      </c>
      <c r="F314" s="27">
        <v>19.932499999999997</v>
      </c>
      <c r="G314" s="10">
        <f t="shared" ref="G314:G325" si="12">D314*F314</f>
        <v>11481.119999999999</v>
      </c>
    </row>
    <row r="315" spans="1:7" x14ac:dyDescent="0.3">
      <c r="A315" s="9">
        <v>2</v>
      </c>
      <c r="B315" s="9"/>
      <c r="C315" s="9" t="s">
        <v>362</v>
      </c>
      <c r="D315" s="19">
        <v>1</v>
      </c>
      <c r="E315" s="9" t="s">
        <v>74</v>
      </c>
      <c r="F315" s="27">
        <v>4760</v>
      </c>
      <c r="G315" s="10">
        <f t="shared" si="12"/>
        <v>4760</v>
      </c>
    </row>
    <row r="316" spans="1:7" x14ac:dyDescent="0.3">
      <c r="A316" s="9">
        <v>3</v>
      </c>
      <c r="B316" s="9"/>
      <c r="C316" s="9" t="s">
        <v>363</v>
      </c>
      <c r="D316" s="19">
        <v>1</v>
      </c>
      <c r="E316" s="9" t="s">
        <v>74</v>
      </c>
      <c r="F316" s="27">
        <v>2142</v>
      </c>
      <c r="G316" s="10">
        <f t="shared" si="12"/>
        <v>2142</v>
      </c>
    </row>
    <row r="317" spans="1:7" x14ac:dyDescent="0.3">
      <c r="A317" s="9">
        <v>4</v>
      </c>
      <c r="B317" s="9"/>
      <c r="C317" s="9" t="s">
        <v>364</v>
      </c>
      <c r="D317" s="19">
        <v>1</v>
      </c>
      <c r="E317" s="9" t="s">
        <v>74</v>
      </c>
      <c r="F317" s="27">
        <v>1142.3999999999999</v>
      </c>
      <c r="G317" s="10">
        <f t="shared" si="12"/>
        <v>1142.3999999999999</v>
      </c>
    </row>
    <row r="318" spans="1:7" x14ac:dyDescent="0.3">
      <c r="A318" s="9">
        <v>5</v>
      </c>
      <c r="B318" s="9"/>
      <c r="C318" s="9" t="s">
        <v>365</v>
      </c>
      <c r="D318" s="19">
        <v>1</v>
      </c>
      <c r="E318" s="9" t="s">
        <v>74</v>
      </c>
      <c r="F318" s="27">
        <v>761.59999999999991</v>
      </c>
      <c r="G318" s="10">
        <f t="shared" si="12"/>
        <v>761.59999999999991</v>
      </c>
    </row>
    <row r="319" spans="1:7" x14ac:dyDescent="0.3">
      <c r="A319" s="9">
        <v>6</v>
      </c>
      <c r="B319" s="9"/>
      <c r="C319" s="9" t="s">
        <v>366</v>
      </c>
      <c r="D319" s="19">
        <v>1</v>
      </c>
      <c r="E319" s="9" t="s">
        <v>74</v>
      </c>
      <c r="F319" s="27">
        <v>595</v>
      </c>
      <c r="G319" s="10">
        <f t="shared" si="12"/>
        <v>595</v>
      </c>
    </row>
    <row r="320" spans="1:7" x14ac:dyDescent="0.3">
      <c r="A320" s="9">
        <v>7</v>
      </c>
      <c r="B320" s="9" t="s">
        <v>367</v>
      </c>
      <c r="C320" s="9" t="s">
        <v>368</v>
      </c>
      <c r="D320" s="19">
        <v>6</v>
      </c>
      <c r="E320" s="9" t="s">
        <v>9</v>
      </c>
      <c r="F320" s="27">
        <v>684.25</v>
      </c>
      <c r="G320" s="10">
        <f t="shared" si="12"/>
        <v>4105.5</v>
      </c>
    </row>
    <row r="321" spans="1:7" x14ac:dyDescent="0.3">
      <c r="A321" s="9">
        <v>8</v>
      </c>
      <c r="B321" s="9" t="s">
        <v>369</v>
      </c>
      <c r="C321" s="9" t="s">
        <v>370</v>
      </c>
      <c r="D321" s="19">
        <v>18</v>
      </c>
      <c r="E321" s="9" t="s">
        <v>9</v>
      </c>
      <c r="F321" s="27">
        <v>2499</v>
      </c>
      <c r="G321" s="10">
        <f t="shared" si="12"/>
        <v>44982</v>
      </c>
    </row>
    <row r="322" spans="1:7" ht="100.5" customHeight="1" x14ac:dyDescent="0.3">
      <c r="A322" s="17">
        <v>9</v>
      </c>
      <c r="B322" s="17" t="s">
        <v>477</v>
      </c>
      <c r="C322" s="14" t="s">
        <v>478</v>
      </c>
      <c r="D322" s="17">
        <v>1</v>
      </c>
      <c r="E322" s="17" t="s">
        <v>9</v>
      </c>
      <c r="F322" s="27">
        <v>29071.699999999997</v>
      </c>
      <c r="G322" s="18">
        <f t="shared" si="12"/>
        <v>29071.699999999997</v>
      </c>
    </row>
    <row r="323" spans="1:7" x14ac:dyDescent="0.3">
      <c r="A323" s="9">
        <v>10</v>
      </c>
      <c r="B323" s="9"/>
      <c r="C323" s="9" t="s">
        <v>386</v>
      </c>
      <c r="D323" s="19">
        <v>1</v>
      </c>
      <c r="E323" s="9" t="s">
        <v>9</v>
      </c>
      <c r="F323" s="27">
        <v>53.55</v>
      </c>
      <c r="G323" s="10">
        <f t="shared" si="12"/>
        <v>53.55</v>
      </c>
    </row>
    <row r="324" spans="1:7" x14ac:dyDescent="0.3">
      <c r="A324" s="9">
        <v>11</v>
      </c>
      <c r="B324" s="9"/>
      <c r="C324" s="9" t="s">
        <v>374</v>
      </c>
      <c r="D324" s="19">
        <v>1</v>
      </c>
      <c r="E324" s="9" t="s">
        <v>9</v>
      </c>
      <c r="F324" s="27">
        <v>77.349999999999994</v>
      </c>
      <c r="G324" s="10">
        <f t="shared" si="12"/>
        <v>77.349999999999994</v>
      </c>
    </row>
    <row r="325" spans="1:7" x14ac:dyDescent="0.3">
      <c r="A325" s="9">
        <v>12</v>
      </c>
      <c r="B325" s="9"/>
      <c r="C325" s="9" t="s">
        <v>375</v>
      </c>
      <c r="D325" s="19">
        <v>98</v>
      </c>
      <c r="E325" s="9" t="s">
        <v>13</v>
      </c>
      <c r="F325" s="27">
        <v>14.28</v>
      </c>
      <c r="G325" s="10">
        <f t="shared" si="12"/>
        <v>1399.4399999999998</v>
      </c>
    </row>
    <row r="326" spans="1:7" ht="14.15" x14ac:dyDescent="0.35">
      <c r="A326" s="6"/>
      <c r="B326" s="6"/>
      <c r="C326" s="11" t="s">
        <v>0</v>
      </c>
      <c r="D326" s="6"/>
      <c r="E326" s="12"/>
      <c r="F326" s="12"/>
      <c r="G326" s="13">
        <f>SUM(G314:G325)</f>
        <v>100571.66</v>
      </c>
    </row>
    <row r="330" spans="1:7" ht="25.5" customHeight="1" x14ac:dyDescent="0.4">
      <c r="C330" s="24" t="s">
        <v>0</v>
      </c>
      <c r="G330" s="25">
        <f>G326+G310+G286+G241+G179+G163+G145+G111+G72+G52</f>
        <v>2262595.4984180001</v>
      </c>
    </row>
  </sheetData>
  <mergeCells count="2">
    <mergeCell ref="A2:G3"/>
    <mergeCell ref="F5:G6"/>
  </mergeCells>
  <pageMargins left="0.38" right="0.4" top="0.984251969" bottom="0.984251969" header="0.4921259845" footer="0.4921259845"/>
  <pageSetup paperSize="9" orientation="portrait" horizontalDpi="4294967292" verticalDpi="300" r:id="rId1"/>
  <headerFooter alignWithMargins="0">
    <oddFooter>Stránka &amp;P z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SLP</vt:lpstr>
    </vt:vector>
  </TitlesOfParts>
  <Company>XXX.s.r.o.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Kaisler</dc:creator>
  <cp:lastModifiedBy>Martin Hrabcik</cp:lastModifiedBy>
  <cp:lastPrinted>2024-03-05T19:21:28Z</cp:lastPrinted>
  <dcterms:created xsi:type="dcterms:W3CDTF">1998-09-16T08:22:29Z</dcterms:created>
  <dcterms:modified xsi:type="dcterms:W3CDTF">2025-04-07T14:11:33Z</dcterms:modified>
</cp:coreProperties>
</file>