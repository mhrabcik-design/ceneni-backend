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raterasro-my.sharepoint.com/personal/martinhrabcik_straterasro_onmicrosoft_com/Documents/Stratera/01_Zakázky/01_Realizace/2025_zakázky/25005_DEK Litvínov/03_Rozpočty/REV 5/"/>
    </mc:Choice>
  </mc:AlternateContent>
  <xr:revisionPtr revIDLastSave="177" documentId="8_{F0DEF387-0276-4D3D-A3D3-B3FC9787943E}" xr6:coauthVersionLast="47" xr6:coauthVersionMax="47" xr10:uidLastSave="{8BB26CA9-4D5E-41D6-AB9A-4999DF93B4C9}"/>
  <bookViews>
    <workbookView xWindow="28695" yWindow="0" windowWidth="26010" windowHeight="20985" activeTab="1" xr2:uid="{00000000-000D-0000-FFFF-FFFF00000000}"/>
  </bookViews>
  <sheets>
    <sheet name="Rekapitulace" sheetId="3" r:id="rId1"/>
    <sheet name="Rozpočet" sheetId="2" r:id="rId2"/>
    <sheet name="Parametry" sheetId="1" r:id="rId3"/>
  </sheets>
  <externalReferences>
    <externalReference r:id="rId4"/>
    <externalReference r:id="rId5"/>
  </externalReferences>
  <definedNames>
    <definedName name="_xlnm.Print_Area" localSheetId="2">Parametry!$A$1:$B$34</definedName>
    <definedName name="_xlnm.Print_Area" localSheetId="0">Rekapitulace!$A$1:$C$39</definedName>
    <definedName name="_xlnm.Print_Area" localSheetId="1">Rozpočet!$A$1:$X$148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" i="2" l="1"/>
  <c r="K23" i="2"/>
  <c r="K18" i="2"/>
  <c r="K19" i="2"/>
  <c r="K20" i="2"/>
  <c r="K21" i="2"/>
  <c r="K17" i="2"/>
  <c r="M18" i="2"/>
  <c r="M19" i="2"/>
  <c r="M20" i="2"/>
  <c r="M21" i="2"/>
  <c r="M17" i="2"/>
  <c r="T1" i="2"/>
  <c r="O32" i="2" l="1"/>
  <c r="O31" i="2"/>
  <c r="O30" i="2"/>
  <c r="X145" i="2"/>
  <c r="W10" i="2"/>
  <c r="X10" i="2"/>
  <c r="W11" i="2"/>
  <c r="X11" i="2"/>
  <c r="W12" i="2"/>
  <c r="X12" i="2"/>
  <c r="W13" i="2"/>
  <c r="X13" i="2"/>
  <c r="W14" i="2"/>
  <c r="X14" i="2"/>
  <c r="W15" i="2"/>
  <c r="X15" i="2"/>
  <c r="W16" i="2"/>
  <c r="X16" i="2"/>
  <c r="X17" i="2"/>
  <c r="W18" i="2"/>
  <c r="X18" i="2"/>
  <c r="X19" i="2"/>
  <c r="W20" i="2"/>
  <c r="X20" i="2"/>
  <c r="X21" i="2"/>
  <c r="W22" i="2"/>
  <c r="X22" i="2"/>
  <c r="W23" i="2"/>
  <c r="X23" i="2"/>
  <c r="W24" i="2"/>
  <c r="X24" i="2"/>
  <c r="W25" i="2"/>
  <c r="X25" i="2"/>
  <c r="W26" i="2"/>
  <c r="X26" i="2"/>
  <c r="W27" i="2"/>
  <c r="X27" i="2"/>
  <c r="X28" i="2"/>
  <c r="W29" i="2"/>
  <c r="X29" i="2"/>
  <c r="X30" i="2"/>
  <c r="X31" i="2"/>
  <c r="X32" i="2"/>
  <c r="X33" i="2"/>
  <c r="W34" i="2"/>
  <c r="X34" i="2"/>
  <c r="W35" i="2"/>
  <c r="X35" i="2"/>
  <c r="W36" i="2"/>
  <c r="X36" i="2"/>
  <c r="W37" i="2"/>
  <c r="X37" i="2"/>
  <c r="W38" i="2"/>
  <c r="X38" i="2"/>
  <c r="X39" i="2"/>
  <c r="X40" i="2"/>
  <c r="W41" i="2"/>
  <c r="X41" i="2"/>
  <c r="W42" i="2"/>
  <c r="X42" i="2"/>
  <c r="W43" i="2"/>
  <c r="X43" i="2"/>
  <c r="W44" i="2"/>
  <c r="X44" i="2"/>
  <c r="W45" i="2"/>
  <c r="X45" i="2"/>
  <c r="W46" i="2"/>
  <c r="X46" i="2"/>
  <c r="W47" i="2"/>
  <c r="X47" i="2"/>
  <c r="W48" i="2"/>
  <c r="X48" i="2"/>
  <c r="W49" i="2"/>
  <c r="X49" i="2"/>
  <c r="W50" i="2"/>
  <c r="X50" i="2"/>
  <c r="W51" i="2"/>
  <c r="X51" i="2"/>
  <c r="W52" i="2"/>
  <c r="X52" i="2"/>
  <c r="W53" i="2"/>
  <c r="X53" i="2"/>
  <c r="W54" i="2"/>
  <c r="X54" i="2"/>
  <c r="W55" i="2"/>
  <c r="X55" i="2"/>
  <c r="W56" i="2"/>
  <c r="X56" i="2"/>
  <c r="W57" i="2"/>
  <c r="X57" i="2"/>
  <c r="W58" i="2"/>
  <c r="X58" i="2"/>
  <c r="W59" i="2"/>
  <c r="X59" i="2"/>
  <c r="W60" i="2"/>
  <c r="X60" i="2"/>
  <c r="W61" i="2"/>
  <c r="X61" i="2"/>
  <c r="W62" i="2"/>
  <c r="X62" i="2"/>
  <c r="W63" i="2"/>
  <c r="X63" i="2"/>
  <c r="W64" i="2"/>
  <c r="X64" i="2"/>
  <c r="W65" i="2"/>
  <c r="X65" i="2"/>
  <c r="W66" i="2"/>
  <c r="X66" i="2"/>
  <c r="W67" i="2"/>
  <c r="X67" i="2"/>
  <c r="W68" i="2"/>
  <c r="X68" i="2"/>
  <c r="W69" i="2"/>
  <c r="X69" i="2"/>
  <c r="W70" i="2"/>
  <c r="X70" i="2"/>
  <c r="W71" i="2"/>
  <c r="X71" i="2"/>
  <c r="W72" i="2"/>
  <c r="X72" i="2"/>
  <c r="W73" i="2"/>
  <c r="X73" i="2"/>
  <c r="W74" i="2"/>
  <c r="X74" i="2"/>
  <c r="W75" i="2"/>
  <c r="X75" i="2"/>
  <c r="W76" i="2"/>
  <c r="X76" i="2"/>
  <c r="W77" i="2"/>
  <c r="X77" i="2"/>
  <c r="W78" i="2"/>
  <c r="X78" i="2"/>
  <c r="W79" i="2"/>
  <c r="X79" i="2"/>
  <c r="W80" i="2"/>
  <c r="X80" i="2"/>
  <c r="W81" i="2"/>
  <c r="X81" i="2"/>
  <c r="W82" i="2"/>
  <c r="X82" i="2"/>
  <c r="W83" i="2"/>
  <c r="X83" i="2"/>
  <c r="W84" i="2"/>
  <c r="X84" i="2"/>
  <c r="W85" i="2"/>
  <c r="X85" i="2"/>
  <c r="W86" i="2"/>
  <c r="X86" i="2"/>
  <c r="W87" i="2"/>
  <c r="X87" i="2"/>
  <c r="W88" i="2"/>
  <c r="X88" i="2"/>
  <c r="W89" i="2"/>
  <c r="X89" i="2"/>
  <c r="W90" i="2"/>
  <c r="X90" i="2"/>
  <c r="W91" i="2"/>
  <c r="X91" i="2"/>
  <c r="W92" i="2"/>
  <c r="X92" i="2"/>
  <c r="W93" i="2"/>
  <c r="X93" i="2"/>
  <c r="W94" i="2"/>
  <c r="X94" i="2"/>
  <c r="W95" i="2"/>
  <c r="X95" i="2"/>
  <c r="W96" i="2"/>
  <c r="X96" i="2"/>
  <c r="W97" i="2"/>
  <c r="X97" i="2"/>
  <c r="W98" i="2"/>
  <c r="X98" i="2"/>
  <c r="W99" i="2"/>
  <c r="X99" i="2"/>
  <c r="W100" i="2"/>
  <c r="X100" i="2"/>
  <c r="W101" i="2"/>
  <c r="X101" i="2"/>
  <c r="W102" i="2"/>
  <c r="X102" i="2"/>
  <c r="W103" i="2"/>
  <c r="X103" i="2"/>
  <c r="W104" i="2"/>
  <c r="X104" i="2"/>
  <c r="W105" i="2"/>
  <c r="X105" i="2"/>
  <c r="W106" i="2"/>
  <c r="X106" i="2"/>
  <c r="W107" i="2"/>
  <c r="X107" i="2"/>
  <c r="W108" i="2"/>
  <c r="X108" i="2"/>
  <c r="W109" i="2"/>
  <c r="X109" i="2"/>
  <c r="W110" i="2"/>
  <c r="X110" i="2"/>
  <c r="W111" i="2"/>
  <c r="X111" i="2"/>
  <c r="W112" i="2"/>
  <c r="X112" i="2"/>
  <c r="W113" i="2"/>
  <c r="X113" i="2"/>
  <c r="W114" i="2"/>
  <c r="X114" i="2"/>
  <c r="W115" i="2"/>
  <c r="X115" i="2"/>
  <c r="W116" i="2"/>
  <c r="X116" i="2"/>
  <c r="W117" i="2"/>
  <c r="X117" i="2"/>
  <c r="W118" i="2"/>
  <c r="X118" i="2"/>
  <c r="W119" i="2"/>
  <c r="X119" i="2"/>
  <c r="W120" i="2"/>
  <c r="X120" i="2"/>
  <c r="W121" i="2"/>
  <c r="X121" i="2"/>
  <c r="W122" i="2"/>
  <c r="X122" i="2"/>
  <c r="W123" i="2"/>
  <c r="X123" i="2"/>
  <c r="W124" i="2"/>
  <c r="X124" i="2"/>
  <c r="W125" i="2"/>
  <c r="X125" i="2"/>
  <c r="W126" i="2"/>
  <c r="X126" i="2"/>
  <c r="W127" i="2"/>
  <c r="X127" i="2"/>
  <c r="W128" i="2"/>
  <c r="X128" i="2"/>
  <c r="W129" i="2"/>
  <c r="X129" i="2"/>
  <c r="W130" i="2"/>
  <c r="X130" i="2"/>
  <c r="W131" i="2"/>
  <c r="X131" i="2"/>
  <c r="W132" i="2"/>
  <c r="X132" i="2"/>
  <c r="W133" i="2"/>
  <c r="X133" i="2"/>
  <c r="W134" i="2"/>
  <c r="X134" i="2"/>
  <c r="W135" i="2"/>
  <c r="X135" i="2"/>
  <c r="W136" i="2"/>
  <c r="X136" i="2"/>
  <c r="W137" i="2"/>
  <c r="X137" i="2"/>
  <c r="W138" i="2"/>
  <c r="X138" i="2"/>
  <c r="W139" i="2"/>
  <c r="X139" i="2"/>
  <c r="W140" i="2"/>
  <c r="X140" i="2"/>
  <c r="W141" i="2"/>
  <c r="X141" i="2"/>
  <c r="W142" i="2"/>
  <c r="X142" i="2"/>
  <c r="W143" i="2"/>
  <c r="X143" i="2"/>
  <c r="X9" i="2"/>
  <c r="W9" i="2"/>
  <c r="N40" i="2" l="1"/>
  <c r="W40" i="2" s="1"/>
  <c r="N39" i="2"/>
  <c r="W39" i="2" s="1"/>
  <c r="N33" i="2"/>
  <c r="W33" i="2" s="1"/>
  <c r="N32" i="2"/>
  <c r="W32" i="2" s="1"/>
  <c r="N31" i="2"/>
  <c r="W31" i="2" s="1"/>
  <c r="N30" i="2"/>
  <c r="W30" i="2" s="1"/>
  <c r="N28" i="2"/>
  <c r="W28" i="2" s="1"/>
  <c r="N21" i="2"/>
  <c r="W21" i="2" s="1"/>
  <c r="N19" i="2"/>
  <c r="W19" i="2" s="1"/>
  <c r="N17" i="2"/>
  <c r="W17" i="2" s="1"/>
  <c r="W145" i="2" l="1"/>
  <c r="W146" i="2" s="1"/>
  <c r="G143" i="2"/>
  <c r="G141" i="2"/>
  <c r="G140" i="2"/>
  <c r="H140" i="2" s="1"/>
  <c r="G133" i="2"/>
  <c r="G121" i="2"/>
  <c r="G104" i="2"/>
  <c r="G98" i="2"/>
  <c r="G91" i="2"/>
  <c r="G90" i="2"/>
  <c r="G89" i="2"/>
  <c r="G88" i="2"/>
  <c r="G87" i="2"/>
  <c r="G86" i="2"/>
  <c r="G78" i="2"/>
  <c r="G76" i="2"/>
  <c r="G74" i="2"/>
  <c r="G73" i="2"/>
  <c r="G72" i="2"/>
  <c r="G70" i="2"/>
  <c r="G68" i="2"/>
  <c r="G66" i="2"/>
  <c r="G58" i="2"/>
  <c r="G57" i="2"/>
  <c r="G56" i="2"/>
  <c r="G55" i="2"/>
  <c r="G54" i="2"/>
  <c r="G53" i="2"/>
  <c r="G51" i="2"/>
  <c r="G50" i="2"/>
  <c r="G49" i="2"/>
  <c r="G41" i="2"/>
  <c r="G40" i="2"/>
  <c r="H40" i="2" s="1"/>
  <c r="G39" i="2"/>
  <c r="G33" i="2"/>
  <c r="G32" i="2"/>
  <c r="G31" i="2"/>
  <c r="G30" i="2"/>
  <c r="G28" i="2"/>
  <c r="G21" i="2"/>
  <c r="G19" i="2"/>
  <c r="G17" i="2"/>
  <c r="G10" i="2"/>
  <c r="G9" i="2"/>
  <c r="T143" i="2"/>
  <c r="U143" i="2" s="1"/>
  <c r="O143" i="2"/>
  <c r="P143" i="2" s="1"/>
  <c r="E143" i="2" s="1"/>
  <c r="I143" i="2" s="1"/>
  <c r="T141" i="2"/>
  <c r="U141" i="2" s="1"/>
  <c r="O141" i="2"/>
  <c r="P141" i="2" s="1"/>
  <c r="E141" i="2" s="1"/>
  <c r="F141" i="2" s="1"/>
  <c r="T140" i="2"/>
  <c r="U140" i="2" s="1"/>
  <c r="O140" i="2"/>
  <c r="P140" i="2" s="1"/>
  <c r="E140" i="2" s="1"/>
  <c r="T133" i="2"/>
  <c r="U133" i="2" s="1"/>
  <c r="O133" i="2"/>
  <c r="P133" i="2" s="1"/>
  <c r="E133" i="2" s="1"/>
  <c r="T121" i="2"/>
  <c r="U121" i="2" s="1"/>
  <c r="O121" i="2"/>
  <c r="P121" i="2" s="1"/>
  <c r="E121" i="2" s="1"/>
  <c r="F121" i="2" s="1"/>
  <c r="J121" i="2" s="1"/>
  <c r="T104" i="2"/>
  <c r="U104" i="2" s="1"/>
  <c r="O104" i="2"/>
  <c r="P104" i="2" s="1"/>
  <c r="E104" i="2" s="1"/>
  <c r="I104" i="2" s="1"/>
  <c r="T98" i="2"/>
  <c r="U98" i="2" s="1"/>
  <c r="O98" i="2"/>
  <c r="P98" i="2" s="1"/>
  <c r="E98" i="2" s="1"/>
  <c r="T91" i="2"/>
  <c r="U91" i="2" s="1"/>
  <c r="O91" i="2"/>
  <c r="P91" i="2" s="1"/>
  <c r="E91" i="2" s="1"/>
  <c r="T90" i="2"/>
  <c r="U90" i="2" s="1"/>
  <c r="O90" i="2"/>
  <c r="P90" i="2" s="1"/>
  <c r="E90" i="2" s="1"/>
  <c r="F90" i="2" s="1"/>
  <c r="T89" i="2"/>
  <c r="U89" i="2" s="1"/>
  <c r="O89" i="2"/>
  <c r="P89" i="2" s="1"/>
  <c r="E89" i="2" s="1"/>
  <c r="T88" i="2"/>
  <c r="U88" i="2" s="1"/>
  <c r="O88" i="2"/>
  <c r="P88" i="2" s="1"/>
  <c r="E88" i="2" s="1"/>
  <c r="T87" i="2"/>
  <c r="U87" i="2" s="1"/>
  <c r="O87" i="2"/>
  <c r="P87" i="2" s="1"/>
  <c r="E87" i="2" s="1"/>
  <c r="T86" i="2"/>
  <c r="U86" i="2" s="1"/>
  <c r="O86" i="2"/>
  <c r="P86" i="2" s="1"/>
  <c r="E86" i="2" s="1"/>
  <c r="T78" i="2"/>
  <c r="U78" i="2" s="1"/>
  <c r="O78" i="2"/>
  <c r="P78" i="2" s="1"/>
  <c r="E78" i="2" s="1"/>
  <c r="T76" i="2"/>
  <c r="U76" i="2" s="1"/>
  <c r="O76" i="2"/>
  <c r="P76" i="2" s="1"/>
  <c r="E76" i="2" s="1"/>
  <c r="T74" i="2"/>
  <c r="U74" i="2" s="1"/>
  <c r="O74" i="2"/>
  <c r="P74" i="2" s="1"/>
  <c r="E74" i="2" s="1"/>
  <c r="F74" i="2" s="1"/>
  <c r="T73" i="2"/>
  <c r="U73" i="2" s="1"/>
  <c r="O73" i="2"/>
  <c r="P73" i="2" s="1"/>
  <c r="E73" i="2" s="1"/>
  <c r="F73" i="2" s="1"/>
  <c r="T72" i="2"/>
  <c r="U72" i="2" s="1"/>
  <c r="O72" i="2"/>
  <c r="P72" i="2" s="1"/>
  <c r="E72" i="2" s="1"/>
  <c r="F72" i="2" s="1"/>
  <c r="T70" i="2"/>
  <c r="U70" i="2" s="1"/>
  <c r="O70" i="2"/>
  <c r="P70" i="2" s="1"/>
  <c r="E70" i="2" s="1"/>
  <c r="T68" i="2"/>
  <c r="U68" i="2" s="1"/>
  <c r="O68" i="2"/>
  <c r="P68" i="2" s="1"/>
  <c r="E68" i="2" s="1"/>
  <c r="T66" i="2"/>
  <c r="U66" i="2" s="1"/>
  <c r="O66" i="2"/>
  <c r="P66" i="2" s="1"/>
  <c r="E66" i="2" s="1"/>
  <c r="T58" i="2"/>
  <c r="U58" i="2" s="1"/>
  <c r="O58" i="2"/>
  <c r="P58" i="2" s="1"/>
  <c r="E58" i="2" s="1"/>
  <c r="F58" i="2" s="1"/>
  <c r="T57" i="2"/>
  <c r="U57" i="2" s="1"/>
  <c r="O57" i="2"/>
  <c r="P57" i="2" s="1"/>
  <c r="E57" i="2" s="1"/>
  <c r="T56" i="2"/>
  <c r="U56" i="2" s="1"/>
  <c r="O56" i="2"/>
  <c r="P56" i="2" s="1"/>
  <c r="E56" i="2" s="1"/>
  <c r="F56" i="2" s="1"/>
  <c r="T55" i="2"/>
  <c r="U55" i="2" s="1"/>
  <c r="O55" i="2"/>
  <c r="P55" i="2" s="1"/>
  <c r="E55" i="2" s="1"/>
  <c r="T54" i="2"/>
  <c r="U54" i="2" s="1"/>
  <c r="O54" i="2"/>
  <c r="P54" i="2" s="1"/>
  <c r="E54" i="2" s="1"/>
  <c r="I54" i="2" s="1"/>
  <c r="T53" i="2"/>
  <c r="U53" i="2" s="1"/>
  <c r="O53" i="2"/>
  <c r="P53" i="2" s="1"/>
  <c r="E53" i="2" s="1"/>
  <c r="T51" i="2"/>
  <c r="U51" i="2" s="1"/>
  <c r="O51" i="2"/>
  <c r="P51" i="2" s="1"/>
  <c r="E51" i="2" s="1"/>
  <c r="F51" i="2" s="1"/>
  <c r="T50" i="2"/>
  <c r="U50" i="2" s="1"/>
  <c r="O50" i="2"/>
  <c r="P50" i="2" s="1"/>
  <c r="E50" i="2" s="1"/>
  <c r="T49" i="2"/>
  <c r="U49" i="2" s="1"/>
  <c r="O49" i="2"/>
  <c r="P49" i="2" s="1"/>
  <c r="E49" i="2" s="1"/>
  <c r="T41" i="2"/>
  <c r="U41" i="2" s="1"/>
  <c r="O41" i="2"/>
  <c r="P41" i="2" s="1"/>
  <c r="E41" i="2" s="1"/>
  <c r="T40" i="2"/>
  <c r="U40" i="2" s="1"/>
  <c r="O40" i="2"/>
  <c r="P40" i="2" s="1"/>
  <c r="E40" i="2" s="1"/>
  <c r="F40" i="2" s="1"/>
  <c r="T39" i="2"/>
  <c r="U39" i="2" s="1"/>
  <c r="O39" i="2"/>
  <c r="P39" i="2" s="1"/>
  <c r="E39" i="2" s="1"/>
  <c r="T33" i="2"/>
  <c r="U33" i="2" s="1"/>
  <c r="O33" i="2"/>
  <c r="P33" i="2" s="1"/>
  <c r="E33" i="2" s="1"/>
  <c r="I33" i="2" s="1"/>
  <c r="T32" i="2"/>
  <c r="U32" i="2" s="1"/>
  <c r="P32" i="2"/>
  <c r="E32" i="2" s="1"/>
  <c r="T31" i="2"/>
  <c r="U31" i="2" s="1"/>
  <c r="P31" i="2"/>
  <c r="E31" i="2" s="1"/>
  <c r="T30" i="2"/>
  <c r="U30" i="2" s="1"/>
  <c r="P30" i="2"/>
  <c r="E30" i="2" s="1"/>
  <c r="T28" i="2"/>
  <c r="U28" i="2" s="1"/>
  <c r="O28" i="2"/>
  <c r="P28" i="2" s="1"/>
  <c r="E28" i="2" s="1"/>
  <c r="T21" i="2"/>
  <c r="U21" i="2" s="1"/>
  <c r="O21" i="2"/>
  <c r="P21" i="2" s="1"/>
  <c r="E21" i="2" s="1"/>
  <c r="T19" i="2"/>
  <c r="U19" i="2" s="1"/>
  <c r="O19" i="2"/>
  <c r="P19" i="2" s="1"/>
  <c r="E19" i="2" s="1"/>
  <c r="F19" i="2" s="1"/>
  <c r="T17" i="2"/>
  <c r="U17" i="2" s="1"/>
  <c r="O17" i="2"/>
  <c r="P17" i="2" s="1"/>
  <c r="E17" i="2" s="1"/>
  <c r="I17" i="2" s="1"/>
  <c r="T10" i="2"/>
  <c r="U10" i="2" s="1"/>
  <c r="O10" i="2"/>
  <c r="P10" i="2" s="1"/>
  <c r="E10" i="2" s="1"/>
  <c r="I10" i="2" s="1"/>
  <c r="T9" i="2"/>
  <c r="U9" i="2" s="1"/>
  <c r="O9" i="2"/>
  <c r="P9" i="2" s="1"/>
  <c r="E9" i="2" s="1"/>
  <c r="F9" i="2" s="1"/>
  <c r="C9" i="3"/>
  <c r="B3" i="3"/>
  <c r="J146" i="2"/>
  <c r="I146" i="2"/>
  <c r="J144" i="2"/>
  <c r="I144" i="2"/>
  <c r="H143" i="2"/>
  <c r="H141" i="2"/>
  <c r="I138" i="2"/>
  <c r="H138" i="2"/>
  <c r="F138" i="2"/>
  <c r="J138" i="2" s="1"/>
  <c r="I135" i="2"/>
  <c r="H135" i="2"/>
  <c r="F135" i="2"/>
  <c r="H133" i="2"/>
  <c r="I132" i="2"/>
  <c r="H132" i="2"/>
  <c r="F132" i="2"/>
  <c r="I130" i="2"/>
  <c r="H130" i="2"/>
  <c r="F130" i="2"/>
  <c r="I128" i="2"/>
  <c r="H128" i="2"/>
  <c r="F128" i="2"/>
  <c r="I126" i="2"/>
  <c r="H126" i="2"/>
  <c r="F126" i="2"/>
  <c r="J126" i="2" s="1"/>
  <c r="I125" i="2"/>
  <c r="H125" i="2"/>
  <c r="F125" i="2"/>
  <c r="I124" i="2"/>
  <c r="H124" i="2"/>
  <c r="F124" i="2"/>
  <c r="J124" i="2" s="1"/>
  <c r="I123" i="2"/>
  <c r="H123" i="2"/>
  <c r="F123" i="2"/>
  <c r="H121" i="2"/>
  <c r="I119" i="2"/>
  <c r="H119" i="2"/>
  <c r="F119" i="2"/>
  <c r="I117" i="2"/>
  <c r="H117" i="2"/>
  <c r="F117" i="2"/>
  <c r="I116" i="2"/>
  <c r="H116" i="2"/>
  <c r="F116" i="2"/>
  <c r="I115" i="2"/>
  <c r="H115" i="2"/>
  <c r="F115" i="2"/>
  <c r="I114" i="2"/>
  <c r="H114" i="2"/>
  <c r="F114" i="2"/>
  <c r="I112" i="2"/>
  <c r="H112" i="2"/>
  <c r="F112" i="2"/>
  <c r="J112" i="2" s="1"/>
  <c r="I110" i="2"/>
  <c r="H110" i="2"/>
  <c r="F110" i="2"/>
  <c r="J108" i="2"/>
  <c r="I108" i="2"/>
  <c r="J106" i="2"/>
  <c r="I106" i="2"/>
  <c r="J103" i="2"/>
  <c r="I103" i="2"/>
  <c r="J101" i="2"/>
  <c r="I101" i="2"/>
  <c r="J99" i="2"/>
  <c r="I99" i="2"/>
  <c r="H98" i="2"/>
  <c r="J96" i="2"/>
  <c r="I96" i="2"/>
  <c r="J94" i="2"/>
  <c r="I94" i="2"/>
  <c r="J92" i="2"/>
  <c r="I92" i="2"/>
  <c r="H91" i="2"/>
  <c r="H89" i="2"/>
  <c r="H88" i="2"/>
  <c r="H87" i="2"/>
  <c r="H86" i="2"/>
  <c r="I85" i="2"/>
  <c r="H85" i="2"/>
  <c r="F85" i="2"/>
  <c r="I84" i="2"/>
  <c r="H84" i="2"/>
  <c r="F84" i="2"/>
  <c r="J83" i="2"/>
  <c r="I83" i="2"/>
  <c r="J81" i="2"/>
  <c r="I81" i="2"/>
  <c r="J79" i="2"/>
  <c r="I79" i="2"/>
  <c r="H78" i="2"/>
  <c r="H76" i="2"/>
  <c r="H73" i="2"/>
  <c r="H72" i="2"/>
  <c r="H70" i="2"/>
  <c r="H68" i="2"/>
  <c r="H66" i="2"/>
  <c r="J63" i="2"/>
  <c r="I63" i="2"/>
  <c r="J61" i="2"/>
  <c r="I61" i="2"/>
  <c r="J59" i="2"/>
  <c r="I59" i="2"/>
  <c r="H58" i="2"/>
  <c r="H57" i="2"/>
  <c r="H55" i="2"/>
  <c r="H54" i="2"/>
  <c r="H53" i="2"/>
  <c r="H51" i="2"/>
  <c r="H50" i="2"/>
  <c r="H49" i="2"/>
  <c r="J46" i="2"/>
  <c r="I46" i="2"/>
  <c r="J44" i="2"/>
  <c r="I44" i="2"/>
  <c r="J42" i="2"/>
  <c r="I42" i="2"/>
  <c r="H41" i="2"/>
  <c r="H39" i="2"/>
  <c r="J38" i="2"/>
  <c r="I38" i="2"/>
  <c r="J36" i="2"/>
  <c r="I36" i="2"/>
  <c r="J34" i="2"/>
  <c r="I34" i="2"/>
  <c r="H33" i="2"/>
  <c r="H32" i="2"/>
  <c r="H31" i="2"/>
  <c r="H30" i="2"/>
  <c r="H28" i="2"/>
  <c r="J26" i="2"/>
  <c r="I26" i="2"/>
  <c r="J24" i="2"/>
  <c r="I24" i="2"/>
  <c r="J22" i="2"/>
  <c r="I22" i="2"/>
  <c r="H21" i="2"/>
  <c r="H19" i="2"/>
  <c r="H17" i="2"/>
  <c r="J15" i="2"/>
  <c r="I15" i="2"/>
  <c r="J13" i="2"/>
  <c r="I13" i="2"/>
  <c r="J11" i="2"/>
  <c r="I11" i="2"/>
  <c r="H10" i="2"/>
  <c r="J8" i="2"/>
  <c r="I8" i="2"/>
  <c r="J6" i="2"/>
  <c r="I6" i="2"/>
  <c r="J4" i="2"/>
  <c r="I4" i="2"/>
  <c r="J2" i="2"/>
  <c r="I2" i="2"/>
  <c r="F140" i="2" l="1"/>
  <c r="I140" i="2"/>
  <c r="F41" i="2"/>
  <c r="I41" i="2"/>
  <c r="F57" i="2"/>
  <c r="J57" i="2" s="1"/>
  <c r="I57" i="2"/>
  <c r="F78" i="2"/>
  <c r="J78" i="2" s="1"/>
  <c r="I78" i="2"/>
  <c r="F88" i="2"/>
  <c r="J88" i="2" s="1"/>
  <c r="I88" i="2"/>
  <c r="F55" i="2"/>
  <c r="J55" i="2" s="1"/>
  <c r="I55" i="2"/>
  <c r="F86" i="2"/>
  <c r="J86" i="2" s="1"/>
  <c r="I86" i="2"/>
  <c r="F91" i="2"/>
  <c r="J91" i="2" s="1"/>
  <c r="I91" i="2"/>
  <c r="F49" i="2"/>
  <c r="J49" i="2" s="1"/>
  <c r="I49" i="2"/>
  <c r="F89" i="2"/>
  <c r="J89" i="2" s="1"/>
  <c r="I89" i="2"/>
  <c r="F53" i="2"/>
  <c r="J53" i="2" s="1"/>
  <c r="I53" i="2"/>
  <c r="F98" i="2"/>
  <c r="F100" i="2" s="1"/>
  <c r="B36" i="3" s="1"/>
  <c r="I98" i="2"/>
  <c r="F76" i="2"/>
  <c r="J76" i="2" s="1"/>
  <c r="I76" i="2"/>
  <c r="I87" i="2"/>
  <c r="F87" i="2"/>
  <c r="J87" i="2" s="1"/>
  <c r="I90" i="2"/>
  <c r="I9" i="2"/>
  <c r="I56" i="2"/>
  <c r="I58" i="2"/>
  <c r="F143" i="2"/>
  <c r="I141" i="2"/>
  <c r="I133" i="2"/>
  <c r="F133" i="2"/>
  <c r="J133" i="2" s="1"/>
  <c r="I121" i="2"/>
  <c r="I74" i="2"/>
  <c r="I73" i="2"/>
  <c r="F70" i="2"/>
  <c r="J70" i="2" s="1"/>
  <c r="I70" i="2"/>
  <c r="F68" i="2"/>
  <c r="J68" i="2" s="1"/>
  <c r="I68" i="2"/>
  <c r="I66" i="2"/>
  <c r="F66" i="2"/>
  <c r="J66" i="2" s="1"/>
  <c r="I50" i="2"/>
  <c r="F50" i="2"/>
  <c r="J50" i="2" s="1"/>
  <c r="I51" i="2"/>
  <c r="J40" i="2"/>
  <c r="F39" i="2"/>
  <c r="F43" i="2" s="1"/>
  <c r="B32" i="3" s="1"/>
  <c r="I39" i="2"/>
  <c r="F32" i="2"/>
  <c r="J32" i="2" s="1"/>
  <c r="I32" i="2"/>
  <c r="F31" i="2"/>
  <c r="J31" i="2" s="1"/>
  <c r="I31" i="2"/>
  <c r="I30" i="2"/>
  <c r="F30" i="2"/>
  <c r="J30" i="2" s="1"/>
  <c r="F28" i="2"/>
  <c r="J28" i="2" s="1"/>
  <c r="I28" i="2"/>
  <c r="I21" i="2"/>
  <c r="F21" i="2"/>
  <c r="J21" i="2" s="1"/>
  <c r="J19" i="2"/>
  <c r="I19" i="2"/>
  <c r="F17" i="2"/>
  <c r="H90" i="2"/>
  <c r="I72" i="2"/>
  <c r="H74" i="2"/>
  <c r="J72" i="2"/>
  <c r="I40" i="2"/>
  <c r="F10" i="2"/>
  <c r="J10" i="2" s="1"/>
  <c r="F33" i="2"/>
  <c r="J33" i="2" s="1"/>
  <c r="F54" i="2"/>
  <c r="J54" i="2" s="1"/>
  <c r="H56" i="2"/>
  <c r="H9" i="2"/>
  <c r="H12" i="2"/>
  <c r="C29" i="3" s="1"/>
  <c r="J117" i="2"/>
  <c r="H145" i="2"/>
  <c r="C37" i="3" s="1"/>
  <c r="J73" i="2"/>
  <c r="J84" i="2"/>
  <c r="B4" i="3"/>
  <c r="B7" i="3" s="1"/>
  <c r="B12" i="3" s="1"/>
  <c r="C4" i="3"/>
  <c r="H105" i="2"/>
  <c r="C6" i="3" s="1"/>
  <c r="H60" i="2"/>
  <c r="C33" i="3" s="1"/>
  <c r="J74" i="2"/>
  <c r="J90" i="2"/>
  <c r="J141" i="2"/>
  <c r="H43" i="2"/>
  <c r="C32" i="3" s="1"/>
  <c r="J130" i="2"/>
  <c r="J41" i="2"/>
  <c r="H35" i="2"/>
  <c r="C31" i="3" s="1"/>
  <c r="H93" i="2"/>
  <c r="C35" i="3" s="1"/>
  <c r="J123" i="2"/>
  <c r="H23" i="2"/>
  <c r="C30" i="3" s="1"/>
  <c r="J51" i="2"/>
  <c r="J56" i="2"/>
  <c r="J58" i="2"/>
  <c r="H80" i="2"/>
  <c r="C34" i="3" s="1"/>
  <c r="J85" i="2"/>
  <c r="H100" i="2"/>
  <c r="C36" i="3" s="1"/>
  <c r="J110" i="2"/>
  <c r="J114" i="2"/>
  <c r="J116" i="2"/>
  <c r="J119" i="2"/>
  <c r="J125" i="2"/>
  <c r="J128" i="2"/>
  <c r="J132" i="2"/>
  <c r="J135" i="2"/>
  <c r="J140" i="2"/>
  <c r="J143" i="2"/>
  <c r="H102" i="2"/>
  <c r="C28" i="3" s="1"/>
  <c r="J115" i="2"/>
  <c r="J9" i="2"/>
  <c r="J39" i="2" l="1"/>
  <c r="J43" i="2" s="1"/>
  <c r="F12" i="2"/>
  <c r="B29" i="3" s="1"/>
  <c r="F80" i="2"/>
  <c r="B34" i="3" s="1"/>
  <c r="J98" i="2"/>
  <c r="J100" i="2" s="1"/>
  <c r="F93" i="2"/>
  <c r="B35" i="3" s="1"/>
  <c r="F60" i="2"/>
  <c r="B33" i="3" s="1"/>
  <c r="F23" i="2"/>
  <c r="B30" i="3" s="1"/>
  <c r="F35" i="2"/>
  <c r="B31" i="3" s="1"/>
  <c r="F145" i="2"/>
  <c r="B37" i="3" s="1"/>
  <c r="J35" i="2"/>
  <c r="F102" i="2"/>
  <c r="M1" i="2"/>
  <c r="J17" i="2"/>
  <c r="J23" i="2" s="1"/>
  <c r="J145" i="2"/>
  <c r="J93" i="2"/>
  <c r="J80" i="2"/>
  <c r="J60" i="2"/>
  <c r="C27" i="3"/>
  <c r="C10" i="3"/>
  <c r="C11" i="3" s="1"/>
  <c r="J12" i="2"/>
  <c r="B28" i="3" l="1"/>
  <c r="F104" i="2"/>
  <c r="F105" i="2" s="1"/>
  <c r="J102" i="2"/>
  <c r="J104" i="2" l="1"/>
  <c r="J105" i="2" s="1"/>
  <c r="C5" i="3"/>
  <c r="B27" i="3"/>
  <c r="C8" i="3" l="1"/>
  <c r="C7" i="3"/>
  <c r="C12" i="3" l="1"/>
  <c r="C15" i="3"/>
  <c r="C19" i="3" l="1"/>
  <c r="C20" i="3"/>
  <c r="C14" i="3"/>
  <c r="C13" i="3"/>
  <c r="C16" i="3" l="1"/>
  <c r="C22" i="3" s="1"/>
  <c r="C21" i="3"/>
  <c r="C24" i="3" l="1"/>
  <c r="X147" i="2" l="1"/>
  <c r="W147" i="2"/>
</calcChain>
</file>

<file path=xl/sharedStrings.xml><?xml version="1.0" encoding="utf-8"?>
<sst xmlns="http://schemas.openxmlformats.org/spreadsheetml/2006/main" count="417" uniqueCount="216">
  <si>
    <t>Název</t>
  </si>
  <si>
    <t>Hodnota</t>
  </si>
  <si>
    <t>Nadpis rekapitulace</t>
  </si>
  <si>
    <t>Seznam prací a dodávek elektrotechnických zařízení</t>
  </si>
  <si>
    <t>Akce</t>
  </si>
  <si>
    <t>Projekt</t>
  </si>
  <si>
    <t>Investor</t>
  </si>
  <si>
    <t>DEKINVEST, investiční fond s proměnným základním kapitálem, a.s. Tiskařská 257/10, 108 00 Praha 10</t>
  </si>
  <si>
    <t>Z. č.</t>
  </si>
  <si>
    <t>A. č.</t>
  </si>
  <si>
    <t>Smlouva</t>
  </si>
  <si>
    <t/>
  </si>
  <si>
    <t>Vypracoval</t>
  </si>
  <si>
    <t>Martin Zeman</t>
  </si>
  <si>
    <t>Kontroloval</t>
  </si>
  <si>
    <t>Datum</t>
  </si>
  <si>
    <t>Zpracovatel</t>
  </si>
  <si>
    <t>Martin Zeman, Zašovská 256, Valašské Meziříčí</t>
  </si>
  <si>
    <t>CÚ</t>
  </si>
  <si>
    <t>Poznámka</t>
  </si>
  <si>
    <t>Uvedené ceny jsou v Kč a nezahrnují DPH, pokud to není uvedeno.</t>
  </si>
  <si>
    <t>Doprava dodávek  (3,6) %</t>
  </si>
  <si>
    <t>0,00</t>
  </si>
  <si>
    <t>Přesun dodávek  (1) %</t>
  </si>
  <si>
    <t>1,00</t>
  </si>
  <si>
    <t>PPV  (1 nebo 6) %</t>
  </si>
  <si>
    <t>PPV zemních prací, nátěrů  (1) %</t>
  </si>
  <si>
    <t>Dodavat. dokumentace  (1 - 1,5) %</t>
  </si>
  <si>
    <t>Rizika a pojištění  (1 - 1,5) %</t>
  </si>
  <si>
    <t>Opravy v záruce  (5 - 7) %</t>
  </si>
  <si>
    <t>GZS  (3,25 nebo 8,4) %</t>
  </si>
  <si>
    <t>3,25</t>
  </si>
  <si>
    <t>Provozní vlivy  %</t>
  </si>
  <si>
    <t>Kompletační činnost - a</t>
  </si>
  <si>
    <t>Kompletační činnost - b</t>
  </si>
  <si>
    <t>0,952842</t>
  </si>
  <si>
    <t>Kompletační činnost - k1</t>
  </si>
  <si>
    <t>Kompletační činnost - k2</t>
  </si>
  <si>
    <t>Roční nárůst cen 1   %</t>
  </si>
  <si>
    <t>Roční nárůst cen 2   %</t>
  </si>
  <si>
    <t>1. sazba DPH %
- i pro přirážky rekapitulace</t>
  </si>
  <si>
    <t>21</t>
  </si>
  <si>
    <t>2. sazba DPH %</t>
  </si>
  <si>
    <t>15</t>
  </si>
  <si>
    <t>Procento PM % 1</t>
  </si>
  <si>
    <t>Procento PM % 2</t>
  </si>
  <si>
    <t>Mj</t>
  </si>
  <si>
    <t>Počet</t>
  </si>
  <si>
    <t>Materiál</t>
  </si>
  <si>
    <t>Materiál celkem</t>
  </si>
  <si>
    <t>Montáž</t>
  </si>
  <si>
    <t>Montáž celkem</t>
  </si>
  <si>
    <t>Cena</t>
  </si>
  <si>
    <t>Cena celkem</t>
  </si>
  <si>
    <t>Elektromontáže</t>
  </si>
  <si>
    <t>D.2.5.1 - SO31 Areálové rozvody NN a VO</t>
  </si>
  <si>
    <t>CHA1  (X1) -THOME Lighting s.r.o. MOD0007_280W_840_60° MODY 42000lm 280W IP66 4K 60°</t>
  </si>
  <si>
    <t>ks</t>
  </si>
  <si>
    <t xml:space="preserve"> SL002 Poplatek za recyklaci svítidla</t>
  </si>
  <si>
    <t>Svítidla - celkem</t>
  </si>
  <si>
    <t>Sloupy VO</t>
  </si>
  <si>
    <t>OSVĚTLOVACÍ STOŽÁR BEZPATICOVÝ</t>
  </si>
  <si>
    <t>JBUD14 14m, stožár silniční, bezpaticový, s přírubou</t>
  </si>
  <si>
    <t>VÝLOŽNÍK</t>
  </si>
  <si>
    <t>Držák reflektorů, typ TR2-1500-PL (AMAKO) pro dva reflektory</t>
  </si>
  <si>
    <t>STOŽÁROVÁ VÝZBROJ</t>
  </si>
  <si>
    <t>EKM 2035 2xE27, 2x Svorkovnice 4x16</t>
  </si>
  <si>
    <t>Sloupy VO - celkem</t>
  </si>
  <si>
    <t>Kabely</t>
  </si>
  <si>
    <t>KABEL SILOVÝ,IZOLACE PVC,1kV</t>
  </si>
  <si>
    <t>AYKY-J 3x120+70</t>
  </si>
  <si>
    <t>m</t>
  </si>
  <si>
    <t>KABEL SILOVÝ,IZOLACE PVC</t>
  </si>
  <si>
    <t>CYKY-J 3x1.5</t>
  </si>
  <si>
    <t>CYKY-J 4x10</t>
  </si>
  <si>
    <t>CYKY-J 5x10</t>
  </si>
  <si>
    <t>CYKY-J 3x4</t>
  </si>
  <si>
    <t>Kabely - celkem</t>
  </si>
  <si>
    <t>Kabelové trasy, nosné konstrukce</t>
  </si>
  <si>
    <t>KF 09110 TRUBKA KOPOFLEX 110</t>
  </si>
  <si>
    <t>KF 09160 TRUBKA KOPOFLEX 160</t>
  </si>
  <si>
    <t xml:space="preserve"> Zatažení kabelu do trubky do váhy do 9 kg/m</t>
  </si>
  <si>
    <t>Kabelové trasy, nosné konstrukce - celkem</t>
  </si>
  <si>
    <t>Ukončení vodičů</t>
  </si>
  <si>
    <t>UKONČENÍ KABELŮ SMRŠŤOVACÍ</t>
  </si>
  <si>
    <t>ZÁKLOPKOU DO</t>
  </si>
  <si>
    <t xml:space="preserve"> 5x6   mm2</t>
  </si>
  <si>
    <t xml:space="preserve"> 4x10  mm2</t>
  </si>
  <si>
    <t xml:space="preserve"> 4x120 mm2</t>
  </si>
  <si>
    <t>UKONČENÍ  VODIČŮ V ROZVADĚČÍCH</t>
  </si>
  <si>
    <t xml:space="preserve"> Do   2,5 mm2</t>
  </si>
  <si>
    <t xml:space="preserve"> Do   4 mm2</t>
  </si>
  <si>
    <t xml:space="preserve"> Do  10   mm2</t>
  </si>
  <si>
    <t xml:space="preserve"> Do  16   mm2</t>
  </si>
  <si>
    <t xml:space="preserve"> Do  70   mm2</t>
  </si>
  <si>
    <t xml:space="preserve"> Do 120   mm2</t>
  </si>
  <si>
    <t>Ukončení vodičů - celkem</t>
  </si>
  <si>
    <t>Uzemnění</t>
  </si>
  <si>
    <t>ZINKOVANÉ PROVEDENÍ</t>
  </si>
  <si>
    <t>OCELOVÝ DRÁT POZINKOVANÝ</t>
  </si>
  <si>
    <t>Drát 10 drát o 10mm(0,62kg/m)</t>
  </si>
  <si>
    <t>OCELOVÝ PÁSEK POZINKOVANÝ</t>
  </si>
  <si>
    <t>Páska 30x4 páska 30x4 (0,95 kg/m)</t>
  </si>
  <si>
    <t xml:space="preserve"> Nátěr svodového vodiče, asfalt</t>
  </si>
  <si>
    <t>SVORKA HROMOSVODNÍ,UZEMŇOVACÍ</t>
  </si>
  <si>
    <t>SS spojovací</t>
  </si>
  <si>
    <t>SP připojovací</t>
  </si>
  <si>
    <t>Štítek uzemnění</t>
  </si>
  <si>
    <t>MONTÁŽNÍ PRÁCE</t>
  </si>
  <si>
    <t xml:space="preserve"> tvarování mont.dílu</t>
  </si>
  <si>
    <t>Měření zemních odporů, zemnící sítě délky pásu</t>
  </si>
  <si>
    <t xml:space="preserve"> přes 500 do 1000m</t>
  </si>
  <si>
    <t>Uzemnění - celkem</t>
  </si>
  <si>
    <t>Ostatní</t>
  </si>
  <si>
    <t>Vytýčení trati, Venkovní vedení nn v přehledném terénu</t>
  </si>
  <si>
    <t>km</t>
  </si>
  <si>
    <t>Geodetická činnost</t>
  </si>
  <si>
    <t>tkc</t>
  </si>
  <si>
    <t>Pracovní plošina 14m, osazení stožáru - 3ks, osazení a nastavení svítidel,</t>
  </si>
  <si>
    <t>sada</t>
  </si>
  <si>
    <t>Cena dopravy pracovní plošiny (cena bude upřesněna montážní firmou)</t>
  </si>
  <si>
    <t>Nafázování NN kabelu</t>
  </si>
  <si>
    <t>Příprava ke komplexní zkoušce</t>
  </si>
  <si>
    <t>hod</t>
  </si>
  <si>
    <t>Zkušební provoz</t>
  </si>
  <si>
    <t>Zabezpečení pracoviště</t>
  </si>
  <si>
    <t>Ostatní - celkem</t>
  </si>
  <si>
    <t>Revize</t>
  </si>
  <si>
    <t>Zkoušky a prohlídky elektrických rozvodů a zařízení celková prohlídka a vyhotovení revizní zprávy pro objem montážních prací</t>
  </si>
  <si>
    <t xml:space="preserve"> přes 100 do 500 tis.Kč</t>
  </si>
  <si>
    <t>Revize - celkem</t>
  </si>
  <si>
    <t>D.2.5.1 - SO31 Areálové rozvody NN a VO - celkem</t>
  </si>
  <si>
    <t>Podružný materiál</t>
  </si>
  <si>
    <t>Elektromontáže - celkem</t>
  </si>
  <si>
    <t>Zemní práce</t>
  </si>
  <si>
    <t>SEJMUTÍ ORNICE</t>
  </si>
  <si>
    <t xml:space="preserve"> Vrstva do 15cm,zemina tř.2</t>
  </si>
  <si>
    <t>m3</t>
  </si>
  <si>
    <t>SEJMUTÍ DRNU</t>
  </si>
  <si>
    <t xml:space="preserve"> Nářez drnu,naložení,odvoz</t>
  </si>
  <si>
    <t>m2</t>
  </si>
  <si>
    <t>HLOUBENÍ KABELOVÉ RÝHY</t>
  </si>
  <si>
    <t xml:space="preserve"> Zemina třídy 3, šíře 350mm,hloubka 800mm</t>
  </si>
  <si>
    <t xml:space="preserve"> Zemina třídy 3, šíře 500mm,hloubka 1000mm</t>
  </si>
  <si>
    <t xml:space="preserve"> Zemina třídy 3, šíře 600mm,hloubka 800mm</t>
  </si>
  <si>
    <t xml:space="preserve"> Zemina třídy 3, šíře 600mm,hloubka 1000mm</t>
  </si>
  <si>
    <t>ZŘÍZENÍ KABELOVÉHO LOŽE</t>
  </si>
  <si>
    <t xml:space="preserve"> Z kopaného písku, bez zakrytí, šíře do 65cm,tloušťka 10cm</t>
  </si>
  <si>
    <t>FOLIE VÝSTRAŽNÁ Z PVC</t>
  </si>
  <si>
    <t xml:space="preserve"> Do šířky 20cm</t>
  </si>
  <si>
    <t>ZÁHOZ KABELOVÉ RÝHY</t>
  </si>
  <si>
    <t>ODVOZ ZEMINY</t>
  </si>
  <si>
    <t xml:space="preserve"> Do vzdálenosti 1 km</t>
  </si>
  <si>
    <t>ÚPRAVA POVRCHU</t>
  </si>
  <si>
    <t xml:space="preserve"> Provizorní úprava terénu v zemina třídy 3</t>
  </si>
  <si>
    <t>JÁMA PRO STOŽÁRY VER.OSVĚTLENÍ</t>
  </si>
  <si>
    <t xml:space="preserve"> Zemina třídy 3,ručně</t>
  </si>
  <si>
    <t>Pouzdro pro silniční stožár 14m</t>
  </si>
  <si>
    <t>ZÁKLAD Z PROSTÉHO BETONU</t>
  </si>
  <si>
    <t xml:space="preserve"> Do rostlé zeminy bez bednění</t>
  </si>
  <si>
    <t>ZÁHOZ JÁMY,UPĚCHOVÁNÍ,ÚPRAVA</t>
  </si>
  <si>
    <t>POVRCHU</t>
  </si>
  <si>
    <t xml:space="preserve"> V zemine třídy 3-4</t>
  </si>
  <si>
    <t>KABELOVÝ PROSTUP Z PVC TRUBKY</t>
  </si>
  <si>
    <t xml:space="preserve"> Světlost do 10,5 cm</t>
  </si>
  <si>
    <t>Utěsnění prostupu do budovy</t>
  </si>
  <si>
    <t>KŘIŽOVATKA SE SILOVÝM KABELEM</t>
  </si>
  <si>
    <t xml:space="preserve"> Položení bet.žlabu vč.zakrytí</t>
  </si>
  <si>
    <t>Zemní práce - celkem</t>
  </si>
  <si>
    <t>Hodnota A</t>
  </si>
  <si>
    <t>Hodnota B</t>
  </si>
  <si>
    <t>Základní náklady</t>
  </si>
  <si>
    <t>Dodávka</t>
  </si>
  <si>
    <t>Doprava 0,00%, Přesun 1,00%</t>
  </si>
  <si>
    <t>Montáž - materiál</t>
  </si>
  <si>
    <t>Montáž - práce</t>
  </si>
  <si>
    <t>Mezisoučet 1</t>
  </si>
  <si>
    <t>PPV 1,00% z montáže: materiál + práce</t>
  </si>
  <si>
    <t>Nátěry</t>
  </si>
  <si>
    <t>PPV 0,00% z nátěrů a zemních prací</t>
  </si>
  <si>
    <t>Mezisoučet 2</t>
  </si>
  <si>
    <t>Dodav. dokumentace 0,00% z mezisoučtu 2</t>
  </si>
  <si>
    <t>Rizika a pojištění 0,00% z mezisoučtu 2</t>
  </si>
  <si>
    <t>Opravy v záruce 0,00% z mezisoučtu 1</t>
  </si>
  <si>
    <t>Základní náklady celkem</t>
  </si>
  <si>
    <t>Vedlejší náklady</t>
  </si>
  <si>
    <t>GZS 3,25% z pravé strany mezisoučtu 2</t>
  </si>
  <si>
    <t>Provozní vlivy 0,00% z pravé strany mezisoučtu 2</t>
  </si>
  <si>
    <t>Vedlejší náklady celkem</t>
  </si>
  <si>
    <t>Kompletační činnost</t>
  </si>
  <si>
    <t>Náklady celkem bez DPH</t>
  </si>
  <si>
    <t>Součty odstavců</t>
  </si>
  <si>
    <t xml:space="preserve">  D.2.5.1 - SO31 Areálové rozvody NN a VO</t>
  </si>
  <si>
    <t xml:space="preserve">    Svítidla</t>
  </si>
  <si>
    <t xml:space="preserve">    Sloupy VO</t>
  </si>
  <si>
    <t xml:space="preserve">    Kabely</t>
  </si>
  <si>
    <t xml:space="preserve">    Kabelové trasy, nosné konstrukce</t>
  </si>
  <si>
    <t xml:space="preserve">    Ukončení vodičů</t>
  </si>
  <si>
    <t xml:space="preserve">    Uzemnění</t>
  </si>
  <si>
    <t xml:space="preserve">    Ostatní</t>
  </si>
  <si>
    <t xml:space="preserve">    Revize</t>
  </si>
  <si>
    <t>Prodejna pro dům a zahradu, ulice Lomská, Litvínov</t>
  </si>
  <si>
    <t>2017-15-02</t>
  </si>
  <si>
    <t>13.12.2021</t>
  </si>
  <si>
    <t>12/2021</t>
  </si>
  <si>
    <t>D.2.5-1 - SO 31 Areálové rozvody NN a VO</t>
  </si>
  <si>
    <t>21458</t>
  </si>
  <si>
    <r>
      <t xml:space="preserve">Svítidla - </t>
    </r>
    <r>
      <rPr>
        <b/>
        <sz val="8"/>
        <color rgb="FFFF0000"/>
        <rFont val="慔潨慭"/>
        <charset val="238"/>
      </rPr>
      <t>jen montáž</t>
    </r>
  </si>
  <si>
    <t>Dodávka "A"</t>
  </si>
  <si>
    <t>Koeficient</t>
  </si>
  <si>
    <t>Dodávka "C"</t>
  </si>
  <si>
    <t>Montáž "A"</t>
  </si>
  <si>
    <t>Montáž "C"</t>
  </si>
  <si>
    <t>původní</t>
  </si>
  <si>
    <t>nově</t>
  </si>
  <si>
    <t>nová 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</si>
</sst>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č_-;\-* #,##0.00\ _K_č_-;_-* &quot;-&quot;??\ _K_č_-;_-@_-"/>
  </numFmts>
  <fonts count="16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color rgb="FF000000"/>
      <name val="慔潨慭"/>
      <charset val="238"/>
    </font>
    <font>
      <b/>
      <sz val="11"/>
      <color rgb="FF000000"/>
      <name val="慔潨慭"/>
      <charset val="238"/>
    </font>
    <font>
      <b/>
      <sz val="9"/>
      <color rgb="FF000000"/>
      <name val="慔潨慭"/>
      <charset val="238"/>
    </font>
    <font>
      <b/>
      <sz val="8"/>
      <color rgb="FF000000"/>
      <name val="慔潨慭"/>
      <charset val="238"/>
    </font>
    <font>
      <i/>
      <sz val="9"/>
      <color rgb="FF000000"/>
      <name val="慔潨慭"/>
      <charset val="238"/>
    </font>
    <font>
      <b/>
      <sz val="8"/>
      <color rgb="FFFF0000"/>
      <name val="慔潨慭"/>
      <charset val="238"/>
    </font>
    <font>
      <sz val="11"/>
      <color rgb="FFFF0000"/>
      <name val="Calibri"/>
      <family val="2"/>
      <charset val="238"/>
      <scheme val="minor"/>
    </font>
    <font>
      <sz val="10"/>
      <name val="Arial CE"/>
      <charset val="238"/>
    </font>
    <font>
      <sz val="8"/>
      <color rgb="FF00000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4D0C8"/>
        <bgColor indexed="64"/>
      </patternFill>
    </fill>
    <fill>
      <patternFill patternType="solid">
        <fgColor rgb="FFBFEBFF"/>
        <bgColor indexed="64"/>
      </patternFill>
    </fill>
    <fill>
      <patternFill patternType="solid">
        <fgColor rgb="FFE0FE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AFF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50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horizontal="left"/>
    </xf>
    <xf numFmtId="0" fontId="0" fillId="0" borderId="1" xfId="0" applyBorder="1"/>
    <xf numFmtId="49" fontId="3" fillId="3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" fontId="0" fillId="0" borderId="0" xfId="0" applyNumberFormat="1"/>
    <xf numFmtId="4" fontId="2" fillId="2" borderId="1" xfId="0" applyNumberFormat="1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4" fontId="4" fillId="4" borderId="1" xfId="0" applyNumberFormat="1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49" fontId="6" fillId="7" borderId="1" xfId="0" applyNumberFormat="1" applyFont="1" applyFill="1" applyBorder="1" applyAlignment="1">
      <alignment horizontal="left"/>
    </xf>
    <xf numFmtId="4" fontId="6" fillId="7" borderId="1" xfId="0" applyNumberFormat="1" applyFont="1" applyFill="1" applyBorder="1" applyAlignment="1">
      <alignment horizontal="right"/>
    </xf>
    <xf numFmtId="4" fontId="6" fillId="7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5" fillId="6" borderId="1" xfId="0" applyNumberFormat="1" applyFont="1" applyFill="1" applyBorder="1" applyAlignment="1">
      <alignment horizontal="left" wrapText="1"/>
    </xf>
    <xf numFmtId="49" fontId="6" fillId="7" borderId="1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2" fillId="8" borderId="1" xfId="0" applyNumberFormat="1" applyFont="1" applyFill="1" applyBorder="1" applyAlignment="1">
      <alignment horizontal="left"/>
    </xf>
    <xf numFmtId="49" fontId="2" fillId="8" borderId="1" xfId="0" applyNumberFormat="1" applyFont="1" applyFill="1" applyBorder="1" applyAlignment="1">
      <alignment horizontal="left" wrapText="1"/>
    </xf>
    <xf numFmtId="4" fontId="2" fillId="8" borderId="1" xfId="0" applyNumberFormat="1" applyFont="1" applyFill="1" applyBorder="1" applyAlignment="1">
      <alignment horizontal="right"/>
    </xf>
    <xf numFmtId="49" fontId="6" fillId="8" borderId="1" xfId="0" applyNumberFormat="1" applyFont="1" applyFill="1" applyBorder="1" applyAlignment="1">
      <alignment horizontal="left"/>
    </xf>
    <xf numFmtId="49" fontId="6" fillId="8" borderId="1" xfId="0" applyNumberFormat="1" applyFont="1" applyFill="1" applyBorder="1" applyAlignment="1">
      <alignment horizontal="left" wrapText="1"/>
    </xf>
    <xf numFmtId="4" fontId="6" fillId="8" borderId="1" xfId="0" applyNumberFormat="1" applyFont="1" applyFill="1" applyBorder="1" applyAlignment="1">
      <alignment horizontal="left"/>
    </xf>
    <xf numFmtId="0" fontId="0" fillId="8" borderId="1" xfId="0" applyFill="1" applyBorder="1"/>
    <xf numFmtId="0" fontId="0" fillId="8" borderId="0" xfId="0" applyFill="1"/>
    <xf numFmtId="4" fontId="6" fillId="8" borderId="1" xfId="0" applyNumberFormat="1" applyFont="1" applyFill="1" applyBorder="1" applyAlignment="1">
      <alignment horizontal="right"/>
    </xf>
    <xf numFmtId="0" fontId="9" fillId="0" borderId="0" xfId="1"/>
    <xf numFmtId="0" fontId="8" fillId="0" borderId="0" xfId="1" applyFont="1"/>
    <xf numFmtId="4" fontId="10" fillId="9" borderId="0" xfId="2" applyNumberFormat="1" applyFont="1" applyFill="1" applyAlignment="1">
      <alignment vertical="top"/>
    </xf>
    <xf numFmtId="0" fontId="8" fillId="9" borderId="0" xfId="1" applyFont="1" applyFill="1"/>
    <xf numFmtId="0" fontId="11" fillId="9" borderId="0" xfId="1" applyFont="1" applyFill="1"/>
    <xf numFmtId="0" fontId="11" fillId="10" borderId="0" xfId="1" applyFont="1" applyFill="1"/>
    <xf numFmtId="0" fontId="8" fillId="10" borderId="0" xfId="1" applyFont="1" applyFill="1"/>
    <xf numFmtId="43" fontId="0" fillId="0" borderId="0" xfId="3" applyFont="1"/>
    <xf numFmtId="164" fontId="13" fillId="0" borderId="0" xfId="0" applyNumberFormat="1" applyFont="1"/>
    <xf numFmtId="9" fontId="13" fillId="0" borderId="0" xfId="4" applyFont="1"/>
    <xf numFmtId="0" fontId="8" fillId="11" borderId="0" xfId="1" applyFont="1" applyFill="1"/>
    <xf numFmtId="43" fontId="0" fillId="0" borderId="0" xfId="3" applyFont="1" applyAlignment="1">
      <alignment vertical="center"/>
    </xf>
    <xf numFmtId="0" fontId="13" fillId="0" borderId="1" xfId="0" applyFont="1" applyBorder="1"/>
    <xf numFmtId="2" fontId="0" fillId="0" borderId="0" xfId="0" applyNumberFormat="1"/>
    <xf numFmtId="43" fontId="14" fillId="0" borderId="0" xfId="3" applyFont="1"/>
    <xf numFmtId="0" fontId="15" fillId="0" borderId="1" xfId="0" applyFont="1" applyBorder="1"/>
  </cellXfs>
  <cellStyles count="5">
    <cellStyle name="Čárka" xfId="3" builtinId="3"/>
    <cellStyle name="Normální" xfId="0" builtinId="0"/>
    <cellStyle name="Normální 11 2" xfId="2" xr:uid="{F64CE6D5-95F3-4095-A7A4-E2DAD7B2402E}"/>
    <cellStyle name="Normální 2" xfId="1" xr:uid="{55E730CE-FC4E-4CFE-9744-E5B2CBC81F5D}"/>
    <cellStyle name="Procenta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2_Cene&#780;ni&#769;/2025_cen&#283;n&#237;/25004_DEK%20Litv&#237;nov/04_Nab&#237;dky/DEK/NAB-025-25-00312_Rozpo&#269;et_VO_DEK%20Litv&#237;nov.xlsx" TargetMode="External"/><Relationship Id="rId1" Type="http://schemas.openxmlformats.org/officeDocument/2006/relationships/externalLinkPath" Target="/d409b716a5e78c18/Stratera/01_Zak&#225;zky/02_Cene&#780;ni&#769;/2025_cen&#283;n&#237;/25004_DEK%20Litv&#237;nov/04_Nab&#237;dky/DEK/NAB-025-25-00312_Rozpo&#269;et_VO_DEK%20Litv&#237;no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2_Cene&#780;ni&#769;/2025_cen&#283;n&#237;/25004_DEK%20Litv&#237;nov/04_Nab&#237;dky/Argos/NAB-170-25-00434%20%20DEK%20Litv&#237;nov%20Silnoproud.xlsx" TargetMode="External"/><Relationship Id="rId1" Type="http://schemas.openxmlformats.org/officeDocument/2006/relationships/externalLinkPath" Target="/d409b716a5e78c18/Stratera/01_Zak&#225;zky/02_Cene&#780;ni&#769;/2025_cen&#283;n&#237;/25004_DEK%20Litv&#237;nov/04_Nab&#237;dky/Argos/NAB-170-25-00434%20%20DEK%20Litv&#237;nov%20Silnoprou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zpočet"/>
    </sheetNames>
    <sheetDataSet>
      <sheetData sheetId="0">
        <row r="12">
          <cell r="U12">
            <v>9080.4</v>
          </cell>
        </row>
        <row r="14">
          <cell r="U14">
            <v>1726.9</v>
          </cell>
        </row>
        <row r="16">
          <cell r="U16">
            <v>352.36842105263162</v>
          </cell>
        </row>
        <row r="34">
          <cell r="U34">
            <v>74.838709677419345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1"/>
      <sheetName val="List2"/>
      <sheetName val="List3"/>
    </sheetNames>
    <sheetDataSet>
      <sheetData sheetId="0">
        <row r="6">
          <cell r="E6">
            <v>1878</v>
          </cell>
        </row>
        <row r="180">
          <cell r="E180">
            <v>171.6</v>
          </cell>
        </row>
        <row r="181">
          <cell r="E181">
            <v>11.6844</v>
          </cell>
        </row>
        <row r="182">
          <cell r="E182">
            <v>96.423599999999993</v>
          </cell>
        </row>
        <row r="183">
          <cell r="E183">
            <v>122.304</v>
          </cell>
        </row>
        <row r="184">
          <cell r="E184">
            <v>31.709599999999998</v>
          </cell>
        </row>
        <row r="185">
          <cell r="E185">
            <v>34.478999999999999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view="pageBreakPreview" topLeftCell="A13" zoomScale="130" zoomScaleNormal="100" zoomScaleSheetLayoutView="130" workbookViewId="0">
      <selection activeCell="A23" sqref="A23"/>
    </sheetView>
  </sheetViews>
  <sheetFormatPr defaultRowHeight="15.75"/>
  <cols>
    <col min="1" max="1" width="31.75" style="1" bestFit="1" customWidth="1"/>
    <col min="2" max="2" width="7.625" style="9" bestFit="1" customWidth="1"/>
    <col min="3" max="3" width="16" style="9" customWidth="1"/>
    <col min="6" max="6" width="0" hidden="1" customWidth="1"/>
  </cols>
  <sheetData>
    <row r="1" spans="1:4">
      <c r="A1" s="2" t="s">
        <v>0</v>
      </c>
      <c r="B1" s="10" t="s">
        <v>169</v>
      </c>
      <c r="C1" s="10" t="s">
        <v>170</v>
      </c>
      <c r="D1" s="3"/>
    </row>
    <row r="2" spans="1:4">
      <c r="A2" s="5" t="s">
        <v>171</v>
      </c>
      <c r="B2" s="13"/>
      <c r="C2" s="13"/>
      <c r="D2" s="3"/>
    </row>
    <row r="3" spans="1:4">
      <c r="A3" s="6" t="s">
        <v>172</v>
      </c>
      <c r="B3" s="11">
        <f>0</f>
        <v>0</v>
      </c>
      <c r="C3" s="11"/>
      <c r="D3" s="3"/>
    </row>
    <row r="4" spans="1:4">
      <c r="A4" s="6" t="s">
        <v>173</v>
      </c>
      <c r="B4" s="11">
        <f>B3 * Parametry!B16 / 100</f>
        <v>0</v>
      </c>
      <c r="C4" s="11">
        <f>B3 * Parametry!B17 / 100</f>
        <v>0</v>
      </c>
      <c r="D4" s="3"/>
    </row>
    <row r="5" spans="1:4">
      <c r="A5" s="6" t="s">
        <v>174</v>
      </c>
      <c r="B5" s="11"/>
      <c r="C5" s="11">
        <f>(Rozpočet!F105) + 0</f>
        <v>266093.72483683802</v>
      </c>
      <c r="D5" s="3"/>
    </row>
    <row r="6" spans="1:4">
      <c r="A6" s="6" t="s">
        <v>175</v>
      </c>
      <c r="B6" s="11"/>
      <c r="C6" s="11">
        <f>0 + (Rozpočet!H105) + 0</f>
        <v>168013</v>
      </c>
      <c r="D6" s="3"/>
    </row>
    <row r="7" spans="1:4">
      <c r="A7" s="7" t="s">
        <v>176</v>
      </c>
      <c r="B7" s="14">
        <f>B3 + B4</f>
        <v>0</v>
      </c>
      <c r="C7" s="14">
        <f>C3 + C4 + C5 + C6</f>
        <v>434106.72483683802</v>
      </c>
      <c r="D7" s="3"/>
    </row>
    <row r="8" spans="1:4">
      <c r="A8" s="6" t="s">
        <v>177</v>
      </c>
      <c r="B8" s="11"/>
      <c r="C8" s="11">
        <f>(C5 + C6) * Parametry!B18 / 100</f>
        <v>4341.0672483683802</v>
      </c>
      <c r="D8" s="3"/>
    </row>
    <row r="9" spans="1:4">
      <c r="A9" s="6" t="s">
        <v>178</v>
      </c>
      <c r="B9" s="11"/>
      <c r="C9" s="11">
        <f>0 + 0</f>
        <v>0</v>
      </c>
      <c r="D9" s="3"/>
    </row>
    <row r="10" spans="1:4">
      <c r="A10" s="6" t="s">
        <v>134</v>
      </c>
      <c r="B10" s="11"/>
      <c r="C10" s="11">
        <f>(Rozpočet!F145) + (Rozpočet!H145)</f>
        <v>39349.481509999998</v>
      </c>
      <c r="D10" s="3"/>
    </row>
    <row r="11" spans="1:4">
      <c r="A11" s="6" t="s">
        <v>179</v>
      </c>
      <c r="B11" s="11"/>
      <c r="C11" s="11">
        <f>(C9 + C10) * Parametry!B19 / 100</f>
        <v>0</v>
      </c>
      <c r="D11" s="3"/>
    </row>
    <row r="12" spans="1:4">
      <c r="A12" s="7" t="s">
        <v>180</v>
      </c>
      <c r="B12" s="14">
        <f>B7</f>
        <v>0</v>
      </c>
      <c r="C12" s="14">
        <f>C7 + C8 + C9 + C10 + C11</f>
        <v>477797.27359520644</v>
      </c>
      <c r="D12" s="3"/>
    </row>
    <row r="13" spans="1:4">
      <c r="A13" s="6" t="s">
        <v>181</v>
      </c>
      <c r="B13" s="11"/>
      <c r="C13" s="11">
        <f>(B12 + C12) * Parametry!B20 / 100</f>
        <v>0</v>
      </c>
      <c r="D13" s="3"/>
    </row>
    <row r="14" spans="1:4">
      <c r="A14" s="6" t="s">
        <v>182</v>
      </c>
      <c r="B14" s="11"/>
      <c r="C14" s="11">
        <f>(B12 + C12) * Parametry!B21 / 100</f>
        <v>0</v>
      </c>
      <c r="D14" s="3"/>
    </row>
    <row r="15" spans="1:4">
      <c r="A15" s="6" t="s">
        <v>183</v>
      </c>
      <c r="B15" s="11"/>
      <c r="C15" s="11">
        <f>(B7 + C7) * Parametry!B22 / 100</f>
        <v>0</v>
      </c>
      <c r="D15" s="3"/>
    </row>
    <row r="16" spans="1:4">
      <c r="A16" s="5" t="s">
        <v>184</v>
      </c>
      <c r="B16" s="13"/>
      <c r="C16" s="13">
        <f>B12 + C12 + C13 + C14 + C15</f>
        <v>477797.27359520644</v>
      </c>
      <c r="D16" s="3"/>
    </row>
    <row r="17" spans="1:4">
      <c r="A17" s="6" t="s">
        <v>11</v>
      </c>
      <c r="B17" s="11"/>
      <c r="C17" s="11"/>
      <c r="D17" s="3"/>
    </row>
    <row r="18" spans="1:4">
      <c r="A18" s="5" t="s">
        <v>185</v>
      </c>
      <c r="B18" s="13"/>
      <c r="C18" s="13"/>
      <c r="D18" s="3"/>
    </row>
    <row r="19" spans="1:4">
      <c r="A19" s="6" t="s">
        <v>186</v>
      </c>
      <c r="B19" s="11"/>
      <c r="C19" s="11">
        <f>C12 * Parametry!B23 / 100</f>
        <v>15528.411391844209</v>
      </c>
      <c r="D19" s="3"/>
    </row>
    <row r="20" spans="1:4">
      <c r="A20" s="6" t="s">
        <v>187</v>
      </c>
      <c r="B20" s="11"/>
      <c r="C20" s="11">
        <f>C12 * Parametry!B24 / 100</f>
        <v>0</v>
      </c>
      <c r="D20" s="3"/>
    </row>
    <row r="21" spans="1:4">
      <c r="A21" s="5" t="s">
        <v>188</v>
      </c>
      <c r="B21" s="13"/>
      <c r="C21" s="13">
        <f>C19 + C20</f>
        <v>15528.411391844209</v>
      </c>
      <c r="D21" s="3"/>
    </row>
    <row r="22" spans="1:4">
      <c r="A22" s="6" t="s">
        <v>189</v>
      </c>
      <c r="B22" s="11"/>
      <c r="C22" s="11">
        <f>Parametry!B25 * Parametry!B28 * (C16 * Parametry!B27)^Parametry!B26</f>
        <v>0</v>
      </c>
      <c r="D22" s="3"/>
    </row>
    <row r="23" spans="1:4">
      <c r="A23" s="6" t="s">
        <v>11</v>
      </c>
      <c r="B23" s="11"/>
      <c r="C23" s="11"/>
      <c r="D23" s="3"/>
    </row>
    <row r="24" spans="1:4">
      <c r="A24" s="4" t="s">
        <v>190</v>
      </c>
      <c r="B24" s="12"/>
      <c r="C24" s="12">
        <f>C16 + C21 + C22</f>
        <v>493325.68498705066</v>
      </c>
      <c r="D24" s="3"/>
    </row>
    <row r="25" spans="1:4">
      <c r="A25" s="6" t="s">
        <v>11</v>
      </c>
      <c r="B25" s="11"/>
      <c r="C25" s="11"/>
      <c r="D25" s="3"/>
    </row>
    <row r="26" spans="1:4">
      <c r="A26" s="5" t="s">
        <v>191</v>
      </c>
      <c r="B26" s="18" t="s">
        <v>48</v>
      </c>
      <c r="C26" s="18" t="s">
        <v>50</v>
      </c>
      <c r="D26" s="3"/>
    </row>
    <row r="27" spans="1:4">
      <c r="A27" s="6" t="s">
        <v>54</v>
      </c>
      <c r="B27" s="11">
        <f>(Rozpočet!F105)</f>
        <v>266093.72483683802</v>
      </c>
      <c r="C27" s="11">
        <f>(Rozpočet!H105)</f>
        <v>168013</v>
      </c>
      <c r="D27" s="3"/>
    </row>
    <row r="28" spans="1:4">
      <c r="A28" s="6" t="s">
        <v>192</v>
      </c>
      <c r="B28" s="11">
        <f>(Rozpočet!F102)</f>
        <v>255859.35080465197</v>
      </c>
      <c r="C28" s="11">
        <f>(Rozpočet!H102)</f>
        <v>168013</v>
      </c>
      <c r="D28" s="3"/>
    </row>
    <row r="29" spans="1:4">
      <c r="A29" s="6" t="s">
        <v>193</v>
      </c>
      <c r="B29" s="11">
        <f>(Rozpočet!F12)</f>
        <v>0</v>
      </c>
      <c r="C29" s="11">
        <f>(Rozpočet!H12)</f>
        <v>2100</v>
      </c>
      <c r="D29" s="3"/>
    </row>
    <row r="30" spans="1:4">
      <c r="A30" s="6" t="s">
        <v>194</v>
      </c>
      <c r="B30" s="11">
        <f>(Rozpočet!F23)</f>
        <v>38668.251078947367</v>
      </c>
      <c r="C30" s="11">
        <f>(Rozpočet!H23)</f>
        <v>14250</v>
      </c>
      <c r="D30" s="3"/>
    </row>
    <row r="31" spans="1:4">
      <c r="A31" s="6" t="s">
        <v>195</v>
      </c>
      <c r="B31" s="11">
        <f>(Rozpočet!F35)</f>
        <v>163993.89006000001</v>
      </c>
      <c r="C31" s="11">
        <f>(Rozpočet!H35)</f>
        <v>44640</v>
      </c>
      <c r="D31" s="3"/>
    </row>
    <row r="32" spans="1:4">
      <c r="A32" s="6" t="s">
        <v>196</v>
      </c>
      <c r="B32" s="11">
        <f>(Rozpočet!F43)</f>
        <v>8575.9487709677414</v>
      </c>
      <c r="C32" s="11">
        <f>(Rozpočet!H43)</f>
        <v>7500</v>
      </c>
      <c r="D32" s="3"/>
    </row>
    <row r="33" spans="1:4">
      <c r="A33" s="6" t="s">
        <v>197</v>
      </c>
      <c r="B33" s="11">
        <f>(Rozpočet!F60)</f>
        <v>929.78715789473699</v>
      </c>
      <c r="C33" s="11">
        <f>(Rozpočet!H60)</f>
        <v>10248</v>
      </c>
      <c r="D33" s="3"/>
    </row>
    <row r="34" spans="1:4">
      <c r="A34" s="6" t="s">
        <v>198</v>
      </c>
      <c r="B34" s="11">
        <f>(Rozpočet!F80)</f>
        <v>36414.973736842112</v>
      </c>
      <c r="C34" s="11">
        <f>(Rozpočet!H80)</f>
        <v>72275</v>
      </c>
      <c r="D34" s="3"/>
    </row>
    <row r="35" spans="1:4">
      <c r="A35" s="6" t="s">
        <v>199</v>
      </c>
      <c r="B35" s="11">
        <f>(Rozpočet!F93)</f>
        <v>7276.5</v>
      </c>
      <c r="C35" s="11">
        <f>(Rozpočet!H93)</f>
        <v>11700</v>
      </c>
      <c r="D35" s="3"/>
    </row>
    <row r="36" spans="1:4">
      <c r="A36" s="6" t="s">
        <v>200</v>
      </c>
      <c r="B36" s="11">
        <f>(Rozpočet!F100)</f>
        <v>0</v>
      </c>
      <c r="C36" s="11">
        <f>(Rozpočet!H100)</f>
        <v>5300</v>
      </c>
      <c r="D36" s="3"/>
    </row>
    <row r="37" spans="1:4">
      <c r="A37" s="6" t="s">
        <v>134</v>
      </c>
      <c r="B37" s="11">
        <f>(Rozpočet!F145)</f>
        <v>18536.181510000002</v>
      </c>
      <c r="C37" s="11">
        <f>(Rozpočet!H145)</f>
        <v>20813.3</v>
      </c>
      <c r="D37" s="3"/>
    </row>
    <row r="38" spans="1:4">
      <c r="A38" s="6" t="s">
        <v>11</v>
      </c>
      <c r="B38" s="11"/>
      <c r="C38" s="11"/>
      <c r="D38" s="3"/>
    </row>
    <row r="39" spans="1:4">
      <c r="A39" s="6" t="s">
        <v>11</v>
      </c>
      <c r="B39" s="11"/>
      <c r="C39" s="11"/>
      <c r="D39" s="3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7"/>
  <sheetViews>
    <sheetView tabSelected="1" view="pageBreakPreview" topLeftCell="A11" zoomScale="85" zoomScaleNormal="100" zoomScaleSheetLayoutView="85" workbookViewId="0">
      <selection activeCell="G17" sqref="G17"/>
    </sheetView>
  </sheetViews>
  <sheetFormatPr defaultRowHeight="15.75"/>
  <cols>
    <col min="1" max="1" width="5.75" style="1" customWidth="1"/>
    <col min="2" max="2" width="31.125" style="24" customWidth="1"/>
    <col min="3" max="3" width="3.875" style="1" bestFit="1" customWidth="1"/>
    <col min="4" max="4" width="5" style="9" bestFit="1" customWidth="1"/>
    <col min="5" max="5" width="6.875" style="9" bestFit="1" customWidth="1"/>
    <col min="6" max="6" width="10.5" style="9" bestFit="1" customWidth="1"/>
    <col min="7" max="7" width="6.875" style="9" bestFit="1" customWidth="1"/>
    <col min="8" max="8" width="10.5" style="9" bestFit="1" customWidth="1"/>
    <col min="9" max="9" width="6.875" style="9" bestFit="1" customWidth="1"/>
    <col min="10" max="10" width="10.5" style="9" bestFit="1" customWidth="1"/>
    <col min="13" max="13" width="8.5" customWidth="1"/>
    <col min="23" max="23" width="12.75" bestFit="1" customWidth="1"/>
    <col min="24" max="24" width="11.5" bestFit="1" customWidth="1"/>
  </cols>
  <sheetData>
    <row r="1" spans="1:24">
      <c r="A1" s="2"/>
      <c r="B1" s="8" t="s">
        <v>0</v>
      </c>
      <c r="C1" s="2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0" t="s">
        <v>51</v>
      </c>
      <c r="I1" s="10" t="s">
        <v>52</v>
      </c>
      <c r="J1" s="10" t="s">
        <v>53</v>
      </c>
      <c r="K1" s="3"/>
      <c r="L1" s="3"/>
      <c r="M1">
        <f>Parametry!B33/100*F9+Parametry!B33/100*F10+Parametry!B33/100*F17+Parametry!B33/100*F19+Parametry!B33/100*F21+Parametry!B33/100*F28+Parametry!B33/100*F30+Parametry!B33/100*F31+Parametry!B33/100*F32+Parametry!B33/100*F33+Parametry!B33/100*F39+Parametry!B33/100*F40+Parametry!B33/100*F41+Parametry!B33/100*F49+Parametry!B33/100*F50+Parametry!B33/100*F51+Parametry!B33/100*F53+Parametry!B33/100*F54+Parametry!B33/100*F55+Parametry!B33/100*F56+Parametry!B33/100*F57+Parametry!B33/100*F58+Parametry!B34/100*F66</f>
        <v>10632.648853390489</v>
      </c>
      <c r="N1" s="34"/>
      <c r="O1" s="35">
        <v>1.155</v>
      </c>
      <c r="P1" s="34"/>
      <c r="Q1" s="34"/>
      <c r="R1" s="34"/>
      <c r="S1" s="34"/>
      <c r="T1" s="35">
        <f>O1</f>
        <v>1.155</v>
      </c>
      <c r="U1" s="34"/>
    </row>
    <row r="2" spans="1:24">
      <c r="A2" s="6"/>
      <c r="B2" s="19" t="s">
        <v>11</v>
      </c>
      <c r="C2" s="6" t="s">
        <v>11</v>
      </c>
      <c r="D2" s="11"/>
      <c r="E2" s="11"/>
      <c r="F2" s="11"/>
      <c r="G2" s="11"/>
      <c r="H2" s="11"/>
      <c r="I2" s="11">
        <f>E2+G2</f>
        <v>0</v>
      </c>
      <c r="J2" s="11">
        <f>F2+H2</f>
        <v>0</v>
      </c>
      <c r="K2" s="3"/>
      <c r="L2" s="3"/>
      <c r="N2" s="34" t="s">
        <v>208</v>
      </c>
      <c r="O2" s="34" t="s">
        <v>209</v>
      </c>
      <c r="P2" s="34" t="s">
        <v>210</v>
      </c>
      <c r="Q2" s="34"/>
      <c r="R2" s="34"/>
      <c r="S2" s="34" t="s">
        <v>211</v>
      </c>
      <c r="T2" s="34" t="s">
        <v>209</v>
      </c>
      <c r="U2" s="34" t="s">
        <v>212</v>
      </c>
    </row>
    <row r="3" spans="1:24">
      <c r="A3" s="4"/>
      <c r="B3" s="20" t="s">
        <v>54</v>
      </c>
      <c r="C3" s="4" t="s">
        <v>11</v>
      </c>
      <c r="D3" s="12"/>
      <c r="E3" s="12"/>
      <c r="F3" s="12"/>
      <c r="G3" s="12"/>
      <c r="H3" s="12"/>
      <c r="I3" s="12"/>
      <c r="J3" s="12"/>
      <c r="K3" s="3"/>
      <c r="L3" s="3"/>
    </row>
    <row r="4" spans="1:24">
      <c r="A4" s="6"/>
      <c r="B4" s="19" t="s">
        <v>11</v>
      </c>
      <c r="C4" s="6" t="s">
        <v>11</v>
      </c>
      <c r="D4" s="11"/>
      <c r="E4" s="11"/>
      <c r="F4" s="11"/>
      <c r="G4" s="11"/>
      <c r="H4" s="11"/>
      <c r="I4" s="11">
        <f>E4+G4</f>
        <v>0</v>
      </c>
      <c r="J4" s="11">
        <f>F4+H4</f>
        <v>0</v>
      </c>
      <c r="K4" s="3"/>
      <c r="L4" s="3"/>
    </row>
    <row r="5" spans="1:24">
      <c r="A5" s="5"/>
      <c r="B5" s="21" t="s">
        <v>55</v>
      </c>
      <c r="C5" s="5" t="s">
        <v>11</v>
      </c>
      <c r="D5" s="13"/>
      <c r="E5" s="13"/>
      <c r="F5" s="13"/>
      <c r="G5" s="13"/>
      <c r="H5" s="13"/>
      <c r="I5" s="13"/>
      <c r="J5" s="13"/>
      <c r="K5" s="3"/>
      <c r="L5" s="3"/>
    </row>
    <row r="6" spans="1:24">
      <c r="A6" s="6"/>
      <c r="B6" s="19" t="s">
        <v>11</v>
      </c>
      <c r="C6" s="6" t="s">
        <v>11</v>
      </c>
      <c r="D6" s="11"/>
      <c r="E6" s="11"/>
      <c r="F6" s="11"/>
      <c r="G6" s="11"/>
      <c r="H6" s="11"/>
      <c r="I6" s="11">
        <f>E6+G6</f>
        <v>0</v>
      </c>
      <c r="J6" s="11">
        <f>F6+H6</f>
        <v>0</v>
      </c>
      <c r="K6" s="3"/>
      <c r="L6" s="3"/>
    </row>
    <row r="7" spans="1:24">
      <c r="A7" s="7"/>
      <c r="B7" s="22" t="s">
        <v>207</v>
      </c>
      <c r="C7" s="7" t="s">
        <v>11</v>
      </c>
      <c r="D7" s="14"/>
      <c r="E7" s="14"/>
      <c r="F7" s="14"/>
      <c r="G7" s="14"/>
      <c r="H7" s="14"/>
      <c r="I7" s="14"/>
      <c r="J7" s="14"/>
      <c r="K7" s="3"/>
      <c r="L7" s="3"/>
    </row>
    <row r="8" spans="1:24">
      <c r="A8" s="6"/>
      <c r="B8" s="19" t="s">
        <v>11</v>
      </c>
      <c r="C8" s="6" t="s">
        <v>11</v>
      </c>
      <c r="D8" s="11"/>
      <c r="E8" s="11"/>
      <c r="F8" s="11"/>
      <c r="G8" s="11"/>
      <c r="H8" s="11"/>
      <c r="I8" s="11">
        <f t="shared" ref="I8:J11" si="0">E8+G8</f>
        <v>0</v>
      </c>
      <c r="J8" s="11">
        <f t="shared" si="0"/>
        <v>0</v>
      </c>
      <c r="K8" s="3"/>
      <c r="L8" s="3"/>
    </row>
    <row r="9" spans="1:24" ht="34.5">
      <c r="A9" s="6"/>
      <c r="B9" s="19" t="s">
        <v>56</v>
      </c>
      <c r="C9" s="6" t="s">
        <v>57</v>
      </c>
      <c r="D9" s="11">
        <v>6</v>
      </c>
      <c r="E9" s="11">
        <f>SUM(P9)</f>
        <v>0</v>
      </c>
      <c r="F9" s="11">
        <f>D9*E9</f>
        <v>0</v>
      </c>
      <c r="G9" s="11">
        <f>SUM(S9)</f>
        <v>350</v>
      </c>
      <c r="H9" s="11">
        <f>D9*G9</f>
        <v>2100</v>
      </c>
      <c r="I9" s="11">
        <f t="shared" si="0"/>
        <v>350</v>
      </c>
      <c r="J9" s="11">
        <f t="shared" si="0"/>
        <v>2100</v>
      </c>
      <c r="K9" s="3"/>
      <c r="L9" s="3"/>
      <c r="N9" s="36"/>
      <c r="O9" s="37">
        <f>$O$1</f>
        <v>1.155</v>
      </c>
      <c r="P9" s="38">
        <f>SUM(N9*O9)</f>
        <v>0</v>
      </c>
      <c r="S9" s="39">
        <v>350</v>
      </c>
      <c r="T9" s="40">
        <f t="shared" ref="T9:T10" si="1">$T$1</f>
        <v>1.155</v>
      </c>
      <c r="U9" s="39">
        <f t="shared" ref="U9:U10" si="2">SUM(S9*T9)</f>
        <v>404.25</v>
      </c>
      <c r="W9">
        <f>SUM(N9*D9)</f>
        <v>0</v>
      </c>
      <c r="X9">
        <f>SUM(S9*D9)</f>
        <v>2100</v>
      </c>
    </row>
    <row r="10" spans="1:24">
      <c r="A10" s="6"/>
      <c r="B10" s="19" t="s">
        <v>58</v>
      </c>
      <c r="C10" s="6" t="s">
        <v>57</v>
      </c>
      <c r="D10" s="11">
        <v>6</v>
      </c>
      <c r="E10" s="11">
        <f>SUM(P10)</f>
        <v>0</v>
      </c>
      <c r="F10" s="11">
        <f>D10*E10</f>
        <v>0</v>
      </c>
      <c r="G10" s="11">
        <f>SUM(S10)</f>
        <v>0</v>
      </c>
      <c r="H10" s="11">
        <f>D10*G10</f>
        <v>0</v>
      </c>
      <c r="I10" s="11">
        <f t="shared" si="0"/>
        <v>0</v>
      </c>
      <c r="J10" s="11">
        <f t="shared" si="0"/>
        <v>0</v>
      </c>
      <c r="K10" s="3"/>
      <c r="L10" s="3"/>
      <c r="N10" s="36"/>
      <c r="O10" s="37">
        <f>$O$1</f>
        <v>1.155</v>
      </c>
      <c r="P10" s="38">
        <f>SUM(N10*O10)</f>
        <v>0</v>
      </c>
      <c r="S10" s="39"/>
      <c r="T10" s="40">
        <f t="shared" si="1"/>
        <v>1.155</v>
      </c>
      <c r="U10" s="39">
        <f t="shared" si="2"/>
        <v>0</v>
      </c>
      <c r="W10">
        <f t="shared" ref="W10:W73" si="3">SUM(N10*D10)</f>
        <v>0</v>
      </c>
      <c r="X10">
        <f t="shared" ref="X10:X73" si="4">SUM(S10*D10)</f>
        <v>0</v>
      </c>
    </row>
    <row r="11" spans="1:24">
      <c r="A11" s="6"/>
      <c r="B11" s="19" t="s">
        <v>11</v>
      </c>
      <c r="C11" s="6" t="s">
        <v>11</v>
      </c>
      <c r="D11" s="11"/>
      <c r="E11" s="11"/>
      <c r="F11" s="11"/>
      <c r="G11" s="11"/>
      <c r="H11" s="11"/>
      <c r="I11" s="11">
        <f t="shared" si="0"/>
        <v>0</v>
      </c>
      <c r="J11" s="11">
        <f t="shared" si="0"/>
        <v>0</v>
      </c>
      <c r="K11" s="3"/>
      <c r="L11" s="3"/>
      <c r="W11">
        <f t="shared" si="3"/>
        <v>0</v>
      </c>
      <c r="X11">
        <f t="shared" si="4"/>
        <v>0</v>
      </c>
    </row>
    <row r="12" spans="1:24">
      <c r="A12" s="7"/>
      <c r="B12" s="22" t="s">
        <v>59</v>
      </c>
      <c r="C12" s="7" t="s">
        <v>11</v>
      </c>
      <c r="D12" s="14"/>
      <c r="E12" s="14"/>
      <c r="F12" s="14">
        <f>SUM(F8:F11)</f>
        <v>0</v>
      </c>
      <c r="G12" s="14"/>
      <c r="H12" s="14">
        <f>SUM(H8:H11)</f>
        <v>2100</v>
      </c>
      <c r="I12" s="14"/>
      <c r="J12" s="14">
        <f>SUM(J8:J11)</f>
        <v>2100</v>
      </c>
      <c r="K12" s="3"/>
      <c r="L12" s="3"/>
      <c r="W12">
        <f t="shared" si="3"/>
        <v>0</v>
      </c>
      <c r="X12">
        <f t="shared" si="4"/>
        <v>0</v>
      </c>
    </row>
    <row r="13" spans="1:24">
      <c r="A13" s="6"/>
      <c r="B13" s="19" t="s">
        <v>11</v>
      </c>
      <c r="C13" s="6" t="s">
        <v>11</v>
      </c>
      <c r="D13" s="11"/>
      <c r="E13" s="11"/>
      <c r="F13" s="11"/>
      <c r="G13" s="11"/>
      <c r="H13" s="11"/>
      <c r="I13" s="11">
        <f>E13+G13</f>
        <v>0</v>
      </c>
      <c r="J13" s="11">
        <f>F13+H13</f>
        <v>0</v>
      </c>
      <c r="K13" s="3"/>
      <c r="L13" s="3"/>
      <c r="W13">
        <f t="shared" si="3"/>
        <v>0</v>
      </c>
      <c r="X13">
        <f t="shared" si="4"/>
        <v>0</v>
      </c>
    </row>
    <row r="14" spans="1:24">
      <c r="A14" s="7"/>
      <c r="B14" s="22" t="s">
        <v>60</v>
      </c>
      <c r="C14" s="7" t="s">
        <v>11</v>
      </c>
      <c r="D14" s="14"/>
      <c r="E14" s="14"/>
      <c r="F14" s="14"/>
      <c r="G14" s="14"/>
      <c r="H14" s="14"/>
      <c r="I14" s="14"/>
      <c r="J14" s="14"/>
      <c r="K14" s="3"/>
      <c r="L14" s="3"/>
      <c r="W14">
        <f t="shared" si="3"/>
        <v>0</v>
      </c>
      <c r="X14">
        <f t="shared" si="4"/>
        <v>0</v>
      </c>
    </row>
    <row r="15" spans="1:24">
      <c r="A15" s="6"/>
      <c r="B15" s="19" t="s">
        <v>11</v>
      </c>
      <c r="C15" s="6" t="s">
        <v>11</v>
      </c>
      <c r="D15" s="11"/>
      <c r="E15" s="11"/>
      <c r="F15" s="11"/>
      <c r="G15" s="11"/>
      <c r="H15" s="11"/>
      <c r="I15" s="11">
        <f>E15+G15</f>
        <v>0</v>
      </c>
      <c r="J15" s="11">
        <f>F15+H15</f>
        <v>0</v>
      </c>
      <c r="K15" s="3"/>
      <c r="L15" s="3"/>
      <c r="W15">
        <f t="shared" si="3"/>
        <v>0</v>
      </c>
      <c r="X15">
        <f t="shared" si="4"/>
        <v>0</v>
      </c>
    </row>
    <row r="16" spans="1:24">
      <c r="A16" s="15"/>
      <c r="B16" s="23" t="s">
        <v>61</v>
      </c>
      <c r="C16" s="15" t="s">
        <v>11</v>
      </c>
      <c r="D16" s="16"/>
      <c r="E16" s="16"/>
      <c r="F16" s="16"/>
      <c r="G16" s="16"/>
      <c r="H16" s="16"/>
      <c r="I16" s="16"/>
      <c r="J16" s="16"/>
      <c r="K16" s="3" t="s">
        <v>214</v>
      </c>
      <c r="L16" s="3" t="s">
        <v>215</v>
      </c>
      <c r="M16" t="s">
        <v>213</v>
      </c>
      <c r="W16">
        <f t="shared" si="3"/>
        <v>0</v>
      </c>
      <c r="X16">
        <f t="shared" si="4"/>
        <v>0</v>
      </c>
    </row>
    <row r="17" spans="1:24" ht="23.25">
      <c r="A17" s="6"/>
      <c r="B17" s="19" t="s">
        <v>62</v>
      </c>
      <c r="C17" s="6" t="s">
        <v>57</v>
      </c>
      <c r="D17" s="11">
        <v>3</v>
      </c>
      <c r="E17" s="11">
        <f>SUM(P17)</f>
        <v>10487.861999999999</v>
      </c>
      <c r="F17" s="11">
        <f>D17*E17</f>
        <v>31463.585999999996</v>
      </c>
      <c r="G17" s="11">
        <f>SUM(S17)</f>
        <v>3600</v>
      </c>
      <c r="H17" s="11">
        <f>D17*G17</f>
        <v>10800</v>
      </c>
      <c r="I17" s="11">
        <f>E17+G17</f>
        <v>14087.861999999999</v>
      </c>
      <c r="J17" s="11">
        <f>F17+H17</f>
        <v>42263.585999999996</v>
      </c>
      <c r="K17" s="3">
        <f>SUM(D17*L17)</f>
        <v>43239</v>
      </c>
      <c r="L17" s="49">
        <v>14413</v>
      </c>
      <c r="M17">
        <f>SUM(N17*D17)</f>
        <v>27241.199999999997</v>
      </c>
      <c r="N17" s="36">
        <f>SUM([1]Rozpočet!$U$12)</f>
        <v>9080.4</v>
      </c>
      <c r="O17" s="37">
        <f>$O$1</f>
        <v>1.155</v>
      </c>
      <c r="P17" s="38">
        <f>SUM(N17*O17)</f>
        <v>10487.861999999999</v>
      </c>
      <c r="S17" s="39">
        <v>3600</v>
      </c>
      <c r="T17" s="40">
        <f t="shared" ref="T17" si="5">$T$1</f>
        <v>1.155</v>
      </c>
      <c r="U17" s="39">
        <f t="shared" ref="U17" si="6">SUM(S17*T17)</f>
        <v>4158</v>
      </c>
      <c r="W17">
        <f t="shared" si="3"/>
        <v>27241.199999999997</v>
      </c>
      <c r="X17">
        <f t="shared" si="4"/>
        <v>10800</v>
      </c>
    </row>
    <row r="18" spans="1:24">
      <c r="A18" s="15"/>
      <c r="B18" s="23" t="s">
        <v>63</v>
      </c>
      <c r="C18" s="15" t="s">
        <v>11</v>
      </c>
      <c r="D18" s="16"/>
      <c r="E18" s="16"/>
      <c r="F18" s="16"/>
      <c r="G18" s="16"/>
      <c r="H18" s="16"/>
      <c r="I18" s="16"/>
      <c r="J18" s="16"/>
      <c r="K18" s="3">
        <f t="shared" ref="K18:K21" si="7">SUM(D18*L18)</f>
        <v>0</v>
      </c>
      <c r="L18" s="49"/>
      <c r="M18">
        <f t="shared" ref="M18:M21" si="8">SUM(N18*D18)</f>
        <v>0</v>
      </c>
      <c r="W18">
        <f t="shared" si="3"/>
        <v>0</v>
      </c>
      <c r="X18">
        <f t="shared" si="4"/>
        <v>0</v>
      </c>
    </row>
    <row r="19" spans="1:24" ht="23.25">
      <c r="A19" s="6"/>
      <c r="B19" s="19" t="s">
        <v>64</v>
      </c>
      <c r="C19" s="6" t="s">
        <v>57</v>
      </c>
      <c r="D19" s="11">
        <v>3</v>
      </c>
      <c r="E19" s="11">
        <f>SUM(P19)</f>
        <v>1994.5695000000001</v>
      </c>
      <c r="F19" s="11">
        <f>D19*E19</f>
        <v>5983.7085000000006</v>
      </c>
      <c r="G19" s="11">
        <f>SUM(S19)</f>
        <v>600</v>
      </c>
      <c r="H19" s="11">
        <f>D19*G19</f>
        <v>1800</v>
      </c>
      <c r="I19" s="11">
        <f>E19+G19</f>
        <v>2594.5695000000001</v>
      </c>
      <c r="J19" s="11">
        <f>F19+H19</f>
        <v>7783.7085000000006</v>
      </c>
      <c r="K19" s="3">
        <f t="shared" si="7"/>
        <v>8223</v>
      </c>
      <c r="L19" s="49">
        <v>2741</v>
      </c>
      <c r="M19">
        <f t="shared" si="8"/>
        <v>5180.7000000000007</v>
      </c>
      <c r="N19" s="36">
        <f>SUM([1]Rozpočet!$U$14)</f>
        <v>1726.9</v>
      </c>
      <c r="O19" s="37">
        <f>$O$1</f>
        <v>1.155</v>
      </c>
      <c r="P19" s="38">
        <f>SUM(N19*O19)</f>
        <v>1994.5695000000001</v>
      </c>
      <c r="S19" s="39">
        <v>600</v>
      </c>
      <c r="T19" s="40">
        <f t="shared" ref="T19" si="9">$T$1</f>
        <v>1.155</v>
      </c>
      <c r="U19" s="39">
        <f t="shared" ref="U19" si="10">SUM(S19*T19)</f>
        <v>693</v>
      </c>
      <c r="W19">
        <f t="shared" si="3"/>
        <v>5180.7000000000007</v>
      </c>
      <c r="X19">
        <f t="shared" si="4"/>
        <v>1800</v>
      </c>
    </row>
    <row r="20" spans="1:24">
      <c r="A20" s="15"/>
      <c r="B20" s="23" t="s">
        <v>65</v>
      </c>
      <c r="C20" s="15" t="s">
        <v>11</v>
      </c>
      <c r="D20" s="16"/>
      <c r="E20" s="16"/>
      <c r="F20" s="16"/>
      <c r="G20" s="16"/>
      <c r="H20" s="16"/>
      <c r="I20" s="16"/>
      <c r="J20" s="16"/>
      <c r="K20" s="3">
        <f t="shared" si="7"/>
        <v>0</v>
      </c>
      <c r="L20" s="49"/>
      <c r="M20">
        <f t="shared" si="8"/>
        <v>0</v>
      </c>
      <c r="W20">
        <f t="shared" si="3"/>
        <v>0</v>
      </c>
      <c r="X20">
        <f t="shared" si="4"/>
        <v>0</v>
      </c>
    </row>
    <row r="21" spans="1:24">
      <c r="A21" s="6"/>
      <c r="B21" s="19" t="s">
        <v>66</v>
      </c>
      <c r="C21" s="6" t="s">
        <v>57</v>
      </c>
      <c r="D21" s="11">
        <v>3</v>
      </c>
      <c r="E21" s="11">
        <f>SUM(P21)</f>
        <v>406.98552631578951</v>
      </c>
      <c r="F21" s="11">
        <f>D21*E21</f>
        <v>1220.9565789473686</v>
      </c>
      <c r="G21" s="11">
        <f>SUM(S21)</f>
        <v>550</v>
      </c>
      <c r="H21" s="11">
        <f>D21*G21</f>
        <v>1650</v>
      </c>
      <c r="I21" s="11">
        <f>E21+G21</f>
        <v>956.98552631578946</v>
      </c>
      <c r="J21" s="11">
        <f>F21+H21</f>
        <v>2870.9565789473686</v>
      </c>
      <c r="K21" s="3">
        <f t="shared" si="7"/>
        <v>1057.1100000000001</v>
      </c>
      <c r="L21" s="49">
        <v>352.37</v>
      </c>
      <c r="M21" s="47">
        <f t="shared" si="8"/>
        <v>1057.1052631578948</v>
      </c>
      <c r="N21" s="36">
        <f>SUM([1]Rozpočet!$U$16)</f>
        <v>352.36842105263162</v>
      </c>
      <c r="O21" s="37">
        <f>$O$1</f>
        <v>1.155</v>
      </c>
      <c r="P21" s="38">
        <f>SUM(N21*O21)</f>
        <v>406.98552631578951</v>
      </c>
      <c r="S21" s="39">
        <v>550</v>
      </c>
      <c r="T21" s="40">
        <f t="shared" ref="T21" si="11">$T$1</f>
        <v>1.155</v>
      </c>
      <c r="U21" s="39">
        <f t="shared" ref="U21" si="12">SUM(S21*T21)</f>
        <v>635.25</v>
      </c>
      <c r="W21">
        <f t="shared" si="3"/>
        <v>1057.1052631578948</v>
      </c>
      <c r="X21">
        <f t="shared" si="4"/>
        <v>1650</v>
      </c>
    </row>
    <row r="22" spans="1:24">
      <c r="A22" s="6"/>
      <c r="B22" s="19" t="s">
        <v>11</v>
      </c>
      <c r="C22" s="6" t="s">
        <v>11</v>
      </c>
      <c r="D22" s="11"/>
      <c r="E22" s="11"/>
      <c r="F22" s="11"/>
      <c r="G22" s="11"/>
      <c r="H22" s="11"/>
      <c r="I22" s="11">
        <f>E22+G22</f>
        <v>0</v>
      </c>
      <c r="J22" s="11">
        <f>F22+H22</f>
        <v>0</v>
      </c>
      <c r="K22" s="3"/>
      <c r="L22" s="3"/>
      <c r="W22">
        <f t="shared" si="3"/>
        <v>0</v>
      </c>
      <c r="X22">
        <f t="shared" si="4"/>
        <v>0</v>
      </c>
    </row>
    <row r="23" spans="1:24">
      <c r="A23" s="7"/>
      <c r="B23" s="22" t="s">
        <v>67</v>
      </c>
      <c r="C23" s="7" t="s">
        <v>11</v>
      </c>
      <c r="D23" s="14"/>
      <c r="E23" s="14"/>
      <c r="F23" s="14">
        <f>SUM(F15:F22)</f>
        <v>38668.251078947367</v>
      </c>
      <c r="G23" s="14"/>
      <c r="H23" s="14">
        <f>SUM(H15:H22)</f>
        <v>14250</v>
      </c>
      <c r="I23" s="14"/>
      <c r="J23" s="14">
        <f>SUM(J15:J22)</f>
        <v>52918.251078947367</v>
      </c>
      <c r="K23" s="46">
        <f>SUM(K17:K22)</f>
        <v>52519.11</v>
      </c>
      <c r="L23" s="46"/>
      <c r="M23" s="48">
        <f>SUM(M17:M22)</f>
        <v>33479.005263157895</v>
      </c>
      <c r="W23">
        <f t="shared" si="3"/>
        <v>0</v>
      </c>
      <c r="X23">
        <f t="shared" si="4"/>
        <v>0</v>
      </c>
    </row>
    <row r="24" spans="1:24">
      <c r="A24" s="6"/>
      <c r="B24" s="19" t="s">
        <v>11</v>
      </c>
      <c r="C24" s="6" t="s">
        <v>11</v>
      </c>
      <c r="D24" s="11"/>
      <c r="E24" s="11"/>
      <c r="F24" s="11"/>
      <c r="G24" s="11"/>
      <c r="H24" s="11"/>
      <c r="I24" s="11">
        <f>E24+G24</f>
        <v>0</v>
      </c>
      <c r="J24" s="11">
        <f>F24+H24</f>
        <v>0</v>
      </c>
      <c r="K24" s="3"/>
      <c r="L24" s="3"/>
      <c r="W24">
        <f t="shared" si="3"/>
        <v>0</v>
      </c>
      <c r="X24">
        <f t="shared" si="4"/>
        <v>0</v>
      </c>
    </row>
    <row r="25" spans="1:24">
      <c r="A25" s="7"/>
      <c r="B25" s="22" t="s">
        <v>68</v>
      </c>
      <c r="C25" s="7" t="s">
        <v>11</v>
      </c>
      <c r="D25" s="14"/>
      <c r="E25" s="14"/>
      <c r="F25" s="14"/>
      <c r="G25" s="14"/>
      <c r="H25" s="14"/>
      <c r="I25" s="14"/>
      <c r="J25" s="14"/>
      <c r="K25" s="3"/>
      <c r="L25" s="3"/>
      <c r="W25">
        <f t="shared" si="3"/>
        <v>0</v>
      </c>
      <c r="X25">
        <f t="shared" si="4"/>
        <v>0</v>
      </c>
    </row>
    <row r="26" spans="1:24">
      <c r="A26" s="6"/>
      <c r="B26" s="19" t="s">
        <v>11</v>
      </c>
      <c r="C26" s="6" t="s">
        <v>11</v>
      </c>
      <c r="D26" s="11"/>
      <c r="E26" s="11"/>
      <c r="F26" s="11"/>
      <c r="G26" s="11"/>
      <c r="H26" s="11"/>
      <c r="I26" s="11">
        <f>E26+G26</f>
        <v>0</v>
      </c>
      <c r="J26" s="11">
        <f>F26+H26</f>
        <v>0</v>
      </c>
      <c r="K26" s="3"/>
      <c r="L26" s="3"/>
      <c r="W26">
        <f t="shared" si="3"/>
        <v>0</v>
      </c>
      <c r="X26">
        <f t="shared" si="4"/>
        <v>0</v>
      </c>
    </row>
    <row r="27" spans="1:24">
      <c r="A27" s="15"/>
      <c r="B27" s="23" t="s">
        <v>69</v>
      </c>
      <c r="C27" s="15" t="s">
        <v>11</v>
      </c>
      <c r="D27" s="16"/>
      <c r="E27" s="16"/>
      <c r="F27" s="16"/>
      <c r="G27" s="16"/>
      <c r="H27" s="16"/>
      <c r="I27" s="16"/>
      <c r="J27" s="16"/>
      <c r="K27" s="3"/>
      <c r="L27" s="3"/>
      <c r="W27">
        <f t="shared" si="3"/>
        <v>0</v>
      </c>
      <c r="X27">
        <f t="shared" si="4"/>
        <v>0</v>
      </c>
    </row>
    <row r="28" spans="1:24">
      <c r="A28" s="6"/>
      <c r="B28" s="19" t="s">
        <v>70</v>
      </c>
      <c r="C28" s="6" t="s">
        <v>71</v>
      </c>
      <c r="D28" s="11">
        <v>400</v>
      </c>
      <c r="E28" s="11">
        <f>SUM(P28)</f>
        <v>198.19800000000001</v>
      </c>
      <c r="F28" s="11">
        <f>D28*E28</f>
        <v>79279.199999999997</v>
      </c>
      <c r="G28" s="11">
        <f>SUM(S28)</f>
        <v>45</v>
      </c>
      <c r="H28" s="11">
        <f>D28*G28</f>
        <v>18000</v>
      </c>
      <c r="I28" s="11">
        <f>E28+G28</f>
        <v>243.19800000000001</v>
      </c>
      <c r="J28" s="11">
        <f>F28+H28</f>
        <v>97279.2</v>
      </c>
      <c r="K28" s="3"/>
      <c r="L28" s="3"/>
      <c r="N28" s="36">
        <f>SUM([2]List1!$E$180)</f>
        <v>171.6</v>
      </c>
      <c r="O28" s="37">
        <f>$O$1</f>
        <v>1.155</v>
      </c>
      <c r="P28" s="38">
        <f>SUM(N28*O28)</f>
        <v>198.19800000000001</v>
      </c>
      <c r="S28" s="39">
        <v>45</v>
      </c>
      <c r="T28" s="40">
        <f t="shared" ref="T28" si="13">$T$1</f>
        <v>1.155</v>
      </c>
      <c r="U28" s="39">
        <f t="shared" ref="U28" si="14">SUM(S28*T28)</f>
        <v>51.975000000000001</v>
      </c>
      <c r="W28">
        <f t="shared" si="3"/>
        <v>68640</v>
      </c>
      <c r="X28">
        <f t="shared" si="4"/>
        <v>18000</v>
      </c>
    </row>
    <row r="29" spans="1:24">
      <c r="A29" s="15"/>
      <c r="B29" s="23" t="s">
        <v>72</v>
      </c>
      <c r="C29" s="15" t="s">
        <v>11</v>
      </c>
      <c r="D29" s="16"/>
      <c r="E29" s="16"/>
      <c r="F29" s="16"/>
      <c r="G29" s="16"/>
      <c r="H29" s="16"/>
      <c r="I29" s="16"/>
      <c r="J29" s="16"/>
      <c r="K29" s="3"/>
      <c r="L29" s="3"/>
      <c r="W29">
        <f t="shared" si="3"/>
        <v>0</v>
      </c>
      <c r="X29">
        <f t="shared" si="4"/>
        <v>0</v>
      </c>
    </row>
    <row r="30" spans="1:24">
      <c r="A30" s="6"/>
      <c r="B30" s="19" t="s">
        <v>73</v>
      </c>
      <c r="C30" s="6" t="s">
        <v>71</v>
      </c>
      <c r="D30" s="11">
        <v>180</v>
      </c>
      <c r="E30" s="11">
        <f t="shared" ref="E30:E33" si="15">SUM(P30)</f>
        <v>13.495482000000001</v>
      </c>
      <c r="F30" s="11">
        <f t="shared" ref="F30:F33" si="16">D30*E30</f>
        <v>2429.18676</v>
      </c>
      <c r="G30" s="11">
        <f t="shared" ref="G30:G33" si="17">SUM(S30)</f>
        <v>22</v>
      </c>
      <c r="H30" s="11">
        <f>D30*G30</f>
        <v>3960</v>
      </c>
      <c r="I30" s="11">
        <f t="shared" ref="I30:J34" si="18">E30+G30</f>
        <v>35.495482000000003</v>
      </c>
      <c r="J30" s="11">
        <f t="shared" si="18"/>
        <v>6389.1867600000005</v>
      </c>
      <c r="K30" s="3"/>
      <c r="L30" s="3"/>
      <c r="N30" s="36">
        <f>SUM([2]List1!$E$181)</f>
        <v>11.6844</v>
      </c>
      <c r="O30" s="44">
        <f t="shared" ref="O30:O32" si="19">$O$1</f>
        <v>1.155</v>
      </c>
      <c r="P30" s="38">
        <f t="shared" ref="P30:P33" si="20">SUM(N30*O30)</f>
        <v>13.495482000000001</v>
      </c>
      <c r="S30" s="39">
        <v>22</v>
      </c>
      <c r="T30" s="40">
        <f t="shared" ref="T30:T33" si="21">$T$1</f>
        <v>1.155</v>
      </c>
      <c r="U30" s="39">
        <f t="shared" ref="U30:U33" si="22">SUM(S30*T30)</f>
        <v>25.41</v>
      </c>
      <c r="W30">
        <f t="shared" si="3"/>
        <v>2103.192</v>
      </c>
      <c r="X30">
        <f t="shared" si="4"/>
        <v>3960</v>
      </c>
    </row>
    <row r="31" spans="1:24">
      <c r="A31" s="6"/>
      <c r="B31" s="19" t="s">
        <v>74</v>
      </c>
      <c r="C31" s="6" t="s">
        <v>71</v>
      </c>
      <c r="D31" s="11">
        <v>550</v>
      </c>
      <c r="E31" s="11">
        <f t="shared" si="15"/>
        <v>111.36925799999999</v>
      </c>
      <c r="F31" s="11">
        <f t="shared" si="16"/>
        <v>61253.091899999992</v>
      </c>
      <c r="G31" s="11">
        <f t="shared" si="17"/>
        <v>28</v>
      </c>
      <c r="H31" s="11">
        <f>D31*G31</f>
        <v>15400</v>
      </c>
      <c r="I31" s="11">
        <f t="shared" si="18"/>
        <v>139.369258</v>
      </c>
      <c r="J31" s="11">
        <f t="shared" si="18"/>
        <v>76653.091899999999</v>
      </c>
      <c r="K31" s="3"/>
      <c r="L31" s="3"/>
      <c r="N31" s="36">
        <f>SUM([2]List1!$E$182)</f>
        <v>96.423599999999993</v>
      </c>
      <c r="O31" s="44">
        <f t="shared" si="19"/>
        <v>1.155</v>
      </c>
      <c r="P31" s="38">
        <f t="shared" si="20"/>
        <v>111.36925799999999</v>
      </c>
      <c r="S31" s="39">
        <v>28</v>
      </c>
      <c r="T31" s="40">
        <f t="shared" si="21"/>
        <v>1.155</v>
      </c>
      <c r="U31" s="39">
        <f t="shared" si="22"/>
        <v>32.340000000000003</v>
      </c>
      <c r="W31">
        <f t="shared" si="3"/>
        <v>53032.979999999996</v>
      </c>
      <c r="X31">
        <f t="shared" si="4"/>
        <v>15400</v>
      </c>
    </row>
    <row r="32" spans="1:24">
      <c r="A32" s="6"/>
      <c r="B32" s="19" t="s">
        <v>75</v>
      </c>
      <c r="C32" s="6" t="s">
        <v>71</v>
      </c>
      <c r="D32" s="11">
        <v>110</v>
      </c>
      <c r="E32" s="11">
        <f t="shared" si="15"/>
        <v>141.26112000000001</v>
      </c>
      <c r="F32" s="11">
        <f t="shared" si="16"/>
        <v>15538.7232</v>
      </c>
      <c r="G32" s="11">
        <f t="shared" si="17"/>
        <v>28</v>
      </c>
      <c r="H32" s="11">
        <f>D32*G32</f>
        <v>3080</v>
      </c>
      <c r="I32" s="11">
        <f t="shared" si="18"/>
        <v>169.26112000000001</v>
      </c>
      <c r="J32" s="11">
        <f t="shared" si="18"/>
        <v>18618.7232</v>
      </c>
      <c r="K32" s="3"/>
      <c r="L32" s="3"/>
      <c r="N32" s="36">
        <f>SUM([2]List1!$E$183)</f>
        <v>122.304</v>
      </c>
      <c r="O32" s="44">
        <f t="shared" si="19"/>
        <v>1.155</v>
      </c>
      <c r="P32" s="38">
        <f t="shared" si="20"/>
        <v>141.26112000000001</v>
      </c>
      <c r="S32" s="39">
        <v>28</v>
      </c>
      <c r="T32" s="40">
        <f t="shared" si="21"/>
        <v>1.155</v>
      </c>
      <c r="U32" s="39">
        <f t="shared" si="22"/>
        <v>32.340000000000003</v>
      </c>
      <c r="W32">
        <f t="shared" si="3"/>
        <v>13453.44</v>
      </c>
      <c r="X32">
        <f t="shared" si="4"/>
        <v>3080</v>
      </c>
    </row>
    <row r="33" spans="1:24">
      <c r="A33" s="6"/>
      <c r="B33" s="19" t="s">
        <v>76</v>
      </c>
      <c r="C33" s="6" t="s">
        <v>71</v>
      </c>
      <c r="D33" s="11">
        <v>150</v>
      </c>
      <c r="E33" s="11">
        <f t="shared" si="15"/>
        <v>36.624587999999996</v>
      </c>
      <c r="F33" s="11">
        <f t="shared" si="16"/>
        <v>5493.6881999999996</v>
      </c>
      <c r="G33" s="11">
        <f t="shared" si="17"/>
        <v>28</v>
      </c>
      <c r="H33" s="11">
        <f>D33*G33</f>
        <v>4200</v>
      </c>
      <c r="I33" s="11">
        <f t="shared" si="18"/>
        <v>64.624587999999989</v>
      </c>
      <c r="J33" s="11">
        <f t="shared" si="18"/>
        <v>9693.6882000000005</v>
      </c>
      <c r="K33" s="3"/>
      <c r="L33" s="3"/>
      <c r="N33" s="36">
        <f>SUM([2]List1!$E$184)</f>
        <v>31.709599999999998</v>
      </c>
      <c r="O33" s="37">
        <f t="shared" ref="O33" si="23">$O$1</f>
        <v>1.155</v>
      </c>
      <c r="P33" s="38">
        <f t="shared" si="20"/>
        <v>36.624587999999996</v>
      </c>
      <c r="S33" s="39">
        <v>28</v>
      </c>
      <c r="T33" s="40">
        <f t="shared" si="21"/>
        <v>1.155</v>
      </c>
      <c r="U33" s="39">
        <f t="shared" si="22"/>
        <v>32.340000000000003</v>
      </c>
      <c r="W33">
        <f t="shared" si="3"/>
        <v>4756.4399999999996</v>
      </c>
      <c r="X33">
        <f t="shared" si="4"/>
        <v>4200</v>
      </c>
    </row>
    <row r="34" spans="1:24">
      <c r="A34" s="6"/>
      <c r="B34" s="19" t="s">
        <v>11</v>
      </c>
      <c r="C34" s="6" t="s">
        <v>11</v>
      </c>
      <c r="D34" s="11"/>
      <c r="E34" s="11"/>
      <c r="F34" s="11"/>
      <c r="G34" s="11"/>
      <c r="H34" s="11"/>
      <c r="I34" s="11">
        <f t="shared" si="18"/>
        <v>0</v>
      </c>
      <c r="J34" s="11">
        <f t="shared" si="18"/>
        <v>0</v>
      </c>
      <c r="K34" s="3"/>
      <c r="L34" s="3"/>
      <c r="W34">
        <f t="shared" si="3"/>
        <v>0</v>
      </c>
      <c r="X34">
        <f t="shared" si="4"/>
        <v>0</v>
      </c>
    </row>
    <row r="35" spans="1:24">
      <c r="A35" s="7"/>
      <c r="B35" s="22" t="s">
        <v>77</v>
      </c>
      <c r="C35" s="7" t="s">
        <v>11</v>
      </c>
      <c r="D35" s="14"/>
      <c r="E35" s="14"/>
      <c r="F35" s="14">
        <f>SUM(F26:F34)</f>
        <v>163993.89006000001</v>
      </c>
      <c r="G35" s="14"/>
      <c r="H35" s="14">
        <f>SUM(H26:H34)</f>
        <v>44640</v>
      </c>
      <c r="I35" s="14"/>
      <c r="J35" s="14">
        <f>SUM(J26:J34)</f>
        <v>208633.89006000001</v>
      </c>
      <c r="K35" s="3"/>
      <c r="L35" s="3"/>
      <c r="W35">
        <f t="shared" si="3"/>
        <v>0</v>
      </c>
      <c r="X35">
        <f t="shared" si="4"/>
        <v>0</v>
      </c>
    </row>
    <row r="36" spans="1:24">
      <c r="A36" s="6"/>
      <c r="B36" s="19" t="s">
        <v>11</v>
      </c>
      <c r="C36" s="6" t="s">
        <v>11</v>
      </c>
      <c r="D36" s="11"/>
      <c r="E36" s="11"/>
      <c r="F36" s="11"/>
      <c r="G36" s="11"/>
      <c r="H36" s="11"/>
      <c r="I36" s="11">
        <f>E36+G36</f>
        <v>0</v>
      </c>
      <c r="J36" s="11">
        <f>F36+H36</f>
        <v>0</v>
      </c>
      <c r="K36" s="3"/>
      <c r="L36" s="3"/>
      <c r="W36">
        <f t="shared" si="3"/>
        <v>0</v>
      </c>
      <c r="X36">
        <f t="shared" si="4"/>
        <v>0</v>
      </c>
    </row>
    <row r="37" spans="1:24">
      <c r="A37" s="7"/>
      <c r="B37" s="22" t="s">
        <v>78</v>
      </c>
      <c r="C37" s="7" t="s">
        <v>11</v>
      </c>
      <c r="D37" s="14"/>
      <c r="E37" s="14"/>
      <c r="F37" s="14"/>
      <c r="G37" s="14"/>
      <c r="H37" s="14"/>
      <c r="I37" s="14"/>
      <c r="J37" s="14"/>
      <c r="K37" s="3"/>
      <c r="L37" s="3"/>
      <c r="W37">
        <f t="shared" si="3"/>
        <v>0</v>
      </c>
      <c r="X37">
        <f t="shared" si="4"/>
        <v>0</v>
      </c>
    </row>
    <row r="38" spans="1:24">
      <c r="A38" s="6"/>
      <c r="B38" s="19" t="s">
        <v>11</v>
      </c>
      <c r="C38" s="6" t="s">
        <v>11</v>
      </c>
      <c r="D38" s="11"/>
      <c r="E38" s="11"/>
      <c r="F38" s="11"/>
      <c r="G38" s="11"/>
      <c r="H38" s="11"/>
      <c r="I38" s="11">
        <f t="shared" ref="I38:J42" si="24">E38+G38</f>
        <v>0</v>
      </c>
      <c r="J38" s="11">
        <f t="shared" si="24"/>
        <v>0</v>
      </c>
      <c r="K38" s="3"/>
      <c r="L38" s="3"/>
      <c r="W38">
        <f t="shared" si="3"/>
        <v>0</v>
      </c>
      <c r="X38">
        <f t="shared" si="4"/>
        <v>0</v>
      </c>
    </row>
    <row r="39" spans="1:24">
      <c r="A39" s="6"/>
      <c r="B39" s="19" t="s">
        <v>79</v>
      </c>
      <c r="C39" s="6" t="s">
        <v>71</v>
      </c>
      <c r="D39" s="11">
        <v>20</v>
      </c>
      <c r="E39" s="11">
        <f t="shared" ref="E39:E41" si="25">SUM(P39)</f>
        <v>39.823245</v>
      </c>
      <c r="F39" s="11">
        <f t="shared" ref="F39:F41" si="26">D39*E39</f>
        <v>796.46489999999994</v>
      </c>
      <c r="G39" s="11">
        <f t="shared" ref="G39:G41" si="27">SUM(S39)</f>
        <v>30</v>
      </c>
      <c r="H39" s="11">
        <f>D39*G39</f>
        <v>600</v>
      </c>
      <c r="I39" s="11">
        <f t="shared" si="24"/>
        <v>69.823245</v>
      </c>
      <c r="J39" s="11">
        <f t="shared" si="24"/>
        <v>1396.4648999999999</v>
      </c>
      <c r="K39" s="3"/>
      <c r="L39" s="3"/>
      <c r="N39" s="36">
        <f>SUM([2]List1!$E$185)</f>
        <v>34.478999999999999</v>
      </c>
      <c r="O39" s="37">
        <f t="shared" ref="O39:O41" si="28">$O$1</f>
        <v>1.155</v>
      </c>
      <c r="P39" s="38">
        <f t="shared" ref="P39:P41" si="29">SUM(N39*O39)</f>
        <v>39.823245</v>
      </c>
      <c r="S39" s="39">
        <v>30</v>
      </c>
      <c r="T39" s="40">
        <f t="shared" ref="T39:T41" si="30">$T$1</f>
        <v>1.155</v>
      </c>
      <c r="U39" s="39">
        <f t="shared" ref="U39:U41" si="31">SUM(S39*T39)</f>
        <v>34.65</v>
      </c>
      <c r="W39">
        <f t="shared" si="3"/>
        <v>689.57999999999993</v>
      </c>
      <c r="X39">
        <f t="shared" si="4"/>
        <v>600</v>
      </c>
    </row>
    <row r="40" spans="1:24">
      <c r="A40" s="6"/>
      <c r="B40" s="19" t="s">
        <v>80</v>
      </c>
      <c r="C40" s="6" t="s">
        <v>71</v>
      </c>
      <c r="D40" s="11">
        <v>90</v>
      </c>
      <c r="E40" s="11">
        <f t="shared" si="25"/>
        <v>86.43870967741934</v>
      </c>
      <c r="F40" s="11">
        <f t="shared" si="26"/>
        <v>7779.4838709677406</v>
      </c>
      <c r="G40" s="11">
        <f t="shared" si="27"/>
        <v>40</v>
      </c>
      <c r="H40" s="11">
        <f>D40*G40</f>
        <v>3600</v>
      </c>
      <c r="I40" s="11">
        <f t="shared" si="24"/>
        <v>126.43870967741934</v>
      </c>
      <c r="J40" s="11">
        <f t="shared" si="24"/>
        <v>11379.483870967741</v>
      </c>
      <c r="K40" s="3"/>
      <c r="L40" s="3"/>
      <c r="N40" s="36">
        <f>SUM([1]Rozpočet!$U$34)</f>
        <v>74.838709677419345</v>
      </c>
      <c r="O40" s="37">
        <f t="shared" si="28"/>
        <v>1.155</v>
      </c>
      <c r="P40" s="38">
        <f t="shared" si="29"/>
        <v>86.43870967741934</v>
      </c>
      <c r="S40" s="39">
        <v>40</v>
      </c>
      <c r="T40" s="40">
        <f t="shared" si="30"/>
        <v>1.155</v>
      </c>
      <c r="U40" s="39">
        <f t="shared" si="31"/>
        <v>46.2</v>
      </c>
      <c r="W40">
        <f t="shared" si="3"/>
        <v>6735.4838709677415</v>
      </c>
      <c r="X40">
        <f t="shared" si="4"/>
        <v>3600</v>
      </c>
    </row>
    <row r="41" spans="1:24">
      <c r="A41" s="6"/>
      <c r="B41" s="19" t="s">
        <v>81</v>
      </c>
      <c r="C41" s="6" t="s">
        <v>71</v>
      </c>
      <c r="D41" s="11">
        <v>110</v>
      </c>
      <c r="E41" s="11">
        <f t="shared" si="25"/>
        <v>0</v>
      </c>
      <c r="F41" s="11">
        <f t="shared" si="26"/>
        <v>0</v>
      </c>
      <c r="G41" s="11">
        <f t="shared" si="27"/>
        <v>30</v>
      </c>
      <c r="H41" s="11">
        <f>D41*G41</f>
        <v>3300</v>
      </c>
      <c r="I41" s="11">
        <f t="shared" si="24"/>
        <v>30</v>
      </c>
      <c r="J41" s="11">
        <f t="shared" si="24"/>
        <v>3300</v>
      </c>
      <c r="K41" s="3"/>
      <c r="L41" s="3"/>
      <c r="N41" s="36"/>
      <c r="O41" s="37">
        <f t="shared" si="28"/>
        <v>1.155</v>
      </c>
      <c r="P41" s="38">
        <f t="shared" si="29"/>
        <v>0</v>
      </c>
      <c r="S41" s="39">
        <v>30</v>
      </c>
      <c r="T41" s="40">
        <f t="shared" si="30"/>
        <v>1.155</v>
      </c>
      <c r="U41" s="39">
        <f t="shared" si="31"/>
        <v>34.65</v>
      </c>
      <c r="W41">
        <f t="shared" si="3"/>
        <v>0</v>
      </c>
      <c r="X41">
        <f t="shared" si="4"/>
        <v>3300</v>
      </c>
    </row>
    <row r="42" spans="1:24">
      <c r="A42" s="6"/>
      <c r="B42" s="19" t="s">
        <v>11</v>
      </c>
      <c r="C42" s="6" t="s">
        <v>11</v>
      </c>
      <c r="D42" s="11"/>
      <c r="E42" s="11"/>
      <c r="F42" s="11"/>
      <c r="G42" s="11"/>
      <c r="H42" s="11"/>
      <c r="I42" s="11">
        <f t="shared" si="24"/>
        <v>0</v>
      </c>
      <c r="J42" s="11">
        <f t="shared" si="24"/>
        <v>0</v>
      </c>
      <c r="K42" s="3"/>
      <c r="L42" s="3"/>
      <c r="W42">
        <f t="shared" si="3"/>
        <v>0</v>
      </c>
      <c r="X42">
        <f t="shared" si="4"/>
        <v>0</v>
      </c>
    </row>
    <row r="43" spans="1:24" ht="23.25">
      <c r="A43" s="7"/>
      <c r="B43" s="22" t="s">
        <v>82</v>
      </c>
      <c r="C43" s="7" t="s">
        <v>11</v>
      </c>
      <c r="D43" s="14"/>
      <c r="E43" s="14"/>
      <c r="F43" s="14">
        <f>SUM(F38:F42)</f>
        <v>8575.9487709677414</v>
      </c>
      <c r="G43" s="14"/>
      <c r="H43" s="14">
        <f>SUM(H38:H42)</f>
        <v>7500</v>
      </c>
      <c r="I43" s="14"/>
      <c r="J43" s="14">
        <f>SUM(J38:J42)</f>
        <v>16075.948770967741</v>
      </c>
      <c r="K43" s="3"/>
      <c r="L43" s="3"/>
      <c r="W43">
        <f t="shared" si="3"/>
        <v>0</v>
      </c>
      <c r="X43">
        <f t="shared" si="4"/>
        <v>0</v>
      </c>
    </row>
    <row r="44" spans="1:24">
      <c r="A44" s="6"/>
      <c r="B44" s="19" t="s">
        <v>11</v>
      </c>
      <c r="C44" s="6" t="s">
        <v>11</v>
      </c>
      <c r="D44" s="11"/>
      <c r="E44" s="11"/>
      <c r="F44" s="11"/>
      <c r="G44" s="11"/>
      <c r="H44" s="11"/>
      <c r="I44" s="11">
        <f>E44+G44</f>
        <v>0</v>
      </c>
      <c r="J44" s="11">
        <f>F44+H44</f>
        <v>0</v>
      </c>
      <c r="K44" s="3"/>
      <c r="L44" s="3"/>
      <c r="W44">
        <f t="shared" si="3"/>
        <v>0</v>
      </c>
      <c r="X44">
        <f t="shared" si="4"/>
        <v>0</v>
      </c>
    </row>
    <row r="45" spans="1:24">
      <c r="A45" s="7"/>
      <c r="B45" s="22" t="s">
        <v>83</v>
      </c>
      <c r="C45" s="7" t="s">
        <v>11</v>
      </c>
      <c r="D45" s="14"/>
      <c r="E45" s="14"/>
      <c r="F45" s="14"/>
      <c r="G45" s="14"/>
      <c r="H45" s="14"/>
      <c r="I45" s="14"/>
      <c r="J45" s="14"/>
      <c r="K45" s="3"/>
      <c r="L45" s="3"/>
      <c r="W45">
        <f t="shared" si="3"/>
        <v>0</v>
      </c>
      <c r="X45">
        <f t="shared" si="4"/>
        <v>0</v>
      </c>
    </row>
    <row r="46" spans="1:24">
      <c r="A46" s="6"/>
      <c r="B46" s="19" t="s">
        <v>11</v>
      </c>
      <c r="C46" s="6" t="s">
        <v>11</v>
      </c>
      <c r="D46" s="11"/>
      <c r="E46" s="11"/>
      <c r="F46" s="11"/>
      <c r="G46" s="11"/>
      <c r="H46" s="11"/>
      <c r="I46" s="11">
        <f>E46+G46</f>
        <v>0</v>
      </c>
      <c r="J46" s="11">
        <f>F46+H46</f>
        <v>0</v>
      </c>
      <c r="K46" s="3"/>
      <c r="L46" s="3"/>
      <c r="W46">
        <f t="shared" si="3"/>
        <v>0</v>
      </c>
      <c r="X46">
        <f t="shared" si="4"/>
        <v>0</v>
      </c>
    </row>
    <row r="47" spans="1:24">
      <c r="A47" s="15"/>
      <c r="B47" s="23" t="s">
        <v>84</v>
      </c>
      <c r="C47" s="15" t="s">
        <v>11</v>
      </c>
      <c r="D47" s="16"/>
      <c r="E47" s="16"/>
      <c r="F47" s="16"/>
      <c r="G47" s="16"/>
      <c r="H47" s="16"/>
      <c r="I47" s="16"/>
      <c r="J47" s="16"/>
      <c r="K47" s="3"/>
      <c r="L47" s="3"/>
      <c r="W47">
        <f t="shared" si="3"/>
        <v>0</v>
      </c>
      <c r="X47">
        <f t="shared" si="4"/>
        <v>0</v>
      </c>
    </row>
    <row r="48" spans="1:24">
      <c r="A48" s="15"/>
      <c r="B48" s="23" t="s">
        <v>85</v>
      </c>
      <c r="C48" s="15" t="s">
        <v>11</v>
      </c>
      <c r="D48" s="16"/>
      <c r="E48" s="16"/>
      <c r="F48" s="16"/>
      <c r="G48" s="16"/>
      <c r="H48" s="16"/>
      <c r="I48" s="16"/>
      <c r="J48" s="16"/>
      <c r="K48" s="3"/>
      <c r="L48" s="3"/>
      <c r="W48">
        <f t="shared" si="3"/>
        <v>0</v>
      </c>
      <c r="X48">
        <f t="shared" si="4"/>
        <v>0</v>
      </c>
    </row>
    <row r="49" spans="1:24">
      <c r="A49" s="6"/>
      <c r="B49" s="19" t="s">
        <v>86</v>
      </c>
      <c r="C49" s="6" t="s">
        <v>57</v>
      </c>
      <c r="D49" s="11">
        <v>6</v>
      </c>
      <c r="E49" s="11">
        <f t="shared" ref="E49:E51" si="32">SUM(P49)</f>
        <v>28.279263157894739</v>
      </c>
      <c r="F49" s="11">
        <f t="shared" ref="F49:F51" si="33">D49*E49</f>
        <v>169.67557894736842</v>
      </c>
      <c r="G49" s="11">
        <f t="shared" ref="G49:G51" si="34">SUM(S49)</f>
        <v>120</v>
      </c>
      <c r="H49" s="11">
        <f>D49*G49</f>
        <v>720</v>
      </c>
      <c r="I49" s="11">
        <f t="shared" ref="I49:J51" si="35">E49+G49</f>
        <v>148.27926315789475</v>
      </c>
      <c r="J49" s="11">
        <f t="shared" si="35"/>
        <v>889.67557894736842</v>
      </c>
      <c r="K49" s="3"/>
      <c r="L49" s="3"/>
      <c r="N49" s="36">
        <v>24.484210526315792</v>
      </c>
      <c r="O49" s="37">
        <f t="shared" ref="O49:O51" si="36">$O$1</f>
        <v>1.155</v>
      </c>
      <c r="P49" s="38">
        <f t="shared" ref="P49:P51" si="37">SUM(N49*O49)</f>
        <v>28.279263157894739</v>
      </c>
      <c r="S49" s="39">
        <v>120</v>
      </c>
      <c r="T49" s="40">
        <f t="shared" ref="T49:T51" si="38">$T$1</f>
        <v>1.155</v>
      </c>
      <c r="U49" s="39">
        <f t="shared" ref="U49:U51" si="39">SUM(S49*T49)</f>
        <v>138.6</v>
      </c>
      <c r="W49">
        <f t="shared" si="3"/>
        <v>146.90526315789475</v>
      </c>
      <c r="X49">
        <f t="shared" si="4"/>
        <v>720</v>
      </c>
    </row>
    <row r="50" spans="1:24">
      <c r="A50" s="6"/>
      <c r="B50" s="19" t="s">
        <v>87</v>
      </c>
      <c r="C50" s="6" t="s">
        <v>57</v>
      </c>
      <c r="D50" s="11">
        <v>20</v>
      </c>
      <c r="E50" s="11">
        <f t="shared" si="32"/>
        <v>28.279263157894739</v>
      </c>
      <c r="F50" s="11">
        <f t="shared" si="33"/>
        <v>565.58526315789481</v>
      </c>
      <c r="G50" s="11">
        <f t="shared" si="34"/>
        <v>150</v>
      </c>
      <c r="H50" s="11">
        <f>D50*G50</f>
        <v>3000</v>
      </c>
      <c r="I50" s="11">
        <f t="shared" si="35"/>
        <v>178.27926315789475</v>
      </c>
      <c r="J50" s="11">
        <f t="shared" si="35"/>
        <v>3565.5852631578946</v>
      </c>
      <c r="K50" s="3"/>
      <c r="L50" s="3"/>
      <c r="N50" s="36">
        <v>24.484210526315792</v>
      </c>
      <c r="O50" s="37">
        <f t="shared" si="36"/>
        <v>1.155</v>
      </c>
      <c r="P50" s="38">
        <f t="shared" si="37"/>
        <v>28.279263157894739</v>
      </c>
      <c r="S50" s="39">
        <v>150</v>
      </c>
      <c r="T50" s="40">
        <f t="shared" si="38"/>
        <v>1.155</v>
      </c>
      <c r="U50" s="39">
        <f t="shared" si="39"/>
        <v>173.25</v>
      </c>
      <c r="W50">
        <f t="shared" si="3"/>
        <v>489.68421052631584</v>
      </c>
      <c r="X50">
        <f t="shared" si="4"/>
        <v>3000</v>
      </c>
    </row>
    <row r="51" spans="1:24">
      <c r="A51" s="6"/>
      <c r="B51" s="19" t="s">
        <v>88</v>
      </c>
      <c r="C51" s="6" t="s">
        <v>57</v>
      </c>
      <c r="D51" s="11">
        <v>4</v>
      </c>
      <c r="E51" s="11">
        <f t="shared" si="32"/>
        <v>48.631578947368425</v>
      </c>
      <c r="F51" s="11">
        <f t="shared" si="33"/>
        <v>194.5263157894737</v>
      </c>
      <c r="G51" s="11">
        <f t="shared" si="34"/>
        <v>250</v>
      </c>
      <c r="H51" s="11">
        <f>D51*G51</f>
        <v>1000</v>
      </c>
      <c r="I51" s="11">
        <f t="shared" si="35"/>
        <v>298.63157894736844</v>
      </c>
      <c r="J51" s="11">
        <f t="shared" si="35"/>
        <v>1194.5263157894738</v>
      </c>
      <c r="K51" s="3"/>
      <c r="L51" s="3"/>
      <c r="N51" s="36">
        <v>42.10526315789474</v>
      </c>
      <c r="O51" s="37">
        <f t="shared" si="36"/>
        <v>1.155</v>
      </c>
      <c r="P51" s="38">
        <f t="shared" si="37"/>
        <v>48.631578947368425</v>
      </c>
      <c r="S51" s="39">
        <v>250</v>
      </c>
      <c r="T51" s="40">
        <f t="shared" si="38"/>
        <v>1.155</v>
      </c>
      <c r="U51" s="39">
        <f t="shared" si="39"/>
        <v>288.75</v>
      </c>
      <c r="W51">
        <f t="shared" si="3"/>
        <v>168.42105263157896</v>
      </c>
      <c r="X51">
        <f t="shared" si="4"/>
        <v>1000</v>
      </c>
    </row>
    <row r="52" spans="1:24">
      <c r="A52" s="15"/>
      <c r="B52" s="23" t="s">
        <v>89</v>
      </c>
      <c r="C52" s="15" t="s">
        <v>11</v>
      </c>
      <c r="D52" s="16"/>
      <c r="E52" s="16"/>
      <c r="F52" s="16"/>
      <c r="G52" s="16"/>
      <c r="H52" s="16"/>
      <c r="I52" s="16"/>
      <c r="J52" s="16"/>
      <c r="K52" s="3"/>
      <c r="L52" s="3"/>
      <c r="W52">
        <f t="shared" si="3"/>
        <v>0</v>
      </c>
      <c r="X52">
        <f t="shared" si="4"/>
        <v>0</v>
      </c>
    </row>
    <row r="53" spans="1:24">
      <c r="A53" s="6"/>
      <c r="B53" s="19" t="s">
        <v>90</v>
      </c>
      <c r="C53" s="6" t="s">
        <v>57</v>
      </c>
      <c r="D53" s="11">
        <v>120</v>
      </c>
      <c r="E53" s="11">
        <f t="shared" ref="E53:E58" si="40">SUM(P53)</f>
        <v>0</v>
      </c>
      <c r="F53" s="11">
        <f t="shared" ref="F53:F58" si="41">D53*E53</f>
        <v>0</v>
      </c>
      <c r="G53" s="11">
        <f t="shared" ref="G53:G58" si="42">SUM(S53)</f>
        <v>15</v>
      </c>
      <c r="H53" s="11">
        <f t="shared" ref="H53:H58" si="43">D53*G53</f>
        <v>1800</v>
      </c>
      <c r="I53" s="11">
        <f t="shared" ref="I53:J59" si="44">E53+G53</f>
        <v>15</v>
      </c>
      <c r="J53" s="11">
        <f t="shared" si="44"/>
        <v>1800</v>
      </c>
      <c r="K53" s="3"/>
      <c r="L53" s="3"/>
      <c r="N53" s="36"/>
      <c r="O53" s="37">
        <f t="shared" ref="O53:O58" si="45">$O$1</f>
        <v>1.155</v>
      </c>
      <c r="P53" s="38">
        <f t="shared" ref="P53:P58" si="46">SUM(N53*O53)</f>
        <v>0</v>
      </c>
      <c r="S53" s="39">
        <v>15</v>
      </c>
      <c r="T53" s="40">
        <f t="shared" ref="T53:T58" si="47">$T$1</f>
        <v>1.155</v>
      </c>
      <c r="U53" s="39">
        <f t="shared" ref="U53:U58" si="48">SUM(S53*T53)</f>
        <v>17.324999999999999</v>
      </c>
      <c r="W53">
        <f t="shared" si="3"/>
        <v>0</v>
      </c>
      <c r="X53">
        <f t="shared" si="4"/>
        <v>1800</v>
      </c>
    </row>
    <row r="54" spans="1:24">
      <c r="A54" s="6"/>
      <c r="B54" s="19" t="s">
        <v>91</v>
      </c>
      <c r="C54" s="6" t="s">
        <v>57</v>
      </c>
      <c r="D54" s="11">
        <v>80</v>
      </c>
      <c r="E54" s="11">
        <f t="shared" si="40"/>
        <v>0</v>
      </c>
      <c r="F54" s="11">
        <f t="shared" si="41"/>
        <v>0</v>
      </c>
      <c r="G54" s="11">
        <f t="shared" si="42"/>
        <v>15</v>
      </c>
      <c r="H54" s="11">
        <f t="shared" si="43"/>
        <v>1200</v>
      </c>
      <c r="I54" s="11">
        <f t="shared" si="44"/>
        <v>15</v>
      </c>
      <c r="J54" s="11">
        <f t="shared" si="44"/>
        <v>1200</v>
      </c>
      <c r="K54" s="3"/>
      <c r="L54" s="3"/>
      <c r="N54" s="36"/>
      <c r="O54" s="37">
        <f t="shared" si="45"/>
        <v>1.155</v>
      </c>
      <c r="P54" s="38">
        <f t="shared" si="46"/>
        <v>0</v>
      </c>
      <c r="S54" s="39">
        <v>15</v>
      </c>
      <c r="T54" s="40">
        <f t="shared" si="47"/>
        <v>1.155</v>
      </c>
      <c r="U54" s="39">
        <f t="shared" si="48"/>
        <v>17.324999999999999</v>
      </c>
      <c r="W54">
        <f t="shared" si="3"/>
        <v>0</v>
      </c>
      <c r="X54">
        <f t="shared" si="4"/>
        <v>1200</v>
      </c>
    </row>
    <row r="55" spans="1:24">
      <c r="A55" s="6"/>
      <c r="B55" s="19" t="s">
        <v>92</v>
      </c>
      <c r="C55" s="6" t="s">
        <v>57</v>
      </c>
      <c r="D55" s="11">
        <v>80</v>
      </c>
      <c r="E55" s="11">
        <f t="shared" si="40"/>
        <v>0</v>
      </c>
      <c r="F55" s="11">
        <f t="shared" si="41"/>
        <v>0</v>
      </c>
      <c r="G55" s="11">
        <f t="shared" si="42"/>
        <v>20</v>
      </c>
      <c r="H55" s="11">
        <f t="shared" si="43"/>
        <v>1600</v>
      </c>
      <c r="I55" s="11">
        <f t="shared" si="44"/>
        <v>20</v>
      </c>
      <c r="J55" s="11">
        <f t="shared" si="44"/>
        <v>1600</v>
      </c>
      <c r="K55" s="3"/>
      <c r="L55" s="3"/>
      <c r="N55" s="36"/>
      <c r="O55" s="37">
        <f t="shared" si="45"/>
        <v>1.155</v>
      </c>
      <c r="P55" s="38">
        <f t="shared" si="46"/>
        <v>0</v>
      </c>
      <c r="S55" s="39">
        <v>20</v>
      </c>
      <c r="T55" s="40">
        <f t="shared" si="47"/>
        <v>1.155</v>
      </c>
      <c r="U55" s="39">
        <f t="shared" si="48"/>
        <v>23.1</v>
      </c>
      <c r="W55">
        <f t="shared" si="3"/>
        <v>0</v>
      </c>
      <c r="X55">
        <f t="shared" si="4"/>
        <v>1600</v>
      </c>
    </row>
    <row r="56" spans="1:24">
      <c r="A56" s="6"/>
      <c r="B56" s="19" t="s">
        <v>93</v>
      </c>
      <c r="C56" s="6" t="s">
        <v>57</v>
      </c>
      <c r="D56" s="11">
        <v>8</v>
      </c>
      <c r="E56" s="11">
        <f t="shared" si="40"/>
        <v>0</v>
      </c>
      <c r="F56" s="11">
        <f t="shared" si="41"/>
        <v>0</v>
      </c>
      <c r="G56" s="11">
        <f t="shared" si="42"/>
        <v>25</v>
      </c>
      <c r="H56" s="11">
        <f t="shared" si="43"/>
        <v>200</v>
      </c>
      <c r="I56" s="11">
        <f t="shared" si="44"/>
        <v>25</v>
      </c>
      <c r="J56" s="11">
        <f t="shared" si="44"/>
        <v>200</v>
      </c>
      <c r="K56" s="3"/>
      <c r="L56" s="3"/>
      <c r="N56" s="36"/>
      <c r="O56" s="37">
        <f t="shared" si="45"/>
        <v>1.155</v>
      </c>
      <c r="P56" s="38">
        <f t="shared" si="46"/>
        <v>0</v>
      </c>
      <c r="S56" s="39">
        <v>25</v>
      </c>
      <c r="T56" s="40">
        <f t="shared" si="47"/>
        <v>1.155</v>
      </c>
      <c r="U56" s="39">
        <f t="shared" si="48"/>
        <v>28.875</v>
      </c>
      <c r="W56">
        <f t="shared" si="3"/>
        <v>0</v>
      </c>
      <c r="X56">
        <f t="shared" si="4"/>
        <v>200</v>
      </c>
    </row>
    <row r="57" spans="1:24">
      <c r="A57" s="6"/>
      <c r="B57" s="19" t="s">
        <v>94</v>
      </c>
      <c r="C57" s="6" t="s">
        <v>57</v>
      </c>
      <c r="D57" s="11">
        <v>4</v>
      </c>
      <c r="E57" s="11">
        <f t="shared" si="40"/>
        <v>0</v>
      </c>
      <c r="F57" s="11">
        <f t="shared" si="41"/>
        <v>0</v>
      </c>
      <c r="G57" s="11">
        <f t="shared" si="42"/>
        <v>32</v>
      </c>
      <c r="H57" s="11">
        <f t="shared" si="43"/>
        <v>128</v>
      </c>
      <c r="I57" s="11">
        <f t="shared" si="44"/>
        <v>32</v>
      </c>
      <c r="J57" s="11">
        <f t="shared" si="44"/>
        <v>128</v>
      </c>
      <c r="K57" s="3"/>
      <c r="L57" s="3"/>
      <c r="N57" s="36"/>
      <c r="O57" s="37">
        <f t="shared" si="45"/>
        <v>1.155</v>
      </c>
      <c r="P57" s="38">
        <f t="shared" si="46"/>
        <v>0</v>
      </c>
      <c r="S57" s="39">
        <v>32</v>
      </c>
      <c r="T57" s="40">
        <f t="shared" si="47"/>
        <v>1.155</v>
      </c>
      <c r="U57" s="39">
        <f t="shared" si="48"/>
        <v>36.96</v>
      </c>
      <c r="W57">
        <f t="shared" si="3"/>
        <v>0</v>
      </c>
      <c r="X57">
        <f t="shared" si="4"/>
        <v>128</v>
      </c>
    </row>
    <row r="58" spans="1:24">
      <c r="A58" s="6"/>
      <c r="B58" s="19" t="s">
        <v>95</v>
      </c>
      <c r="C58" s="6" t="s">
        <v>57</v>
      </c>
      <c r="D58" s="11">
        <v>12</v>
      </c>
      <c r="E58" s="11">
        <f t="shared" si="40"/>
        <v>0</v>
      </c>
      <c r="F58" s="11">
        <f t="shared" si="41"/>
        <v>0</v>
      </c>
      <c r="G58" s="11">
        <f t="shared" si="42"/>
        <v>50</v>
      </c>
      <c r="H58" s="11">
        <f t="shared" si="43"/>
        <v>600</v>
      </c>
      <c r="I58" s="11">
        <f t="shared" si="44"/>
        <v>50</v>
      </c>
      <c r="J58" s="11">
        <f t="shared" si="44"/>
        <v>600</v>
      </c>
      <c r="K58" s="3"/>
      <c r="L58" s="3"/>
      <c r="N58" s="36"/>
      <c r="O58" s="37">
        <f t="shared" si="45"/>
        <v>1.155</v>
      </c>
      <c r="P58" s="38">
        <f t="shared" si="46"/>
        <v>0</v>
      </c>
      <c r="S58" s="39">
        <v>50</v>
      </c>
      <c r="T58" s="40">
        <f t="shared" si="47"/>
        <v>1.155</v>
      </c>
      <c r="U58" s="39">
        <f t="shared" si="48"/>
        <v>57.75</v>
      </c>
      <c r="W58">
        <f t="shared" si="3"/>
        <v>0</v>
      </c>
      <c r="X58">
        <f t="shared" si="4"/>
        <v>600</v>
      </c>
    </row>
    <row r="59" spans="1:24">
      <c r="A59" s="6"/>
      <c r="B59" s="19" t="s">
        <v>11</v>
      </c>
      <c r="C59" s="6" t="s">
        <v>11</v>
      </c>
      <c r="D59" s="11"/>
      <c r="E59" s="11"/>
      <c r="F59" s="11"/>
      <c r="G59" s="11"/>
      <c r="H59" s="11"/>
      <c r="I59" s="11">
        <f t="shared" si="44"/>
        <v>0</v>
      </c>
      <c r="J59" s="11">
        <f t="shared" si="44"/>
        <v>0</v>
      </c>
      <c r="K59" s="3"/>
      <c r="L59" s="3"/>
      <c r="W59">
        <f t="shared" si="3"/>
        <v>0</v>
      </c>
      <c r="X59">
        <f t="shared" si="4"/>
        <v>0</v>
      </c>
    </row>
    <row r="60" spans="1:24">
      <c r="A60" s="7"/>
      <c r="B60" s="22" t="s">
        <v>96</v>
      </c>
      <c r="C60" s="7" t="s">
        <v>11</v>
      </c>
      <c r="D60" s="14"/>
      <c r="E60" s="14"/>
      <c r="F60" s="14">
        <f>SUM(F46:F59)</f>
        <v>929.78715789473699</v>
      </c>
      <c r="G60" s="14"/>
      <c r="H60" s="14">
        <f>SUM(H46:H59)</f>
        <v>10248</v>
      </c>
      <c r="I60" s="14"/>
      <c r="J60" s="14">
        <f>SUM(J46:J59)</f>
        <v>11177.787157894736</v>
      </c>
      <c r="K60" s="3"/>
      <c r="L60" s="3"/>
      <c r="W60">
        <f t="shared" si="3"/>
        <v>0</v>
      </c>
      <c r="X60">
        <f t="shared" si="4"/>
        <v>0</v>
      </c>
    </row>
    <row r="61" spans="1:24">
      <c r="A61" s="6"/>
      <c r="B61" s="19" t="s">
        <v>11</v>
      </c>
      <c r="C61" s="6" t="s">
        <v>11</v>
      </c>
      <c r="D61" s="11"/>
      <c r="E61" s="11"/>
      <c r="F61" s="11"/>
      <c r="G61" s="11"/>
      <c r="H61" s="11"/>
      <c r="I61" s="11">
        <f>E61+G61</f>
        <v>0</v>
      </c>
      <c r="J61" s="11">
        <f>F61+H61</f>
        <v>0</v>
      </c>
      <c r="K61" s="3"/>
      <c r="L61" s="3"/>
      <c r="W61">
        <f t="shared" si="3"/>
        <v>0</v>
      </c>
      <c r="X61">
        <f t="shared" si="4"/>
        <v>0</v>
      </c>
    </row>
    <row r="62" spans="1:24">
      <c r="A62" s="7"/>
      <c r="B62" s="22" t="s">
        <v>97</v>
      </c>
      <c r="C62" s="7" t="s">
        <v>11</v>
      </c>
      <c r="D62" s="14"/>
      <c r="E62" s="14"/>
      <c r="F62" s="14"/>
      <c r="G62" s="14"/>
      <c r="H62" s="14"/>
      <c r="I62" s="14"/>
      <c r="J62" s="14"/>
      <c r="K62" s="3"/>
      <c r="L62" s="3"/>
      <c r="W62">
        <f t="shared" si="3"/>
        <v>0</v>
      </c>
      <c r="X62">
        <f t="shared" si="4"/>
        <v>0</v>
      </c>
    </row>
    <row r="63" spans="1:24">
      <c r="A63" s="6"/>
      <c r="B63" s="19" t="s">
        <v>11</v>
      </c>
      <c r="C63" s="6" t="s">
        <v>11</v>
      </c>
      <c r="D63" s="11"/>
      <c r="E63" s="11"/>
      <c r="F63" s="11"/>
      <c r="G63" s="11"/>
      <c r="H63" s="11"/>
      <c r="I63" s="11">
        <f>E63+G63</f>
        <v>0</v>
      </c>
      <c r="J63" s="11">
        <f>F63+H63</f>
        <v>0</v>
      </c>
      <c r="K63" s="3"/>
      <c r="L63" s="3"/>
      <c r="W63">
        <f t="shared" si="3"/>
        <v>0</v>
      </c>
      <c r="X63">
        <f t="shared" si="4"/>
        <v>0</v>
      </c>
    </row>
    <row r="64" spans="1:24">
      <c r="A64" s="15"/>
      <c r="B64" s="23" t="s">
        <v>98</v>
      </c>
      <c r="C64" s="15" t="s">
        <v>11</v>
      </c>
      <c r="D64" s="16"/>
      <c r="E64" s="16"/>
      <c r="F64" s="16"/>
      <c r="G64" s="16"/>
      <c r="H64" s="16"/>
      <c r="I64" s="16"/>
      <c r="J64" s="16"/>
      <c r="K64" s="3"/>
      <c r="L64" s="3"/>
      <c r="W64">
        <f t="shared" si="3"/>
        <v>0</v>
      </c>
      <c r="X64">
        <f t="shared" si="4"/>
        <v>0</v>
      </c>
    </row>
    <row r="65" spans="1:24">
      <c r="A65" s="15"/>
      <c r="B65" s="23" t="s">
        <v>99</v>
      </c>
      <c r="C65" s="15" t="s">
        <v>11</v>
      </c>
      <c r="D65" s="16"/>
      <c r="E65" s="16"/>
      <c r="F65" s="16"/>
      <c r="G65" s="16"/>
      <c r="H65" s="16"/>
      <c r="I65" s="16"/>
      <c r="J65" s="16"/>
      <c r="K65" s="3"/>
      <c r="L65" s="3"/>
      <c r="W65">
        <f t="shared" si="3"/>
        <v>0</v>
      </c>
      <c r="X65">
        <f t="shared" si="4"/>
        <v>0</v>
      </c>
    </row>
    <row r="66" spans="1:24">
      <c r="A66" s="6"/>
      <c r="B66" s="19" t="s">
        <v>100</v>
      </c>
      <c r="C66" s="6" t="s">
        <v>71</v>
      </c>
      <c r="D66" s="11">
        <v>50</v>
      </c>
      <c r="E66" s="11">
        <f>SUM(P66)</f>
        <v>48.51</v>
      </c>
      <c r="F66" s="11">
        <f>D66*E66</f>
        <v>2425.5</v>
      </c>
      <c r="G66" s="11">
        <f>SUM(S66)</f>
        <v>65</v>
      </c>
      <c r="H66" s="11">
        <f>D66*G66</f>
        <v>3250</v>
      </c>
      <c r="I66" s="11">
        <f>E66+G66</f>
        <v>113.50999999999999</v>
      </c>
      <c r="J66" s="11">
        <f>F66+H66</f>
        <v>5675.5</v>
      </c>
      <c r="K66" s="3"/>
      <c r="L66" s="3"/>
      <c r="N66" s="36">
        <v>42</v>
      </c>
      <c r="O66" s="37">
        <f>$O$1</f>
        <v>1.155</v>
      </c>
      <c r="P66" s="38">
        <f>SUM(N66*O66)</f>
        <v>48.51</v>
      </c>
      <c r="S66" s="39">
        <v>65</v>
      </c>
      <c r="T66" s="40">
        <f t="shared" ref="T66" si="49">$T$1</f>
        <v>1.155</v>
      </c>
      <c r="U66" s="39">
        <f t="shared" ref="U66" si="50">SUM(S66*T66)</f>
        <v>75.075000000000003</v>
      </c>
      <c r="W66">
        <f t="shared" si="3"/>
        <v>2100</v>
      </c>
      <c r="X66">
        <f t="shared" si="4"/>
        <v>3250</v>
      </c>
    </row>
    <row r="67" spans="1:24">
      <c r="A67" s="15"/>
      <c r="B67" s="23" t="s">
        <v>101</v>
      </c>
      <c r="C67" s="15" t="s">
        <v>11</v>
      </c>
      <c r="D67" s="16"/>
      <c r="E67" s="16"/>
      <c r="F67" s="16"/>
      <c r="G67" s="16"/>
      <c r="H67" s="16"/>
      <c r="I67" s="16"/>
      <c r="J67" s="16"/>
      <c r="K67" s="3"/>
      <c r="L67" s="3"/>
      <c r="W67">
        <f t="shared" si="3"/>
        <v>0</v>
      </c>
      <c r="X67">
        <f t="shared" si="4"/>
        <v>0</v>
      </c>
    </row>
    <row r="68" spans="1:24">
      <c r="A68" s="6"/>
      <c r="B68" s="19" t="s">
        <v>102</v>
      </c>
      <c r="C68" s="6" t="s">
        <v>71</v>
      </c>
      <c r="D68" s="11">
        <v>650</v>
      </c>
      <c r="E68" s="11">
        <f>SUM(P68)</f>
        <v>35.805</v>
      </c>
      <c r="F68" s="11">
        <f>D68*E68</f>
        <v>23273.25</v>
      </c>
      <c r="G68" s="11">
        <f>SUM(S68)</f>
        <v>65</v>
      </c>
      <c r="H68" s="11">
        <f>D68*G68</f>
        <v>42250</v>
      </c>
      <c r="I68" s="11">
        <f>E68+G68</f>
        <v>100.80500000000001</v>
      </c>
      <c r="J68" s="11">
        <f>F68+H68</f>
        <v>65523.25</v>
      </c>
      <c r="K68" s="3"/>
      <c r="L68" s="3"/>
      <c r="N68" s="36">
        <v>31</v>
      </c>
      <c r="O68" s="37">
        <f>$O$1</f>
        <v>1.155</v>
      </c>
      <c r="P68" s="38">
        <f>SUM(N68*O68)</f>
        <v>35.805</v>
      </c>
      <c r="S68" s="39">
        <v>65</v>
      </c>
      <c r="T68" s="40">
        <f t="shared" ref="T68" si="51">$T$1</f>
        <v>1.155</v>
      </c>
      <c r="U68" s="39">
        <f t="shared" ref="U68" si="52">SUM(S68*T68)</f>
        <v>75.075000000000003</v>
      </c>
      <c r="W68">
        <f t="shared" si="3"/>
        <v>20150</v>
      </c>
      <c r="X68">
        <f t="shared" si="4"/>
        <v>42250</v>
      </c>
    </row>
    <row r="69" spans="1:24">
      <c r="A69" s="15"/>
      <c r="B69" s="23" t="s">
        <v>99</v>
      </c>
      <c r="C69" s="15" t="s">
        <v>11</v>
      </c>
      <c r="D69" s="16"/>
      <c r="E69" s="16"/>
      <c r="F69" s="16"/>
      <c r="G69" s="16"/>
      <c r="H69" s="16"/>
      <c r="I69" s="16"/>
      <c r="J69" s="16"/>
      <c r="K69" s="3"/>
      <c r="L69" s="3"/>
      <c r="W69">
        <f t="shared" si="3"/>
        <v>0</v>
      </c>
      <c r="X69">
        <f t="shared" si="4"/>
        <v>0</v>
      </c>
    </row>
    <row r="70" spans="1:24">
      <c r="A70" s="6"/>
      <c r="B70" s="19" t="s">
        <v>103</v>
      </c>
      <c r="C70" s="6" t="s">
        <v>71</v>
      </c>
      <c r="D70" s="11">
        <v>40</v>
      </c>
      <c r="E70" s="11">
        <f>SUM(P70)</f>
        <v>245.42595000000003</v>
      </c>
      <c r="F70" s="11">
        <f>D70*E70</f>
        <v>9817.0380000000005</v>
      </c>
      <c r="G70" s="11">
        <f>SUM(S70)</f>
        <v>35</v>
      </c>
      <c r="H70" s="11">
        <f>D70*G70</f>
        <v>1400</v>
      </c>
      <c r="I70" s="11">
        <f>E70+G70</f>
        <v>280.42595000000006</v>
      </c>
      <c r="J70" s="11">
        <f>F70+H70</f>
        <v>11217.038</v>
      </c>
      <c r="K70" s="3"/>
      <c r="L70" s="3"/>
      <c r="N70" s="36">
        <v>212.49</v>
      </c>
      <c r="O70" s="37">
        <f>$O$1</f>
        <v>1.155</v>
      </c>
      <c r="P70" s="38">
        <f>SUM(N70*O70)</f>
        <v>245.42595000000003</v>
      </c>
      <c r="S70" s="39">
        <v>35</v>
      </c>
      <c r="T70" s="40">
        <f t="shared" ref="T70" si="53">$T$1</f>
        <v>1.155</v>
      </c>
      <c r="U70" s="39">
        <f t="shared" ref="U70" si="54">SUM(S70*T70)</f>
        <v>40.425000000000004</v>
      </c>
      <c r="W70">
        <f t="shared" si="3"/>
        <v>8499.6</v>
      </c>
      <c r="X70">
        <f t="shared" si="4"/>
        <v>1400</v>
      </c>
    </row>
    <row r="71" spans="1:24">
      <c r="A71" s="15"/>
      <c r="B71" s="23" t="s">
        <v>104</v>
      </c>
      <c r="C71" s="15" t="s">
        <v>11</v>
      </c>
      <c r="D71" s="16"/>
      <c r="E71" s="16"/>
      <c r="F71" s="16"/>
      <c r="G71" s="16"/>
      <c r="H71" s="16"/>
      <c r="I71" s="16"/>
      <c r="J71" s="16"/>
      <c r="K71" s="3"/>
      <c r="L71" s="3"/>
      <c r="W71">
        <f t="shared" si="3"/>
        <v>0</v>
      </c>
      <c r="X71">
        <f t="shared" si="4"/>
        <v>0</v>
      </c>
    </row>
    <row r="72" spans="1:24">
      <c r="A72" s="6"/>
      <c r="B72" s="19" t="s">
        <v>105</v>
      </c>
      <c r="C72" s="6" t="s">
        <v>57</v>
      </c>
      <c r="D72" s="11">
        <v>60</v>
      </c>
      <c r="E72" s="11">
        <f t="shared" ref="E72:E74" si="55">SUM(P72)</f>
        <v>11.975526315789473</v>
      </c>
      <c r="F72" s="11">
        <f t="shared" ref="F72:F74" si="56">D72*E72</f>
        <v>718.53157894736842</v>
      </c>
      <c r="G72" s="11">
        <f t="shared" ref="G72:G74" si="57">SUM(S72)</f>
        <v>55</v>
      </c>
      <c r="H72" s="11">
        <f>D72*G72</f>
        <v>3300</v>
      </c>
      <c r="I72" s="11">
        <f t="shared" ref="I72:J74" si="58">E72+G72</f>
        <v>66.975526315789466</v>
      </c>
      <c r="J72" s="11">
        <f t="shared" si="58"/>
        <v>4018.5315789473684</v>
      </c>
      <c r="K72" s="3"/>
      <c r="L72" s="3"/>
      <c r="N72" s="36">
        <v>10.368421052631579</v>
      </c>
      <c r="O72" s="37">
        <f t="shared" ref="O72:O74" si="59">$O$1</f>
        <v>1.155</v>
      </c>
      <c r="P72" s="38">
        <f t="shared" ref="P72:P74" si="60">SUM(N72*O72)</f>
        <v>11.975526315789473</v>
      </c>
      <c r="S72" s="39">
        <v>55</v>
      </c>
      <c r="T72" s="40">
        <f t="shared" ref="T72:T74" si="61">$T$1</f>
        <v>1.155</v>
      </c>
      <c r="U72" s="39">
        <f t="shared" ref="U72:U74" si="62">SUM(S72*T72)</f>
        <v>63.524999999999999</v>
      </c>
      <c r="W72">
        <f t="shared" si="3"/>
        <v>622.10526315789468</v>
      </c>
      <c r="X72">
        <f t="shared" si="4"/>
        <v>3300</v>
      </c>
    </row>
    <row r="73" spans="1:24">
      <c r="A73" s="6"/>
      <c r="B73" s="19" t="s">
        <v>106</v>
      </c>
      <c r="C73" s="6" t="s">
        <v>57</v>
      </c>
      <c r="D73" s="11">
        <v>7</v>
      </c>
      <c r="E73" s="11">
        <f t="shared" si="55"/>
        <v>14.917736842105263</v>
      </c>
      <c r="F73" s="11">
        <f t="shared" si="56"/>
        <v>104.42415789473685</v>
      </c>
      <c r="G73" s="11">
        <f t="shared" si="57"/>
        <v>55</v>
      </c>
      <c r="H73" s="11">
        <f>D73*G73</f>
        <v>385</v>
      </c>
      <c r="I73" s="11">
        <f t="shared" si="58"/>
        <v>69.917736842105256</v>
      </c>
      <c r="J73" s="11">
        <f t="shared" si="58"/>
        <v>489.42415789473682</v>
      </c>
      <c r="K73" s="3"/>
      <c r="L73" s="3"/>
      <c r="N73" s="36">
        <v>12.91578947368421</v>
      </c>
      <c r="O73" s="37">
        <f t="shared" si="59"/>
        <v>1.155</v>
      </c>
      <c r="P73" s="38">
        <f t="shared" si="60"/>
        <v>14.917736842105263</v>
      </c>
      <c r="S73" s="39">
        <v>55</v>
      </c>
      <c r="T73" s="40">
        <f t="shared" si="61"/>
        <v>1.155</v>
      </c>
      <c r="U73" s="39">
        <f t="shared" si="62"/>
        <v>63.524999999999999</v>
      </c>
      <c r="W73">
        <f t="shared" si="3"/>
        <v>90.410526315789468</v>
      </c>
      <c r="X73">
        <f t="shared" si="4"/>
        <v>385</v>
      </c>
    </row>
    <row r="74" spans="1:24">
      <c r="A74" s="6"/>
      <c r="B74" s="19" t="s">
        <v>107</v>
      </c>
      <c r="C74" s="6" t="s">
        <v>57</v>
      </c>
      <c r="D74" s="11">
        <v>6</v>
      </c>
      <c r="E74" s="11">
        <f t="shared" si="55"/>
        <v>12.705</v>
      </c>
      <c r="F74" s="11">
        <f t="shared" si="56"/>
        <v>76.23</v>
      </c>
      <c r="G74" s="11">
        <f t="shared" si="57"/>
        <v>15</v>
      </c>
      <c r="H74" s="11">
        <f>D74*G74</f>
        <v>90</v>
      </c>
      <c r="I74" s="11">
        <f t="shared" si="58"/>
        <v>27.704999999999998</v>
      </c>
      <c r="J74" s="11">
        <f t="shared" si="58"/>
        <v>166.23000000000002</v>
      </c>
      <c r="K74" s="3"/>
      <c r="L74" s="3"/>
      <c r="N74" s="36">
        <v>11</v>
      </c>
      <c r="O74" s="37">
        <f t="shared" si="59"/>
        <v>1.155</v>
      </c>
      <c r="P74" s="38">
        <f t="shared" si="60"/>
        <v>12.705</v>
      </c>
      <c r="S74" s="39">
        <v>15</v>
      </c>
      <c r="T74" s="40">
        <f t="shared" si="61"/>
        <v>1.155</v>
      </c>
      <c r="U74" s="39">
        <f t="shared" si="62"/>
        <v>17.324999999999999</v>
      </c>
      <c r="W74">
        <f t="shared" ref="W74:W137" si="63">SUM(N74*D74)</f>
        <v>66</v>
      </c>
      <c r="X74">
        <f t="shared" ref="X74:X137" si="64">SUM(S74*D74)</f>
        <v>90</v>
      </c>
    </row>
    <row r="75" spans="1:24">
      <c r="A75" s="15"/>
      <c r="B75" s="23" t="s">
        <v>108</v>
      </c>
      <c r="C75" s="15" t="s">
        <v>11</v>
      </c>
      <c r="D75" s="16"/>
      <c r="E75" s="16"/>
      <c r="F75" s="16"/>
      <c r="G75" s="16"/>
      <c r="H75" s="16"/>
      <c r="I75" s="16"/>
      <c r="J75" s="16"/>
      <c r="K75" s="3"/>
      <c r="L75" s="3"/>
      <c r="W75">
        <f t="shared" si="63"/>
        <v>0</v>
      </c>
      <c r="X75">
        <f t="shared" si="64"/>
        <v>0</v>
      </c>
    </row>
    <row r="76" spans="1:24">
      <c r="A76" s="6"/>
      <c r="B76" s="19" t="s">
        <v>109</v>
      </c>
      <c r="C76" s="6" t="s">
        <v>57</v>
      </c>
      <c r="D76" s="11">
        <v>120</v>
      </c>
      <c r="E76" s="11">
        <f>SUM(P76)</f>
        <v>0</v>
      </c>
      <c r="F76" s="11">
        <f>D76*E76</f>
        <v>0</v>
      </c>
      <c r="G76" s="11">
        <f>SUM(S76)</f>
        <v>150</v>
      </c>
      <c r="H76" s="11">
        <f>D76*G76</f>
        <v>18000</v>
      </c>
      <c r="I76" s="11">
        <f>E76+G76</f>
        <v>150</v>
      </c>
      <c r="J76" s="11">
        <f>F76+H76</f>
        <v>18000</v>
      </c>
      <c r="K76" s="3"/>
      <c r="L76" s="3"/>
      <c r="N76" s="36"/>
      <c r="O76" s="37">
        <f>$O$1</f>
        <v>1.155</v>
      </c>
      <c r="P76" s="38">
        <f>SUM(N76*O76)</f>
        <v>0</v>
      </c>
      <c r="S76" s="39">
        <v>150</v>
      </c>
      <c r="T76" s="40">
        <f t="shared" ref="T76" si="65">$T$1</f>
        <v>1.155</v>
      </c>
      <c r="U76" s="39">
        <f t="shared" ref="U76" si="66">SUM(S76*T76)</f>
        <v>173.25</v>
      </c>
      <c r="W76">
        <f t="shared" si="63"/>
        <v>0</v>
      </c>
      <c r="X76">
        <f t="shared" si="64"/>
        <v>18000</v>
      </c>
    </row>
    <row r="77" spans="1:24" ht="24.75">
      <c r="A77" s="15"/>
      <c r="B77" s="23" t="s">
        <v>110</v>
      </c>
      <c r="C77" s="15" t="s">
        <v>11</v>
      </c>
      <c r="D77" s="16"/>
      <c r="E77" s="16"/>
      <c r="F77" s="16"/>
      <c r="G77" s="16"/>
      <c r="H77" s="16"/>
      <c r="I77" s="16"/>
      <c r="J77" s="16"/>
      <c r="K77" s="3"/>
      <c r="L77" s="3"/>
      <c r="W77">
        <f t="shared" si="63"/>
        <v>0</v>
      </c>
      <c r="X77">
        <f t="shared" si="64"/>
        <v>0</v>
      </c>
    </row>
    <row r="78" spans="1:24">
      <c r="A78" s="6"/>
      <c r="B78" s="19" t="s">
        <v>111</v>
      </c>
      <c r="C78" s="6" t="s">
        <v>57</v>
      </c>
      <c r="D78" s="11">
        <v>1</v>
      </c>
      <c r="E78" s="11">
        <f>SUM(P78)</f>
        <v>0</v>
      </c>
      <c r="F78" s="11">
        <f>D78*E78</f>
        <v>0</v>
      </c>
      <c r="G78" s="11">
        <f>SUM(S78)</f>
        <v>3600</v>
      </c>
      <c r="H78" s="11">
        <f>D78*G78</f>
        <v>3600</v>
      </c>
      <c r="I78" s="11">
        <f>E78+G78</f>
        <v>3600</v>
      </c>
      <c r="J78" s="11">
        <f>F78+H78</f>
        <v>3600</v>
      </c>
      <c r="K78" s="3"/>
      <c r="L78" s="3"/>
      <c r="N78" s="36"/>
      <c r="O78" s="37">
        <f>$O$1</f>
        <v>1.155</v>
      </c>
      <c r="P78" s="38">
        <f>SUM(N78*O78)</f>
        <v>0</v>
      </c>
      <c r="S78" s="39">
        <v>3600</v>
      </c>
      <c r="T78" s="40">
        <f t="shared" ref="T78" si="67">$T$1</f>
        <v>1.155</v>
      </c>
      <c r="U78" s="39">
        <f t="shared" ref="U78" si="68">SUM(S78*T78)</f>
        <v>4158</v>
      </c>
      <c r="W78">
        <f t="shared" si="63"/>
        <v>0</v>
      </c>
      <c r="X78">
        <f t="shared" si="64"/>
        <v>3600</v>
      </c>
    </row>
    <row r="79" spans="1:24">
      <c r="A79" s="6"/>
      <c r="B79" s="19" t="s">
        <v>11</v>
      </c>
      <c r="C79" s="6" t="s">
        <v>11</v>
      </c>
      <c r="D79" s="11"/>
      <c r="E79" s="11"/>
      <c r="F79" s="11"/>
      <c r="G79" s="11"/>
      <c r="H79" s="11"/>
      <c r="I79" s="11">
        <f>E79+G79</f>
        <v>0</v>
      </c>
      <c r="J79" s="11">
        <f>F79+H79</f>
        <v>0</v>
      </c>
      <c r="K79" s="3"/>
      <c r="L79" s="3"/>
      <c r="W79">
        <f t="shared" si="63"/>
        <v>0</v>
      </c>
      <c r="X79">
        <f t="shared" si="64"/>
        <v>0</v>
      </c>
    </row>
    <row r="80" spans="1:24">
      <c r="A80" s="7"/>
      <c r="B80" s="22" t="s">
        <v>112</v>
      </c>
      <c r="C80" s="7" t="s">
        <v>11</v>
      </c>
      <c r="D80" s="14"/>
      <c r="E80" s="14"/>
      <c r="F80" s="14">
        <f>SUM(F63:F79)</f>
        <v>36414.973736842112</v>
      </c>
      <c r="G80" s="14"/>
      <c r="H80" s="14">
        <f>SUM(H63:H79)</f>
        <v>72275</v>
      </c>
      <c r="I80" s="14"/>
      <c r="J80" s="14">
        <f>SUM(J63:J79)</f>
        <v>108689.9737368421</v>
      </c>
      <c r="K80" s="3"/>
      <c r="L80" s="3"/>
      <c r="W80">
        <f t="shared" si="63"/>
        <v>0</v>
      </c>
      <c r="X80">
        <f t="shared" si="64"/>
        <v>0</v>
      </c>
    </row>
    <row r="81" spans="1:24">
      <c r="A81" s="6"/>
      <c r="B81" s="19" t="s">
        <v>11</v>
      </c>
      <c r="C81" s="6" t="s">
        <v>11</v>
      </c>
      <c r="D81" s="11"/>
      <c r="E81" s="11"/>
      <c r="F81" s="11"/>
      <c r="G81" s="11"/>
      <c r="H81" s="11"/>
      <c r="I81" s="11">
        <f>E81+G81</f>
        <v>0</v>
      </c>
      <c r="J81" s="11">
        <f>F81+H81</f>
        <v>0</v>
      </c>
      <c r="K81" s="3"/>
      <c r="L81" s="3"/>
      <c r="W81">
        <f t="shared" si="63"/>
        <v>0</v>
      </c>
      <c r="X81">
        <f t="shared" si="64"/>
        <v>0</v>
      </c>
    </row>
    <row r="82" spans="1:24">
      <c r="A82" s="7"/>
      <c r="B82" s="22" t="s">
        <v>113</v>
      </c>
      <c r="C82" s="7" t="s">
        <v>11</v>
      </c>
      <c r="D82" s="14"/>
      <c r="E82" s="14"/>
      <c r="F82" s="14"/>
      <c r="G82" s="14"/>
      <c r="H82" s="14"/>
      <c r="I82" s="14"/>
      <c r="J82" s="14"/>
      <c r="K82" s="3"/>
      <c r="L82" s="3"/>
      <c r="W82">
        <f t="shared" si="63"/>
        <v>0</v>
      </c>
      <c r="X82">
        <f t="shared" si="64"/>
        <v>0</v>
      </c>
    </row>
    <row r="83" spans="1:24">
      <c r="A83" s="6"/>
      <c r="B83" s="19" t="s">
        <v>11</v>
      </c>
      <c r="C83" s="6" t="s">
        <v>11</v>
      </c>
      <c r="D83" s="11"/>
      <c r="E83" s="11"/>
      <c r="F83" s="11"/>
      <c r="G83" s="11"/>
      <c r="H83" s="11"/>
      <c r="I83" s="11">
        <f t="shared" ref="I83:I92" si="69">E83+G83</f>
        <v>0</v>
      </c>
      <c r="J83" s="11">
        <f t="shared" ref="J83:J92" si="70">F83+H83</f>
        <v>0</v>
      </c>
      <c r="K83" s="3"/>
      <c r="L83" s="3"/>
      <c r="W83">
        <f t="shared" si="63"/>
        <v>0</v>
      </c>
      <c r="X83">
        <f t="shared" si="64"/>
        <v>0</v>
      </c>
    </row>
    <row r="84" spans="1:24" ht="23.25">
      <c r="A84" s="25"/>
      <c r="B84" s="26" t="s">
        <v>114</v>
      </c>
      <c r="C84" s="25" t="s">
        <v>115</v>
      </c>
      <c r="D84" s="27">
        <v>0.5</v>
      </c>
      <c r="E84" s="27"/>
      <c r="F84" s="27">
        <f t="shared" ref="F84:F91" si="71">D84*E84</f>
        <v>0</v>
      </c>
      <c r="G84" s="27"/>
      <c r="H84" s="27">
        <f t="shared" ref="H84:H91" si="72">D84*G84</f>
        <v>0</v>
      </c>
      <c r="I84" s="27">
        <f t="shared" si="69"/>
        <v>0</v>
      </c>
      <c r="J84" s="27">
        <f t="shared" si="70"/>
        <v>0</v>
      </c>
      <c r="K84" s="3"/>
      <c r="L84" s="3"/>
      <c r="W84">
        <f t="shared" si="63"/>
        <v>0</v>
      </c>
      <c r="X84">
        <f t="shared" si="64"/>
        <v>0</v>
      </c>
    </row>
    <row r="85" spans="1:24">
      <c r="A85" s="25"/>
      <c r="B85" s="26" t="s">
        <v>116</v>
      </c>
      <c r="C85" s="25" t="s">
        <v>117</v>
      </c>
      <c r="D85" s="27">
        <v>15</v>
      </c>
      <c r="E85" s="27"/>
      <c r="F85" s="27">
        <f t="shared" si="71"/>
        <v>0</v>
      </c>
      <c r="G85" s="27"/>
      <c r="H85" s="27">
        <f t="shared" si="72"/>
        <v>0</v>
      </c>
      <c r="I85" s="27">
        <f t="shared" si="69"/>
        <v>0</v>
      </c>
      <c r="J85" s="27">
        <f t="shared" si="70"/>
        <v>0</v>
      </c>
      <c r="K85" s="3"/>
      <c r="L85" s="3"/>
      <c r="W85">
        <f t="shared" si="63"/>
        <v>0</v>
      </c>
      <c r="X85">
        <f t="shared" si="64"/>
        <v>0</v>
      </c>
    </row>
    <row r="86" spans="1:24" ht="23.25">
      <c r="A86" s="6"/>
      <c r="B86" s="19" t="s">
        <v>118</v>
      </c>
      <c r="C86" s="6" t="s">
        <v>119</v>
      </c>
      <c r="D86" s="11">
        <v>1</v>
      </c>
      <c r="E86" s="11">
        <f t="shared" ref="E86:E91" si="73">SUM(P86)</f>
        <v>6930</v>
      </c>
      <c r="F86" s="11">
        <f t="shared" si="71"/>
        <v>6930</v>
      </c>
      <c r="G86" s="11">
        <f t="shared" ref="G86:G91" si="74">SUM(S86)</f>
        <v>0</v>
      </c>
      <c r="H86" s="11">
        <f t="shared" si="72"/>
        <v>0</v>
      </c>
      <c r="I86" s="11">
        <f t="shared" si="69"/>
        <v>6930</v>
      </c>
      <c r="J86" s="11">
        <f t="shared" si="70"/>
        <v>6930</v>
      </c>
      <c r="K86" s="3"/>
      <c r="L86" s="3"/>
      <c r="N86" s="36">
        <v>6000</v>
      </c>
      <c r="O86" s="37">
        <f t="shared" ref="O86:O91" si="75">$O$1</f>
        <v>1.155</v>
      </c>
      <c r="P86" s="38">
        <f t="shared" ref="P86:P91" si="76">SUM(N86*O86)</f>
        <v>6930</v>
      </c>
      <c r="S86" s="39"/>
      <c r="T86" s="40">
        <f t="shared" ref="T86:T91" si="77">$T$1</f>
        <v>1.155</v>
      </c>
      <c r="U86" s="39">
        <f t="shared" ref="U86:U91" si="78">SUM(S86*T86)</f>
        <v>0</v>
      </c>
      <c r="W86">
        <f t="shared" si="63"/>
        <v>6000</v>
      </c>
      <c r="X86">
        <f t="shared" si="64"/>
        <v>0</v>
      </c>
    </row>
    <row r="87" spans="1:24" ht="23.25">
      <c r="A87" s="6"/>
      <c r="B87" s="19" t="s">
        <v>120</v>
      </c>
      <c r="C87" s="6" t="s">
        <v>119</v>
      </c>
      <c r="D87" s="11">
        <v>1</v>
      </c>
      <c r="E87" s="11">
        <f t="shared" si="73"/>
        <v>346.5</v>
      </c>
      <c r="F87" s="11">
        <f t="shared" si="71"/>
        <v>346.5</v>
      </c>
      <c r="G87" s="11">
        <f t="shared" si="74"/>
        <v>0</v>
      </c>
      <c r="H87" s="11">
        <f t="shared" si="72"/>
        <v>0</v>
      </c>
      <c r="I87" s="11">
        <f t="shared" si="69"/>
        <v>346.5</v>
      </c>
      <c r="J87" s="11">
        <f t="shared" si="70"/>
        <v>346.5</v>
      </c>
      <c r="K87" s="3"/>
      <c r="L87" s="3"/>
      <c r="N87" s="36">
        <v>300</v>
      </c>
      <c r="O87" s="37">
        <f t="shared" si="75"/>
        <v>1.155</v>
      </c>
      <c r="P87" s="38">
        <f t="shared" si="76"/>
        <v>346.5</v>
      </c>
      <c r="S87" s="39"/>
      <c r="T87" s="40">
        <f t="shared" si="77"/>
        <v>1.155</v>
      </c>
      <c r="U87" s="39">
        <f t="shared" si="78"/>
        <v>0</v>
      </c>
      <c r="W87">
        <f t="shared" si="63"/>
        <v>300</v>
      </c>
      <c r="X87">
        <f t="shared" si="64"/>
        <v>0</v>
      </c>
    </row>
    <row r="88" spans="1:24">
      <c r="A88" s="6"/>
      <c r="B88" s="19" t="s">
        <v>121</v>
      </c>
      <c r="C88" s="6" t="s">
        <v>119</v>
      </c>
      <c r="D88" s="11">
        <v>2</v>
      </c>
      <c r="E88" s="11">
        <f t="shared" si="73"/>
        <v>0</v>
      </c>
      <c r="F88" s="11">
        <f t="shared" si="71"/>
        <v>0</v>
      </c>
      <c r="G88" s="11">
        <f t="shared" si="74"/>
        <v>450</v>
      </c>
      <c r="H88" s="11">
        <f t="shared" si="72"/>
        <v>900</v>
      </c>
      <c r="I88" s="11">
        <f t="shared" si="69"/>
        <v>450</v>
      </c>
      <c r="J88" s="11">
        <f t="shared" si="70"/>
        <v>900</v>
      </c>
      <c r="K88" s="3"/>
      <c r="L88" s="3"/>
      <c r="N88" s="36"/>
      <c r="O88" s="37">
        <f t="shared" si="75"/>
        <v>1.155</v>
      </c>
      <c r="P88" s="38">
        <f t="shared" si="76"/>
        <v>0</v>
      </c>
      <c r="S88" s="39">
        <v>450</v>
      </c>
      <c r="T88" s="40">
        <f t="shared" si="77"/>
        <v>1.155</v>
      </c>
      <c r="U88" s="39">
        <f t="shared" si="78"/>
        <v>519.75</v>
      </c>
      <c r="W88">
        <f t="shared" si="63"/>
        <v>0</v>
      </c>
      <c r="X88">
        <f t="shared" si="64"/>
        <v>900</v>
      </c>
    </row>
    <row r="89" spans="1:24">
      <c r="A89" s="6"/>
      <c r="B89" s="19" t="s">
        <v>122</v>
      </c>
      <c r="C89" s="6" t="s">
        <v>123</v>
      </c>
      <c r="D89" s="11">
        <v>6</v>
      </c>
      <c r="E89" s="11">
        <f t="shared" si="73"/>
        <v>0</v>
      </c>
      <c r="F89" s="11">
        <f t="shared" si="71"/>
        <v>0</v>
      </c>
      <c r="G89" s="11">
        <f t="shared" si="74"/>
        <v>450</v>
      </c>
      <c r="H89" s="11">
        <f t="shared" si="72"/>
        <v>2700</v>
      </c>
      <c r="I89" s="11">
        <f t="shared" si="69"/>
        <v>450</v>
      </c>
      <c r="J89" s="11">
        <f t="shared" si="70"/>
        <v>2700</v>
      </c>
      <c r="K89" s="3"/>
      <c r="L89" s="3"/>
      <c r="N89" s="36"/>
      <c r="O89" s="37">
        <f t="shared" si="75"/>
        <v>1.155</v>
      </c>
      <c r="P89" s="38">
        <f t="shared" si="76"/>
        <v>0</v>
      </c>
      <c r="S89" s="39">
        <v>450</v>
      </c>
      <c r="T89" s="40">
        <f t="shared" si="77"/>
        <v>1.155</v>
      </c>
      <c r="U89" s="39">
        <f t="shared" si="78"/>
        <v>519.75</v>
      </c>
      <c r="W89">
        <f t="shared" si="63"/>
        <v>0</v>
      </c>
      <c r="X89">
        <f t="shared" si="64"/>
        <v>2700</v>
      </c>
    </row>
    <row r="90" spans="1:24">
      <c r="A90" s="6"/>
      <c r="B90" s="19" t="s">
        <v>124</v>
      </c>
      <c r="C90" s="6" t="s">
        <v>123</v>
      </c>
      <c r="D90" s="11">
        <v>6</v>
      </c>
      <c r="E90" s="11">
        <f t="shared" si="73"/>
        <v>0</v>
      </c>
      <c r="F90" s="11">
        <f t="shared" si="71"/>
        <v>0</v>
      </c>
      <c r="G90" s="11">
        <f t="shared" si="74"/>
        <v>450</v>
      </c>
      <c r="H90" s="11">
        <f t="shared" si="72"/>
        <v>2700</v>
      </c>
      <c r="I90" s="11">
        <f t="shared" si="69"/>
        <v>450</v>
      </c>
      <c r="J90" s="11">
        <f t="shared" si="70"/>
        <v>2700</v>
      </c>
      <c r="K90" s="3"/>
      <c r="L90" s="3"/>
      <c r="N90" s="36"/>
      <c r="O90" s="37">
        <f t="shared" si="75"/>
        <v>1.155</v>
      </c>
      <c r="P90" s="38">
        <f t="shared" si="76"/>
        <v>0</v>
      </c>
      <c r="S90" s="39">
        <v>450</v>
      </c>
      <c r="T90" s="40">
        <f t="shared" si="77"/>
        <v>1.155</v>
      </c>
      <c r="U90" s="39">
        <f t="shared" si="78"/>
        <v>519.75</v>
      </c>
      <c r="W90">
        <f t="shared" si="63"/>
        <v>0</v>
      </c>
      <c r="X90">
        <f t="shared" si="64"/>
        <v>2700</v>
      </c>
    </row>
    <row r="91" spans="1:24">
      <c r="A91" s="6"/>
      <c r="B91" s="19" t="s">
        <v>125</v>
      </c>
      <c r="C91" s="6" t="s">
        <v>123</v>
      </c>
      <c r="D91" s="11">
        <v>12</v>
      </c>
      <c r="E91" s="11">
        <f t="shared" si="73"/>
        <v>0</v>
      </c>
      <c r="F91" s="11">
        <f t="shared" si="71"/>
        <v>0</v>
      </c>
      <c r="G91" s="11">
        <f t="shared" si="74"/>
        <v>450</v>
      </c>
      <c r="H91" s="11">
        <f t="shared" si="72"/>
        <v>5400</v>
      </c>
      <c r="I91" s="11">
        <f t="shared" si="69"/>
        <v>450</v>
      </c>
      <c r="J91" s="11">
        <f t="shared" si="70"/>
        <v>5400</v>
      </c>
      <c r="K91" s="3"/>
      <c r="L91" s="3"/>
      <c r="N91" s="36"/>
      <c r="O91" s="37">
        <f t="shared" si="75"/>
        <v>1.155</v>
      </c>
      <c r="P91" s="38">
        <f t="shared" si="76"/>
        <v>0</v>
      </c>
      <c r="S91" s="39">
        <v>450</v>
      </c>
      <c r="T91" s="40">
        <f t="shared" si="77"/>
        <v>1.155</v>
      </c>
      <c r="U91" s="39">
        <f t="shared" si="78"/>
        <v>519.75</v>
      </c>
      <c r="W91">
        <f t="shared" si="63"/>
        <v>0</v>
      </c>
      <c r="X91">
        <f t="shared" si="64"/>
        <v>5400</v>
      </c>
    </row>
    <row r="92" spans="1:24">
      <c r="A92" s="6"/>
      <c r="B92" s="19" t="s">
        <v>11</v>
      </c>
      <c r="C92" s="6" t="s">
        <v>11</v>
      </c>
      <c r="D92" s="11"/>
      <c r="E92" s="11"/>
      <c r="F92" s="11"/>
      <c r="G92" s="11"/>
      <c r="H92" s="11"/>
      <c r="I92" s="11">
        <f t="shared" si="69"/>
        <v>0</v>
      </c>
      <c r="J92" s="11">
        <f t="shared" si="70"/>
        <v>0</v>
      </c>
      <c r="K92" s="3"/>
      <c r="L92" s="3"/>
      <c r="W92">
        <f t="shared" si="63"/>
        <v>0</v>
      </c>
      <c r="X92">
        <f t="shared" si="64"/>
        <v>0</v>
      </c>
    </row>
    <row r="93" spans="1:24">
      <c r="A93" s="7"/>
      <c r="B93" s="22" t="s">
        <v>126</v>
      </c>
      <c r="C93" s="7" t="s">
        <v>11</v>
      </c>
      <c r="D93" s="14"/>
      <c r="E93" s="14"/>
      <c r="F93" s="14">
        <f>SUM(F83:F92)</f>
        <v>7276.5</v>
      </c>
      <c r="G93" s="14"/>
      <c r="H93" s="14">
        <f>SUM(H83:H92)</f>
        <v>11700</v>
      </c>
      <c r="I93" s="14"/>
      <c r="J93" s="14">
        <f>SUM(J83:J92)</f>
        <v>18976.5</v>
      </c>
      <c r="K93" s="3"/>
      <c r="L93" s="3"/>
      <c r="W93">
        <f t="shared" si="63"/>
        <v>0</v>
      </c>
      <c r="X93">
        <f t="shared" si="64"/>
        <v>0</v>
      </c>
    </row>
    <row r="94" spans="1:24">
      <c r="A94" s="6"/>
      <c r="B94" s="19" t="s">
        <v>11</v>
      </c>
      <c r="C94" s="6" t="s">
        <v>11</v>
      </c>
      <c r="D94" s="11"/>
      <c r="E94" s="11"/>
      <c r="F94" s="11"/>
      <c r="G94" s="11"/>
      <c r="H94" s="11"/>
      <c r="I94" s="11">
        <f>E94+G94</f>
        <v>0</v>
      </c>
      <c r="J94" s="11">
        <f>F94+H94</f>
        <v>0</v>
      </c>
      <c r="K94" s="3"/>
      <c r="L94" s="3"/>
      <c r="W94">
        <f t="shared" si="63"/>
        <v>0</v>
      </c>
      <c r="X94">
        <f t="shared" si="64"/>
        <v>0</v>
      </c>
    </row>
    <row r="95" spans="1:24">
      <c r="A95" s="7"/>
      <c r="B95" s="22" t="s">
        <v>127</v>
      </c>
      <c r="C95" s="7" t="s">
        <v>11</v>
      </c>
      <c r="D95" s="14"/>
      <c r="E95" s="14"/>
      <c r="F95" s="14"/>
      <c r="G95" s="14"/>
      <c r="H95" s="14"/>
      <c r="I95" s="14"/>
      <c r="J95" s="14"/>
      <c r="K95" s="3"/>
      <c r="L95" s="3"/>
      <c r="W95">
        <f t="shared" si="63"/>
        <v>0</v>
      </c>
      <c r="X95">
        <f t="shared" si="64"/>
        <v>0</v>
      </c>
    </row>
    <row r="96" spans="1:24">
      <c r="A96" s="6"/>
      <c r="B96" s="19" t="s">
        <v>11</v>
      </c>
      <c r="C96" s="6" t="s">
        <v>11</v>
      </c>
      <c r="D96" s="11"/>
      <c r="E96" s="11"/>
      <c r="F96" s="11"/>
      <c r="G96" s="11"/>
      <c r="H96" s="11"/>
      <c r="I96" s="11">
        <f>E96+G96</f>
        <v>0</v>
      </c>
      <c r="J96" s="11">
        <f>F96+H96</f>
        <v>0</v>
      </c>
      <c r="K96" s="3"/>
      <c r="L96" s="3"/>
      <c r="W96">
        <f t="shared" si="63"/>
        <v>0</v>
      </c>
      <c r="X96">
        <f t="shared" si="64"/>
        <v>0</v>
      </c>
    </row>
    <row r="97" spans="1:24" ht="48.75">
      <c r="A97" s="15"/>
      <c r="B97" s="23" t="s">
        <v>128</v>
      </c>
      <c r="C97" s="15" t="s">
        <v>11</v>
      </c>
      <c r="D97" s="16"/>
      <c r="E97" s="16"/>
      <c r="F97" s="16"/>
      <c r="G97" s="16"/>
      <c r="H97" s="16"/>
      <c r="I97" s="16"/>
      <c r="J97" s="16"/>
      <c r="K97" s="3"/>
      <c r="L97" s="3"/>
      <c r="W97">
        <f t="shared" si="63"/>
        <v>0</v>
      </c>
      <c r="X97">
        <f t="shared" si="64"/>
        <v>0</v>
      </c>
    </row>
    <row r="98" spans="1:24">
      <c r="A98" s="6"/>
      <c r="B98" s="19" t="s">
        <v>129</v>
      </c>
      <c r="C98" s="6" t="s">
        <v>57</v>
      </c>
      <c r="D98" s="11">
        <v>2</v>
      </c>
      <c r="E98" s="11">
        <f>SUM(P98)</f>
        <v>0</v>
      </c>
      <c r="F98" s="11">
        <f>D98*E98</f>
        <v>0</v>
      </c>
      <c r="G98" s="11">
        <f>SUM(S98)</f>
        <v>2650</v>
      </c>
      <c r="H98" s="11">
        <f>D98*G98</f>
        <v>5300</v>
      </c>
      <c r="I98" s="11">
        <f>E98+G98</f>
        <v>2650</v>
      </c>
      <c r="J98" s="11">
        <f>F98+H98</f>
        <v>5300</v>
      </c>
      <c r="K98" s="3"/>
      <c r="L98" s="3"/>
      <c r="N98" s="36"/>
      <c r="O98" s="37">
        <f>$O$1</f>
        <v>1.155</v>
      </c>
      <c r="P98" s="38">
        <f>SUM(N98*O98)</f>
        <v>0</v>
      </c>
      <c r="S98" s="39">
        <v>2650</v>
      </c>
      <c r="T98" s="40">
        <f t="shared" ref="T98" si="79">$T$1</f>
        <v>1.155</v>
      </c>
      <c r="U98" s="39">
        <f t="shared" ref="U98" si="80">SUM(S98*T98)</f>
        <v>3060.75</v>
      </c>
      <c r="W98">
        <f t="shared" si="63"/>
        <v>0</v>
      </c>
      <c r="X98">
        <f t="shared" si="64"/>
        <v>5300</v>
      </c>
    </row>
    <row r="99" spans="1:24">
      <c r="A99" s="6"/>
      <c r="B99" s="19" t="s">
        <v>11</v>
      </c>
      <c r="C99" s="6" t="s">
        <v>11</v>
      </c>
      <c r="D99" s="11"/>
      <c r="E99" s="11"/>
      <c r="F99" s="11"/>
      <c r="G99" s="11"/>
      <c r="H99" s="11"/>
      <c r="I99" s="11">
        <f>E99+G99</f>
        <v>0</v>
      </c>
      <c r="J99" s="11">
        <f>F99+H99</f>
        <v>0</v>
      </c>
      <c r="K99" s="3"/>
      <c r="L99" s="3"/>
      <c r="W99">
        <f t="shared" si="63"/>
        <v>0</v>
      </c>
      <c r="X99">
        <f t="shared" si="64"/>
        <v>0</v>
      </c>
    </row>
    <row r="100" spans="1:24">
      <c r="A100" s="7"/>
      <c r="B100" s="22" t="s">
        <v>130</v>
      </c>
      <c r="C100" s="7" t="s">
        <v>11</v>
      </c>
      <c r="D100" s="14"/>
      <c r="E100" s="14"/>
      <c r="F100" s="14">
        <f>SUM(F96:F99)</f>
        <v>0</v>
      </c>
      <c r="G100" s="14"/>
      <c r="H100" s="14">
        <f>SUM(H96:H99)</f>
        <v>5300</v>
      </c>
      <c r="I100" s="14"/>
      <c r="J100" s="14">
        <f>SUM(J96:J99)</f>
        <v>5300</v>
      </c>
      <c r="K100" s="3"/>
      <c r="L100" s="3"/>
      <c r="W100">
        <f t="shared" si="63"/>
        <v>0</v>
      </c>
      <c r="X100">
        <f t="shared" si="64"/>
        <v>0</v>
      </c>
    </row>
    <row r="101" spans="1:24">
      <c r="A101" s="6"/>
      <c r="B101" s="19" t="s">
        <v>11</v>
      </c>
      <c r="C101" s="6" t="s">
        <v>11</v>
      </c>
      <c r="D101" s="11"/>
      <c r="E101" s="11"/>
      <c r="F101" s="11"/>
      <c r="G101" s="11"/>
      <c r="H101" s="11"/>
      <c r="I101" s="11">
        <f>E101+G101</f>
        <v>0</v>
      </c>
      <c r="J101" s="11">
        <f>F101+H101</f>
        <v>0</v>
      </c>
      <c r="K101" s="3"/>
      <c r="L101" s="3"/>
      <c r="W101">
        <f t="shared" si="63"/>
        <v>0</v>
      </c>
      <c r="X101">
        <f t="shared" si="64"/>
        <v>0</v>
      </c>
    </row>
    <row r="102" spans="1:24" ht="24.75">
      <c r="A102" s="5"/>
      <c r="B102" s="21" t="s">
        <v>131</v>
      </c>
      <c r="C102" s="5" t="s">
        <v>11</v>
      </c>
      <c r="D102" s="13"/>
      <c r="E102" s="13"/>
      <c r="F102" s="13">
        <f>SUM(F6,F8:F11,F13,F15:F22,F24,F26:F34,F36,F38:F42,F44,F46:F59,F61,F63:F79,F81,F83:F92,F94,F96:F99,F101:F101)</f>
        <v>255859.35080465197</v>
      </c>
      <c r="G102" s="13"/>
      <c r="H102" s="13">
        <f>SUM(H6,H8:H11,H13,H15:H22,H24,H26:H34,H36,H38:H42,H44,H46:H59,H61,H63:H79,H81,H83:H92,H94,H96:H99,H101:H101)</f>
        <v>168013</v>
      </c>
      <c r="I102" s="13"/>
      <c r="J102" s="13">
        <f>SUM(J6,J8:J11,J13,J15:J22,J24,J26:J34,J36,J38:J42,J44,J46:J59,J61,J63:J79,J81,J83:J92,J94,J96:J99,J101:J101)</f>
        <v>423872.35080465203</v>
      </c>
      <c r="K102" s="3"/>
      <c r="L102" s="3"/>
      <c r="W102">
        <f t="shared" si="63"/>
        <v>0</v>
      </c>
      <c r="X102">
        <f t="shared" si="64"/>
        <v>0</v>
      </c>
    </row>
    <row r="103" spans="1:24">
      <c r="A103" s="6"/>
      <c r="B103" s="19" t="s">
        <v>11</v>
      </c>
      <c r="C103" s="6" t="s">
        <v>11</v>
      </c>
      <c r="D103" s="11"/>
      <c r="E103" s="11"/>
      <c r="F103" s="11"/>
      <c r="G103" s="11"/>
      <c r="H103" s="11"/>
      <c r="I103" s="11">
        <f>E103+G103</f>
        <v>0</v>
      </c>
      <c r="J103" s="11">
        <f>F103+H103</f>
        <v>0</v>
      </c>
      <c r="K103" s="3"/>
      <c r="L103" s="3"/>
      <c r="W103">
        <f t="shared" si="63"/>
        <v>0</v>
      </c>
      <c r="X103">
        <f t="shared" si="64"/>
        <v>0</v>
      </c>
    </row>
    <row r="104" spans="1:24">
      <c r="A104" s="6"/>
      <c r="B104" s="19" t="s">
        <v>132</v>
      </c>
      <c r="C104" s="6" t="s">
        <v>11</v>
      </c>
      <c r="D104" s="11"/>
      <c r="E104" s="11">
        <f>SUM(P104)</f>
        <v>0</v>
      </c>
      <c r="F104" s="11">
        <f>SUM(F102*0.04)</f>
        <v>10234.374032186079</v>
      </c>
      <c r="G104" s="11">
        <f>SUM(S104)</f>
        <v>0</v>
      </c>
      <c r="H104" s="11"/>
      <c r="I104" s="11">
        <f>E104+G104</f>
        <v>0</v>
      </c>
      <c r="J104" s="11">
        <f>F104+H104</f>
        <v>10234.374032186079</v>
      </c>
      <c r="K104" s="3"/>
      <c r="L104" s="3"/>
      <c r="N104" s="36"/>
      <c r="O104" s="37">
        <f>$O$1</f>
        <v>1.155</v>
      </c>
      <c r="P104" s="38">
        <f>SUM(N104*O104)</f>
        <v>0</v>
      </c>
      <c r="S104" s="39"/>
      <c r="T104" s="40">
        <f t="shared" ref="T104" si="81">$T$1</f>
        <v>1.155</v>
      </c>
      <c r="U104" s="39">
        <f t="shared" ref="U104" si="82">SUM(S104*T104)</f>
        <v>0</v>
      </c>
      <c r="W104">
        <f t="shared" si="63"/>
        <v>0</v>
      </c>
      <c r="X104">
        <f t="shared" si="64"/>
        <v>0</v>
      </c>
    </row>
    <row r="105" spans="1:24">
      <c r="A105" s="4"/>
      <c r="B105" s="20" t="s">
        <v>133</v>
      </c>
      <c r="C105" s="4" t="s">
        <v>11</v>
      </c>
      <c r="D105" s="12"/>
      <c r="E105" s="12"/>
      <c r="F105" s="12">
        <f>SUM(F102,F104)</f>
        <v>266093.72483683802</v>
      </c>
      <c r="G105" s="12"/>
      <c r="H105" s="12">
        <f>SUM(H4,H6,H8:H11,H13,H15:H22,H24,H26:H34,H36,H38:H42,H44,H46:H59,H61,H63:H79,H81,H83:H92,H94,H96:H99,H101,H103:H104)</f>
        <v>168013</v>
      </c>
      <c r="I105" s="12"/>
      <c r="J105" s="12">
        <f>SUM(J4,J6,J8:J11,J13,J15:J22,J24,J26:J34,J36,J38:J42,J44,J46:J59,J61,J63:J79,J81,J83:J92,J94,J96:J99,J101,J103:J104)</f>
        <v>434106.72483683808</v>
      </c>
      <c r="K105" s="3"/>
      <c r="L105" s="3"/>
      <c r="W105">
        <f t="shared" si="63"/>
        <v>0</v>
      </c>
      <c r="X105">
        <f t="shared" si="64"/>
        <v>0</v>
      </c>
    </row>
    <row r="106" spans="1:24">
      <c r="A106" s="6"/>
      <c r="B106" s="19" t="s">
        <v>11</v>
      </c>
      <c r="C106" s="6" t="s">
        <v>11</v>
      </c>
      <c r="D106" s="11"/>
      <c r="E106" s="11"/>
      <c r="F106" s="11"/>
      <c r="G106" s="11"/>
      <c r="H106" s="11"/>
      <c r="I106" s="11">
        <f>E106+G106</f>
        <v>0</v>
      </c>
      <c r="J106" s="11">
        <f>F106+H106</f>
        <v>0</v>
      </c>
      <c r="K106" s="3"/>
      <c r="L106" s="3"/>
      <c r="W106">
        <f t="shared" si="63"/>
        <v>0</v>
      </c>
      <c r="X106">
        <f t="shared" si="64"/>
        <v>0</v>
      </c>
    </row>
    <row r="107" spans="1:24">
      <c r="A107" s="4"/>
      <c r="B107" s="20" t="s">
        <v>134</v>
      </c>
      <c r="C107" s="4" t="s">
        <v>11</v>
      </c>
      <c r="D107" s="12"/>
      <c r="E107" s="12"/>
      <c r="F107" s="12"/>
      <c r="G107" s="12"/>
      <c r="H107" s="12"/>
      <c r="I107" s="12"/>
      <c r="J107" s="12"/>
      <c r="K107" s="3"/>
      <c r="L107" s="3"/>
      <c r="W107">
        <f t="shared" si="63"/>
        <v>0</v>
      </c>
      <c r="X107">
        <f t="shared" si="64"/>
        <v>0</v>
      </c>
    </row>
    <row r="108" spans="1:24">
      <c r="A108" s="6"/>
      <c r="B108" s="19" t="s">
        <v>11</v>
      </c>
      <c r="C108" s="6" t="s">
        <v>11</v>
      </c>
      <c r="D108" s="11"/>
      <c r="E108" s="11"/>
      <c r="F108" s="11"/>
      <c r="G108" s="11"/>
      <c r="H108" s="11"/>
      <c r="I108" s="11">
        <f>E108+G108</f>
        <v>0</v>
      </c>
      <c r="J108" s="11">
        <f>F108+H108</f>
        <v>0</v>
      </c>
      <c r="K108" s="3"/>
      <c r="L108" s="3"/>
      <c r="W108">
        <f t="shared" si="63"/>
        <v>0</v>
      </c>
      <c r="X108">
        <f t="shared" si="64"/>
        <v>0</v>
      </c>
    </row>
    <row r="109" spans="1:24">
      <c r="A109" s="28"/>
      <c r="B109" s="29" t="s">
        <v>135</v>
      </c>
      <c r="C109" s="28" t="s">
        <v>11</v>
      </c>
      <c r="D109" s="30"/>
      <c r="E109" s="30"/>
      <c r="F109" s="30"/>
      <c r="G109" s="30"/>
      <c r="H109" s="30"/>
      <c r="I109" s="30"/>
      <c r="J109" s="30"/>
      <c r="K109" s="3"/>
      <c r="L109" s="3"/>
      <c r="W109">
        <f t="shared" si="63"/>
        <v>0</v>
      </c>
      <c r="X109">
        <f t="shared" si="64"/>
        <v>0</v>
      </c>
    </row>
    <row r="110" spans="1:24">
      <c r="A110" s="25"/>
      <c r="B110" s="26" t="s">
        <v>136</v>
      </c>
      <c r="C110" s="25" t="s">
        <v>137</v>
      </c>
      <c r="D110" s="27">
        <v>30.98</v>
      </c>
      <c r="E110" s="27"/>
      <c r="F110" s="27">
        <f>D110*E110</f>
        <v>0</v>
      </c>
      <c r="G110" s="27"/>
      <c r="H110" s="27">
        <f>D110*G110</f>
        <v>0</v>
      </c>
      <c r="I110" s="27">
        <f>E110+G110</f>
        <v>0</v>
      </c>
      <c r="J110" s="27">
        <f>F110+H110</f>
        <v>0</v>
      </c>
      <c r="K110" s="3"/>
      <c r="L110" s="3"/>
      <c r="W110">
        <f t="shared" si="63"/>
        <v>0</v>
      </c>
      <c r="X110">
        <f t="shared" si="64"/>
        <v>0</v>
      </c>
    </row>
    <row r="111" spans="1:24">
      <c r="A111" s="28"/>
      <c r="B111" s="29" t="s">
        <v>138</v>
      </c>
      <c r="C111" s="28" t="s">
        <v>11</v>
      </c>
      <c r="D111" s="30"/>
      <c r="E111" s="30"/>
      <c r="F111" s="30"/>
      <c r="G111" s="30"/>
      <c r="H111" s="30"/>
      <c r="I111" s="30"/>
      <c r="J111" s="30"/>
      <c r="K111" s="3"/>
      <c r="L111" s="3"/>
      <c r="W111">
        <f t="shared" si="63"/>
        <v>0</v>
      </c>
      <c r="X111">
        <f t="shared" si="64"/>
        <v>0</v>
      </c>
    </row>
    <row r="112" spans="1:24">
      <c r="A112" s="25"/>
      <c r="B112" s="26" t="s">
        <v>139</v>
      </c>
      <c r="C112" s="25" t="s">
        <v>140</v>
      </c>
      <c r="D112" s="27">
        <v>206.48</v>
      </c>
      <c r="E112" s="27"/>
      <c r="F112" s="27">
        <f>D112*E112</f>
        <v>0</v>
      </c>
      <c r="G112" s="27"/>
      <c r="H112" s="27">
        <f>D112*G112</f>
        <v>0</v>
      </c>
      <c r="I112" s="27">
        <f>E112+G112</f>
        <v>0</v>
      </c>
      <c r="J112" s="27">
        <f>F112+H112</f>
        <v>0</v>
      </c>
      <c r="K112" s="3"/>
      <c r="L112" s="3"/>
      <c r="W112">
        <f t="shared" si="63"/>
        <v>0</v>
      </c>
      <c r="X112">
        <f t="shared" si="64"/>
        <v>0</v>
      </c>
    </row>
    <row r="113" spans="1:24">
      <c r="A113" s="28"/>
      <c r="B113" s="29" t="s">
        <v>141</v>
      </c>
      <c r="C113" s="28" t="s">
        <v>11</v>
      </c>
      <c r="D113" s="30"/>
      <c r="E113" s="30"/>
      <c r="F113" s="30"/>
      <c r="G113" s="30"/>
      <c r="H113" s="30"/>
      <c r="I113" s="30"/>
      <c r="J113" s="30"/>
      <c r="K113" s="3"/>
      <c r="L113" s="3"/>
      <c r="W113">
        <f t="shared" si="63"/>
        <v>0</v>
      </c>
      <c r="X113">
        <f t="shared" si="64"/>
        <v>0</v>
      </c>
    </row>
    <row r="114" spans="1:24">
      <c r="A114" s="25"/>
      <c r="B114" s="26" t="s">
        <v>142</v>
      </c>
      <c r="C114" s="25" t="s">
        <v>71</v>
      </c>
      <c r="D114" s="27">
        <v>350.02</v>
      </c>
      <c r="E114" s="27"/>
      <c r="F114" s="27">
        <f>D114*E114</f>
        <v>0</v>
      </c>
      <c r="G114" s="27"/>
      <c r="H114" s="27">
        <f>D114*G114</f>
        <v>0</v>
      </c>
      <c r="I114" s="27">
        <f t="shared" ref="I114:J117" si="83">E114+G114</f>
        <v>0</v>
      </c>
      <c r="J114" s="27">
        <f t="shared" si="83"/>
        <v>0</v>
      </c>
      <c r="K114" s="3"/>
      <c r="L114" s="3"/>
      <c r="W114">
        <f t="shared" si="63"/>
        <v>0</v>
      </c>
      <c r="X114">
        <f t="shared" si="64"/>
        <v>0</v>
      </c>
    </row>
    <row r="115" spans="1:24">
      <c r="A115" s="25"/>
      <c r="B115" s="26" t="s">
        <v>143</v>
      </c>
      <c r="C115" s="25" t="s">
        <v>71</v>
      </c>
      <c r="D115" s="27">
        <v>11.2</v>
      </c>
      <c r="E115" s="27"/>
      <c r="F115" s="27">
        <f>D115*E115</f>
        <v>0</v>
      </c>
      <c r="G115" s="27"/>
      <c r="H115" s="27">
        <f>D115*G115</f>
        <v>0</v>
      </c>
      <c r="I115" s="27">
        <f t="shared" si="83"/>
        <v>0</v>
      </c>
      <c r="J115" s="27">
        <f t="shared" si="83"/>
        <v>0</v>
      </c>
      <c r="K115" s="3"/>
      <c r="L115" s="3"/>
      <c r="W115">
        <f t="shared" si="63"/>
        <v>0</v>
      </c>
      <c r="X115">
        <f t="shared" si="64"/>
        <v>0</v>
      </c>
    </row>
    <row r="116" spans="1:24">
      <c r="A116" s="25"/>
      <c r="B116" s="26" t="s">
        <v>144</v>
      </c>
      <c r="C116" s="25" t="s">
        <v>71</v>
      </c>
      <c r="D116" s="27">
        <v>150.5</v>
      </c>
      <c r="E116" s="27"/>
      <c r="F116" s="27">
        <f>D116*E116</f>
        <v>0</v>
      </c>
      <c r="G116" s="27"/>
      <c r="H116" s="27">
        <f>D116*G116</f>
        <v>0</v>
      </c>
      <c r="I116" s="27">
        <f t="shared" si="83"/>
        <v>0</v>
      </c>
      <c r="J116" s="27">
        <f t="shared" si="83"/>
        <v>0</v>
      </c>
      <c r="K116" s="3"/>
      <c r="L116" s="3"/>
      <c r="W116">
        <f t="shared" si="63"/>
        <v>0</v>
      </c>
      <c r="X116">
        <f t="shared" si="64"/>
        <v>0</v>
      </c>
    </row>
    <row r="117" spans="1:24">
      <c r="A117" s="25"/>
      <c r="B117" s="26" t="s">
        <v>145</v>
      </c>
      <c r="C117" s="25" t="s">
        <v>71</v>
      </c>
      <c r="D117" s="27">
        <v>32.5</v>
      </c>
      <c r="E117" s="27"/>
      <c r="F117" s="27">
        <f>D117*E117</f>
        <v>0</v>
      </c>
      <c r="G117" s="27"/>
      <c r="H117" s="27">
        <f>D117*G117</f>
        <v>0</v>
      </c>
      <c r="I117" s="27">
        <f t="shared" si="83"/>
        <v>0</v>
      </c>
      <c r="J117" s="27">
        <f t="shared" si="83"/>
        <v>0</v>
      </c>
      <c r="K117" s="3"/>
      <c r="L117" s="3"/>
      <c r="W117">
        <f t="shared" si="63"/>
        <v>0</v>
      </c>
      <c r="X117">
        <f t="shared" si="64"/>
        <v>0</v>
      </c>
    </row>
    <row r="118" spans="1:24">
      <c r="A118" s="28"/>
      <c r="B118" s="29" t="s">
        <v>146</v>
      </c>
      <c r="C118" s="28" t="s">
        <v>11</v>
      </c>
      <c r="D118" s="30"/>
      <c r="E118" s="30"/>
      <c r="F118" s="30"/>
      <c r="G118" s="30"/>
      <c r="H118" s="30"/>
      <c r="I118" s="30"/>
      <c r="J118" s="30"/>
      <c r="K118" s="3"/>
      <c r="L118" s="3"/>
      <c r="W118">
        <f t="shared" si="63"/>
        <v>0</v>
      </c>
      <c r="X118">
        <f t="shared" si="64"/>
        <v>0</v>
      </c>
    </row>
    <row r="119" spans="1:24" ht="23.25">
      <c r="A119" s="25"/>
      <c r="B119" s="26" t="s">
        <v>147</v>
      </c>
      <c r="C119" s="25" t="s">
        <v>71</v>
      </c>
      <c r="D119" s="27">
        <v>544.41999999999996</v>
      </c>
      <c r="E119" s="27"/>
      <c r="F119" s="27">
        <f>D119*E119</f>
        <v>0</v>
      </c>
      <c r="G119" s="27"/>
      <c r="H119" s="27">
        <f>D119*G119</f>
        <v>0</v>
      </c>
      <c r="I119" s="27">
        <f>E119+G119</f>
        <v>0</v>
      </c>
      <c r="J119" s="27">
        <f>F119+H119</f>
        <v>0</v>
      </c>
      <c r="K119" s="3"/>
      <c r="L119" s="3"/>
      <c r="W119">
        <f t="shared" si="63"/>
        <v>0</v>
      </c>
      <c r="X119">
        <f t="shared" si="64"/>
        <v>0</v>
      </c>
    </row>
    <row r="120" spans="1:24">
      <c r="A120" s="15"/>
      <c r="B120" s="23" t="s">
        <v>148</v>
      </c>
      <c r="C120" s="15" t="s">
        <v>11</v>
      </c>
      <c r="D120" s="17"/>
      <c r="E120" s="17"/>
      <c r="F120" s="17"/>
      <c r="G120" s="17"/>
      <c r="H120" s="17"/>
      <c r="I120" s="17"/>
      <c r="J120" s="17"/>
      <c r="K120" s="3"/>
      <c r="L120" s="3"/>
      <c r="W120">
        <f t="shared" si="63"/>
        <v>0</v>
      </c>
      <c r="X120">
        <f t="shared" si="64"/>
        <v>0</v>
      </c>
    </row>
    <row r="121" spans="1:24">
      <c r="A121" s="6"/>
      <c r="B121" s="19" t="s">
        <v>149</v>
      </c>
      <c r="C121" s="6" t="s">
        <v>71</v>
      </c>
      <c r="D121" s="11">
        <v>544.22</v>
      </c>
      <c r="E121" s="11">
        <f>SUM(P121)</f>
        <v>1.2705000000000002</v>
      </c>
      <c r="F121" s="11">
        <f>D121*E121</f>
        <v>691.43151000000012</v>
      </c>
      <c r="G121" s="11">
        <f>SUM(S121)</f>
        <v>15</v>
      </c>
      <c r="H121" s="11">
        <f>D121*G121</f>
        <v>8163.3</v>
      </c>
      <c r="I121" s="11">
        <f>E121+G121</f>
        <v>16.270499999999998</v>
      </c>
      <c r="J121" s="11">
        <f>F121+H121</f>
        <v>8854.7315099999996</v>
      </c>
      <c r="K121" s="3"/>
      <c r="L121" s="3"/>
      <c r="N121" s="36">
        <v>1.1000000000000001</v>
      </c>
      <c r="O121" s="37">
        <f>$O$1</f>
        <v>1.155</v>
      </c>
      <c r="P121" s="38">
        <f>SUM(N121*O121)</f>
        <v>1.2705000000000002</v>
      </c>
      <c r="S121" s="39">
        <v>15</v>
      </c>
      <c r="T121" s="40">
        <f t="shared" ref="T121" si="84">$T$1</f>
        <v>1.155</v>
      </c>
      <c r="U121" s="39">
        <f t="shared" ref="U121" si="85">SUM(S121*T121)</f>
        <v>17.324999999999999</v>
      </c>
      <c r="W121">
        <f t="shared" si="63"/>
        <v>598.64200000000005</v>
      </c>
      <c r="X121">
        <f t="shared" si="64"/>
        <v>8163.3</v>
      </c>
    </row>
    <row r="122" spans="1:24">
      <c r="A122" s="28"/>
      <c r="B122" s="29" t="s">
        <v>150</v>
      </c>
      <c r="C122" s="28" t="s">
        <v>11</v>
      </c>
      <c r="D122" s="30"/>
      <c r="E122" s="30"/>
      <c r="F122" s="30"/>
      <c r="G122" s="30"/>
      <c r="H122" s="30"/>
      <c r="I122" s="30"/>
      <c r="J122" s="30"/>
      <c r="K122" s="3"/>
      <c r="L122" s="3"/>
      <c r="W122">
        <f t="shared" si="63"/>
        <v>0</v>
      </c>
      <c r="X122">
        <f t="shared" si="64"/>
        <v>0</v>
      </c>
    </row>
    <row r="123" spans="1:24">
      <c r="A123" s="25"/>
      <c r="B123" s="26" t="s">
        <v>142</v>
      </c>
      <c r="C123" s="25" t="s">
        <v>71</v>
      </c>
      <c r="D123" s="27">
        <v>350.02</v>
      </c>
      <c r="E123" s="27"/>
      <c r="F123" s="27">
        <f>D123*E123</f>
        <v>0</v>
      </c>
      <c r="G123" s="27"/>
      <c r="H123" s="27">
        <f>D123*G123</f>
        <v>0</v>
      </c>
      <c r="I123" s="27">
        <f t="shared" ref="I123:J126" si="86">E123+G123</f>
        <v>0</v>
      </c>
      <c r="J123" s="27">
        <f t="shared" si="86"/>
        <v>0</v>
      </c>
      <c r="K123" s="3"/>
      <c r="L123" s="3"/>
      <c r="W123">
        <f t="shared" si="63"/>
        <v>0</v>
      </c>
      <c r="X123">
        <f t="shared" si="64"/>
        <v>0</v>
      </c>
    </row>
    <row r="124" spans="1:24">
      <c r="A124" s="25"/>
      <c r="B124" s="26" t="s">
        <v>143</v>
      </c>
      <c r="C124" s="25" t="s">
        <v>71</v>
      </c>
      <c r="D124" s="27">
        <v>11.2</v>
      </c>
      <c r="E124" s="27"/>
      <c r="F124" s="27">
        <f>D124*E124</f>
        <v>0</v>
      </c>
      <c r="G124" s="27"/>
      <c r="H124" s="27">
        <f>D124*G124</f>
        <v>0</v>
      </c>
      <c r="I124" s="27">
        <f t="shared" si="86"/>
        <v>0</v>
      </c>
      <c r="J124" s="27">
        <f t="shared" si="86"/>
        <v>0</v>
      </c>
      <c r="K124" s="3"/>
      <c r="L124" s="3"/>
      <c r="W124">
        <f t="shared" si="63"/>
        <v>0</v>
      </c>
      <c r="X124">
        <f t="shared" si="64"/>
        <v>0</v>
      </c>
    </row>
    <row r="125" spans="1:24">
      <c r="A125" s="25"/>
      <c r="B125" s="26" t="s">
        <v>144</v>
      </c>
      <c r="C125" s="25" t="s">
        <v>71</v>
      </c>
      <c r="D125" s="27">
        <v>150.5</v>
      </c>
      <c r="E125" s="27"/>
      <c r="F125" s="27">
        <f>D125*E125</f>
        <v>0</v>
      </c>
      <c r="G125" s="27"/>
      <c r="H125" s="27">
        <f>D125*G125</f>
        <v>0</v>
      </c>
      <c r="I125" s="27">
        <f t="shared" si="86"/>
        <v>0</v>
      </c>
      <c r="J125" s="27">
        <f t="shared" si="86"/>
        <v>0</v>
      </c>
      <c r="K125" s="3"/>
      <c r="L125" s="3"/>
      <c r="W125">
        <f t="shared" si="63"/>
        <v>0</v>
      </c>
      <c r="X125">
        <f t="shared" si="64"/>
        <v>0</v>
      </c>
    </row>
    <row r="126" spans="1:24">
      <c r="A126" s="25"/>
      <c r="B126" s="26" t="s">
        <v>145</v>
      </c>
      <c r="C126" s="25" t="s">
        <v>71</v>
      </c>
      <c r="D126" s="27">
        <v>32.5</v>
      </c>
      <c r="E126" s="27"/>
      <c r="F126" s="27">
        <f>D126*E126</f>
        <v>0</v>
      </c>
      <c r="G126" s="27"/>
      <c r="H126" s="27">
        <f>D126*G126</f>
        <v>0</v>
      </c>
      <c r="I126" s="27">
        <f t="shared" si="86"/>
        <v>0</v>
      </c>
      <c r="J126" s="27">
        <f t="shared" si="86"/>
        <v>0</v>
      </c>
      <c r="K126" s="3"/>
      <c r="L126" s="3"/>
      <c r="W126">
        <f t="shared" si="63"/>
        <v>0</v>
      </c>
      <c r="X126">
        <f t="shared" si="64"/>
        <v>0</v>
      </c>
    </row>
    <row r="127" spans="1:24">
      <c r="A127" s="28"/>
      <c r="B127" s="29" t="s">
        <v>151</v>
      </c>
      <c r="C127" s="28" t="s">
        <v>11</v>
      </c>
      <c r="D127" s="30"/>
      <c r="E127" s="30"/>
      <c r="F127" s="30"/>
      <c r="G127" s="30"/>
      <c r="H127" s="30"/>
      <c r="I127" s="30"/>
      <c r="J127" s="30"/>
      <c r="K127" s="3"/>
      <c r="L127" s="3"/>
      <c r="W127">
        <f t="shared" si="63"/>
        <v>0</v>
      </c>
      <c r="X127">
        <f t="shared" si="64"/>
        <v>0</v>
      </c>
    </row>
    <row r="128" spans="1:24">
      <c r="A128" s="25"/>
      <c r="B128" s="26" t="s">
        <v>152</v>
      </c>
      <c r="C128" s="25" t="s">
        <v>137</v>
      </c>
      <c r="D128" s="27">
        <v>85.1</v>
      </c>
      <c r="E128" s="27"/>
      <c r="F128" s="27">
        <f>D128*E128</f>
        <v>0</v>
      </c>
      <c r="G128" s="27"/>
      <c r="H128" s="27">
        <f>D128*G128</f>
        <v>0</v>
      </c>
      <c r="I128" s="27">
        <f>E128+G128</f>
        <v>0</v>
      </c>
      <c r="J128" s="27">
        <f>F128+H128</f>
        <v>0</v>
      </c>
      <c r="K128" s="3"/>
      <c r="L128" s="3"/>
      <c r="W128">
        <f t="shared" si="63"/>
        <v>0</v>
      </c>
      <c r="X128">
        <f t="shared" si="64"/>
        <v>0</v>
      </c>
    </row>
    <row r="129" spans="1:24">
      <c r="A129" s="28"/>
      <c r="B129" s="29" t="s">
        <v>153</v>
      </c>
      <c r="C129" s="28" t="s">
        <v>11</v>
      </c>
      <c r="D129" s="30"/>
      <c r="E129" s="30"/>
      <c r="F129" s="30"/>
      <c r="G129" s="30"/>
      <c r="H129" s="30"/>
      <c r="I129" s="30"/>
      <c r="J129" s="30"/>
      <c r="K129" s="3"/>
      <c r="L129" s="3"/>
      <c r="W129">
        <f t="shared" si="63"/>
        <v>0</v>
      </c>
      <c r="X129">
        <f t="shared" si="64"/>
        <v>0</v>
      </c>
    </row>
    <row r="130" spans="1:24">
      <c r="A130" s="25"/>
      <c r="B130" s="26" t="s">
        <v>154</v>
      </c>
      <c r="C130" s="25" t="s">
        <v>140</v>
      </c>
      <c r="D130" s="27">
        <v>237.91</v>
      </c>
      <c r="E130" s="27"/>
      <c r="F130" s="27">
        <f>D130*E130</f>
        <v>0</v>
      </c>
      <c r="G130" s="27"/>
      <c r="H130" s="27">
        <f>D130*G130</f>
        <v>0</v>
      </c>
      <c r="I130" s="27">
        <f>E130+G130</f>
        <v>0</v>
      </c>
      <c r="J130" s="27">
        <f>F130+H130</f>
        <v>0</v>
      </c>
      <c r="K130" s="3"/>
      <c r="L130" s="3"/>
      <c r="W130">
        <f t="shared" si="63"/>
        <v>0</v>
      </c>
      <c r="X130">
        <f t="shared" si="64"/>
        <v>0</v>
      </c>
    </row>
    <row r="131" spans="1:24">
      <c r="A131" s="15"/>
      <c r="B131" s="23" t="s">
        <v>155</v>
      </c>
      <c r="C131" s="15" t="s">
        <v>11</v>
      </c>
      <c r="D131" s="16"/>
      <c r="E131" s="16"/>
      <c r="F131" s="16"/>
      <c r="G131" s="16"/>
      <c r="H131" s="16"/>
      <c r="I131" s="16"/>
      <c r="J131" s="16"/>
      <c r="K131" s="3"/>
      <c r="L131" s="3"/>
      <c r="W131">
        <f t="shared" si="63"/>
        <v>0</v>
      </c>
      <c r="X131">
        <f t="shared" si="64"/>
        <v>0</v>
      </c>
    </row>
    <row r="132" spans="1:24" s="32" customFormat="1">
      <c r="A132" s="25"/>
      <c r="B132" s="26" t="s">
        <v>156</v>
      </c>
      <c r="C132" s="25" t="s">
        <v>137</v>
      </c>
      <c r="D132" s="27">
        <v>3</v>
      </c>
      <c r="E132" s="27"/>
      <c r="F132" s="27">
        <f>D132*E132</f>
        <v>0</v>
      </c>
      <c r="G132" s="27"/>
      <c r="H132" s="27">
        <f>D132*G132</f>
        <v>0</v>
      </c>
      <c r="I132" s="27">
        <f>E132+G132</f>
        <v>0</v>
      </c>
      <c r="J132" s="27">
        <f>F132+H132</f>
        <v>0</v>
      </c>
      <c r="K132" s="31"/>
      <c r="L132" s="31"/>
      <c r="W132">
        <f t="shared" si="63"/>
        <v>0</v>
      </c>
      <c r="X132">
        <f t="shared" si="64"/>
        <v>0</v>
      </c>
    </row>
    <row r="133" spans="1:24">
      <c r="A133" s="6"/>
      <c r="B133" s="19" t="s">
        <v>157</v>
      </c>
      <c r="C133" s="6" t="s">
        <v>57</v>
      </c>
      <c r="D133" s="11">
        <v>3</v>
      </c>
      <c r="E133" s="11">
        <f>SUM(P133)</f>
        <v>462</v>
      </c>
      <c r="F133" s="11">
        <f>D133*E133</f>
        <v>1386</v>
      </c>
      <c r="G133" s="11">
        <f>SUM(S133)</f>
        <v>2600</v>
      </c>
      <c r="H133" s="11">
        <f>D133*G133</f>
        <v>7800</v>
      </c>
      <c r="I133" s="11">
        <f>E133+G133</f>
        <v>3062</v>
      </c>
      <c r="J133" s="11">
        <f>F133+H133</f>
        <v>9186</v>
      </c>
      <c r="K133" s="3"/>
      <c r="L133" s="3"/>
      <c r="N133" s="36">
        <v>400</v>
      </c>
      <c r="O133" s="37">
        <f>$O$1</f>
        <v>1.155</v>
      </c>
      <c r="P133" s="38">
        <f>SUM(N133*O133)</f>
        <v>462</v>
      </c>
      <c r="S133" s="39">
        <v>2600</v>
      </c>
      <c r="T133" s="40">
        <f t="shared" ref="T133" si="87">$T$1</f>
        <v>1.155</v>
      </c>
      <c r="U133" s="39">
        <f t="shared" ref="U133" si="88">SUM(S133*T133)</f>
        <v>3003</v>
      </c>
      <c r="W133">
        <f t="shared" si="63"/>
        <v>1200</v>
      </c>
      <c r="X133">
        <f t="shared" si="64"/>
        <v>7800</v>
      </c>
    </row>
    <row r="134" spans="1:24" s="32" customFormat="1">
      <c r="A134" s="28"/>
      <c r="B134" s="29" t="s">
        <v>158</v>
      </c>
      <c r="C134" s="28" t="s">
        <v>11</v>
      </c>
      <c r="D134" s="33"/>
      <c r="E134" s="33"/>
      <c r="F134" s="33"/>
      <c r="G134" s="33"/>
      <c r="H134" s="33"/>
      <c r="I134" s="33"/>
      <c r="J134" s="33"/>
      <c r="K134" s="31"/>
      <c r="L134" s="31"/>
      <c r="W134">
        <f t="shared" si="63"/>
        <v>0</v>
      </c>
      <c r="X134">
        <f t="shared" si="64"/>
        <v>0</v>
      </c>
    </row>
    <row r="135" spans="1:24" s="32" customFormat="1">
      <c r="A135" s="25"/>
      <c r="B135" s="26" t="s">
        <v>159</v>
      </c>
      <c r="C135" s="25" t="s">
        <v>137</v>
      </c>
      <c r="D135" s="27">
        <v>2</v>
      </c>
      <c r="E135" s="27"/>
      <c r="F135" s="27">
        <f>D135*E135</f>
        <v>0</v>
      </c>
      <c r="G135" s="27"/>
      <c r="H135" s="27">
        <f>D135*G135</f>
        <v>0</v>
      </c>
      <c r="I135" s="27">
        <f>E135+G135</f>
        <v>0</v>
      </c>
      <c r="J135" s="27">
        <f>F135+H135</f>
        <v>0</v>
      </c>
      <c r="K135" s="31"/>
      <c r="L135" s="31"/>
      <c r="W135">
        <f t="shared" si="63"/>
        <v>0</v>
      </c>
      <c r="X135">
        <f t="shared" si="64"/>
        <v>0</v>
      </c>
    </row>
    <row r="136" spans="1:24" s="32" customFormat="1">
      <c r="A136" s="28"/>
      <c r="B136" s="29" t="s">
        <v>160</v>
      </c>
      <c r="C136" s="28" t="s">
        <v>11</v>
      </c>
      <c r="D136" s="33"/>
      <c r="E136" s="33"/>
      <c r="F136" s="33"/>
      <c r="G136" s="33"/>
      <c r="H136" s="33"/>
      <c r="I136" s="33"/>
      <c r="J136" s="33"/>
      <c r="K136" s="31"/>
      <c r="L136" s="31"/>
      <c r="W136">
        <f t="shared" si="63"/>
        <v>0</v>
      </c>
      <c r="X136">
        <f t="shared" si="64"/>
        <v>0</v>
      </c>
    </row>
    <row r="137" spans="1:24" s="32" customFormat="1">
      <c r="A137" s="28"/>
      <c r="B137" s="29" t="s">
        <v>161</v>
      </c>
      <c r="C137" s="28" t="s">
        <v>11</v>
      </c>
      <c r="D137" s="33"/>
      <c r="E137" s="33"/>
      <c r="F137" s="33"/>
      <c r="G137" s="33"/>
      <c r="H137" s="33"/>
      <c r="I137" s="33"/>
      <c r="J137" s="33"/>
      <c r="K137" s="31"/>
      <c r="L137" s="31"/>
      <c r="W137">
        <f t="shared" si="63"/>
        <v>0</v>
      </c>
      <c r="X137">
        <f t="shared" si="64"/>
        <v>0</v>
      </c>
    </row>
    <row r="138" spans="1:24" s="32" customFormat="1">
      <c r="A138" s="25"/>
      <c r="B138" s="26" t="s">
        <v>162</v>
      </c>
      <c r="C138" s="25" t="s">
        <v>137</v>
      </c>
      <c r="D138" s="27">
        <v>1</v>
      </c>
      <c r="E138" s="27"/>
      <c r="F138" s="27">
        <f>D138*E138</f>
        <v>0</v>
      </c>
      <c r="G138" s="27"/>
      <c r="H138" s="27">
        <f>D138*G138</f>
        <v>0</v>
      </c>
      <c r="I138" s="27">
        <f>E138+G138</f>
        <v>0</v>
      </c>
      <c r="J138" s="27">
        <f>F138+H138</f>
        <v>0</v>
      </c>
      <c r="K138" s="31"/>
      <c r="L138" s="31"/>
      <c r="W138">
        <f t="shared" ref="W138:W143" si="89">SUM(N138*D138)</f>
        <v>0</v>
      </c>
      <c r="X138">
        <f t="shared" ref="X138:X143" si="90">SUM(S138*D138)</f>
        <v>0</v>
      </c>
    </row>
    <row r="139" spans="1:24">
      <c r="A139" s="15"/>
      <c r="B139" s="23" t="s">
        <v>163</v>
      </c>
      <c r="C139" s="15" t="s">
        <v>11</v>
      </c>
      <c r="D139" s="16"/>
      <c r="E139" s="16"/>
      <c r="F139" s="16"/>
      <c r="G139" s="16"/>
      <c r="H139" s="16"/>
      <c r="I139" s="16"/>
      <c r="J139" s="16"/>
      <c r="K139" s="3"/>
      <c r="L139" s="3"/>
      <c r="W139">
        <f t="shared" si="89"/>
        <v>0</v>
      </c>
      <c r="X139">
        <f t="shared" si="90"/>
        <v>0</v>
      </c>
    </row>
    <row r="140" spans="1:24">
      <c r="A140" s="6"/>
      <c r="B140" s="19" t="s">
        <v>164</v>
      </c>
      <c r="C140" s="6" t="s">
        <v>71</v>
      </c>
      <c r="D140" s="11">
        <v>10</v>
      </c>
      <c r="E140" s="11">
        <f t="shared" ref="E140:E141" si="91">SUM(P140)</f>
        <v>0</v>
      </c>
      <c r="F140" s="11">
        <f t="shared" ref="F140:F141" si="92">D140*E140</f>
        <v>0</v>
      </c>
      <c r="G140" s="11">
        <f t="shared" ref="G140:G141" si="93">SUM(S140)</f>
        <v>120</v>
      </c>
      <c r="H140" s="11">
        <f>D140*G140</f>
        <v>1200</v>
      </c>
      <c r="I140" s="11">
        <f>E140+G140</f>
        <v>120</v>
      </c>
      <c r="J140" s="11">
        <f>F140+H140</f>
        <v>1200</v>
      </c>
      <c r="K140" s="3"/>
      <c r="L140" s="3"/>
      <c r="N140" s="36"/>
      <c r="O140" s="37">
        <f t="shared" ref="O140:O141" si="94">$O$1</f>
        <v>1.155</v>
      </c>
      <c r="P140" s="38">
        <f t="shared" ref="P140:P141" si="95">SUM(N140*O140)</f>
        <v>0</v>
      </c>
      <c r="S140" s="39">
        <v>120</v>
      </c>
      <c r="T140" s="40">
        <f t="shared" ref="T140:T141" si="96">$T$1</f>
        <v>1.155</v>
      </c>
      <c r="U140" s="39">
        <f t="shared" ref="U140:U141" si="97">SUM(S140*T140)</f>
        <v>138.6</v>
      </c>
      <c r="W140">
        <f t="shared" si="89"/>
        <v>0</v>
      </c>
      <c r="X140">
        <f t="shared" si="90"/>
        <v>1200</v>
      </c>
    </row>
    <row r="141" spans="1:24">
      <c r="A141" s="6"/>
      <c r="B141" s="19" t="s">
        <v>165</v>
      </c>
      <c r="C141" s="6" t="s">
        <v>119</v>
      </c>
      <c r="D141" s="11">
        <v>1</v>
      </c>
      <c r="E141" s="11">
        <f t="shared" si="91"/>
        <v>13282.5</v>
      </c>
      <c r="F141" s="11">
        <f t="shared" si="92"/>
        <v>13282.5</v>
      </c>
      <c r="G141" s="11">
        <f t="shared" si="93"/>
        <v>900</v>
      </c>
      <c r="H141" s="11">
        <f>D141*G141</f>
        <v>900</v>
      </c>
      <c r="I141" s="11">
        <f>E141+G141</f>
        <v>14182.5</v>
      </c>
      <c r="J141" s="11">
        <f>F141+H141</f>
        <v>14182.5</v>
      </c>
      <c r="K141" s="3"/>
      <c r="L141" s="3"/>
      <c r="N141" s="36">
        <v>11500</v>
      </c>
      <c r="O141" s="37">
        <f t="shared" si="94"/>
        <v>1.155</v>
      </c>
      <c r="P141" s="38">
        <f t="shared" si="95"/>
        <v>13282.5</v>
      </c>
      <c r="S141" s="39">
        <v>900</v>
      </c>
      <c r="T141" s="40">
        <f t="shared" si="96"/>
        <v>1.155</v>
      </c>
      <c r="U141" s="39">
        <f t="shared" si="97"/>
        <v>1039.5</v>
      </c>
      <c r="W141">
        <f t="shared" si="89"/>
        <v>11500</v>
      </c>
      <c r="X141">
        <f t="shared" si="90"/>
        <v>900</v>
      </c>
    </row>
    <row r="142" spans="1:24">
      <c r="A142" s="15"/>
      <c r="B142" s="23" t="s">
        <v>166</v>
      </c>
      <c r="C142" s="15" t="s">
        <v>11</v>
      </c>
      <c r="D142" s="16"/>
      <c r="E142" s="16"/>
      <c r="F142" s="16"/>
      <c r="G142" s="16"/>
      <c r="H142" s="16"/>
      <c r="I142" s="16"/>
      <c r="J142" s="16"/>
      <c r="K142" s="3"/>
      <c r="L142" s="3"/>
      <c r="W142">
        <f t="shared" si="89"/>
        <v>0</v>
      </c>
      <c r="X142">
        <f t="shared" si="90"/>
        <v>0</v>
      </c>
    </row>
    <row r="143" spans="1:24">
      <c r="A143" s="6"/>
      <c r="B143" s="19" t="s">
        <v>167</v>
      </c>
      <c r="C143" s="6" t="s">
        <v>57</v>
      </c>
      <c r="D143" s="11">
        <v>5</v>
      </c>
      <c r="E143" s="11">
        <f>SUM(P143)</f>
        <v>635.25</v>
      </c>
      <c r="F143" s="11">
        <f>D143*E143</f>
        <v>3176.25</v>
      </c>
      <c r="G143" s="11">
        <f>SUM(S143)</f>
        <v>550</v>
      </c>
      <c r="H143" s="11">
        <f>D143*G143</f>
        <v>2750</v>
      </c>
      <c r="I143" s="11">
        <f>E143+G143</f>
        <v>1185.25</v>
      </c>
      <c r="J143" s="11">
        <f>F143+H143</f>
        <v>5926.25</v>
      </c>
      <c r="K143" s="3"/>
      <c r="L143" s="3"/>
      <c r="N143" s="36">
        <v>550</v>
      </c>
      <c r="O143" s="37">
        <f>$O$1</f>
        <v>1.155</v>
      </c>
      <c r="P143" s="38">
        <f>SUM(N143*O143)</f>
        <v>635.25</v>
      </c>
      <c r="S143" s="39">
        <v>550</v>
      </c>
      <c r="T143" s="40">
        <f t="shared" ref="T143" si="98">$T$1</f>
        <v>1.155</v>
      </c>
      <c r="U143" s="39">
        <f t="shared" ref="U143" si="99">SUM(S143*T143)</f>
        <v>635.25</v>
      </c>
      <c r="W143">
        <f t="shared" si="89"/>
        <v>2750</v>
      </c>
      <c r="X143">
        <f t="shared" si="90"/>
        <v>2750</v>
      </c>
    </row>
    <row r="144" spans="1:24">
      <c r="A144" s="6"/>
      <c r="B144" s="19" t="s">
        <v>11</v>
      </c>
      <c r="C144" s="6" t="s">
        <v>11</v>
      </c>
      <c r="D144" s="11"/>
      <c r="E144" s="11"/>
      <c r="F144" s="11"/>
      <c r="G144" s="11"/>
      <c r="H144" s="11"/>
      <c r="I144" s="11">
        <f>E144+G144</f>
        <v>0</v>
      </c>
      <c r="J144" s="11">
        <f>F144+H144</f>
        <v>0</v>
      </c>
      <c r="K144" s="3"/>
      <c r="L144" s="3"/>
    </row>
    <row r="145" spans="1:24">
      <c r="A145" s="4"/>
      <c r="B145" s="20" t="s">
        <v>168</v>
      </c>
      <c r="C145" s="4" t="s">
        <v>11</v>
      </c>
      <c r="D145" s="12"/>
      <c r="E145" s="12"/>
      <c r="F145" s="12">
        <f>SUM(F108:F144)</f>
        <v>18536.181510000002</v>
      </c>
      <c r="G145" s="12"/>
      <c r="H145" s="12">
        <f>SUM(H108:H144)</f>
        <v>20813.3</v>
      </c>
      <c r="I145" s="12"/>
      <c r="J145" s="12">
        <f>SUM(J108:J144)</f>
        <v>39349.481509999998</v>
      </c>
      <c r="K145" s="3"/>
      <c r="L145" s="3"/>
      <c r="W145" s="41">
        <f>SUM(W9:W143)</f>
        <v>237571.88944991506</v>
      </c>
      <c r="X145" s="41">
        <f>SUM(X9:X143)</f>
        <v>188826.3</v>
      </c>
    </row>
    <row r="146" spans="1:24">
      <c r="A146" s="6"/>
      <c r="B146" s="19" t="s">
        <v>11</v>
      </c>
      <c r="C146" s="6" t="s">
        <v>11</v>
      </c>
      <c r="D146" s="11"/>
      <c r="E146" s="11"/>
      <c r="F146" s="11"/>
      <c r="G146" s="11"/>
      <c r="H146" s="11"/>
      <c r="I146" s="11">
        <f>E146+G146</f>
        <v>0</v>
      </c>
      <c r="J146" s="11">
        <f>F146+H146</f>
        <v>0</v>
      </c>
      <c r="K146" s="3"/>
      <c r="L146" s="3"/>
      <c r="W146" s="45">
        <f>SUM(W145:X145)</f>
        <v>426398.18944991508</v>
      </c>
      <c r="X146" s="45"/>
    </row>
    <row r="147" spans="1:24">
      <c r="W147" s="42">
        <f>SUM(Rekapitulace!C24-Rozpočet!W146)</f>
        <v>66927.495537135575</v>
      </c>
      <c r="X147" s="43">
        <f>(1-(Rozpočet!W146/Rekapitulace!C24))</f>
        <v>0.13566594558905309</v>
      </c>
    </row>
  </sheetData>
  <mergeCells count="1">
    <mergeCell ref="W146:X146"/>
  </mergeCells>
  <pageMargins left="0.7" right="0.7" top="0.78740157499999996" bottom="0.78740157499999996" header="0.3" footer="0.3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view="pageBreakPreview" zoomScale="130" zoomScaleNormal="100" zoomScaleSheetLayoutView="130" workbookViewId="0">
      <selection activeCell="B8" sqref="B8"/>
    </sheetView>
  </sheetViews>
  <sheetFormatPr defaultRowHeight="15.75"/>
  <cols>
    <col min="1" max="1" width="22.25" style="1" bestFit="1" customWidth="1"/>
    <col min="2" max="2" width="75.125" style="1" bestFit="1" customWidth="1"/>
    <col min="4" max="4" width="0" hidden="1" customWidth="1"/>
  </cols>
  <sheetData>
    <row r="1" spans="1:3">
      <c r="A1" s="2" t="s">
        <v>0</v>
      </c>
      <c r="B1" s="2" t="s">
        <v>1</v>
      </c>
      <c r="C1" s="3"/>
    </row>
    <row r="2" spans="1:3">
      <c r="A2" s="2" t="s">
        <v>2</v>
      </c>
      <c r="B2" s="4" t="s">
        <v>3</v>
      </c>
      <c r="C2" s="3"/>
    </row>
    <row r="3" spans="1:3">
      <c r="A3" s="2" t="s">
        <v>4</v>
      </c>
      <c r="B3" s="5" t="s">
        <v>201</v>
      </c>
      <c r="C3" s="3"/>
    </row>
    <row r="4" spans="1:3">
      <c r="A4" s="2" t="s">
        <v>5</v>
      </c>
      <c r="B4" s="5" t="s">
        <v>205</v>
      </c>
      <c r="C4" s="3"/>
    </row>
    <row r="5" spans="1:3">
      <c r="A5" s="2" t="s">
        <v>6</v>
      </c>
      <c r="B5" s="5" t="s">
        <v>7</v>
      </c>
      <c r="C5" s="3"/>
    </row>
    <row r="6" spans="1:3">
      <c r="A6" s="2" t="s">
        <v>8</v>
      </c>
      <c r="B6" s="5" t="s">
        <v>202</v>
      </c>
      <c r="C6" s="3"/>
    </row>
    <row r="7" spans="1:3">
      <c r="A7" s="2" t="s">
        <v>9</v>
      </c>
      <c r="B7" s="5" t="s">
        <v>206</v>
      </c>
      <c r="C7" s="3"/>
    </row>
    <row r="8" spans="1:3">
      <c r="A8" s="2" t="s">
        <v>10</v>
      </c>
      <c r="B8" s="5" t="s">
        <v>11</v>
      </c>
      <c r="C8" s="3"/>
    </row>
    <row r="9" spans="1:3">
      <c r="A9" s="2" t="s">
        <v>12</v>
      </c>
      <c r="B9" s="5" t="s">
        <v>13</v>
      </c>
      <c r="C9" s="3"/>
    </row>
    <row r="10" spans="1:3">
      <c r="A10" s="2" t="s">
        <v>14</v>
      </c>
      <c r="B10" s="5" t="s">
        <v>13</v>
      </c>
      <c r="C10" s="3"/>
    </row>
    <row r="11" spans="1:3">
      <c r="A11" s="2" t="s">
        <v>15</v>
      </c>
      <c r="B11" s="5" t="s">
        <v>203</v>
      </c>
      <c r="C11" s="3"/>
    </row>
    <row r="12" spans="1:3">
      <c r="A12" s="2" t="s">
        <v>16</v>
      </c>
      <c r="B12" s="5" t="s">
        <v>17</v>
      </c>
      <c r="C12" s="3"/>
    </row>
    <row r="13" spans="1:3">
      <c r="A13" s="2" t="s">
        <v>18</v>
      </c>
      <c r="B13" s="5" t="s">
        <v>204</v>
      </c>
      <c r="C13" s="3"/>
    </row>
    <row r="14" spans="1:3">
      <c r="A14" s="2" t="s">
        <v>19</v>
      </c>
      <c r="B14" s="5" t="s">
        <v>20</v>
      </c>
      <c r="C14" s="3"/>
    </row>
    <row r="15" spans="1:3">
      <c r="A15" s="2" t="s">
        <v>11</v>
      </c>
      <c r="B15" s="6" t="s">
        <v>11</v>
      </c>
      <c r="C15" s="3"/>
    </row>
    <row r="16" spans="1:3">
      <c r="A16" s="2" t="s">
        <v>21</v>
      </c>
      <c r="B16" s="7" t="s">
        <v>22</v>
      </c>
      <c r="C16" s="3"/>
    </row>
    <row r="17" spans="1:3">
      <c r="A17" s="2" t="s">
        <v>23</v>
      </c>
      <c r="B17" s="7" t="s">
        <v>24</v>
      </c>
      <c r="C17" s="3"/>
    </row>
    <row r="18" spans="1:3">
      <c r="A18" s="2" t="s">
        <v>25</v>
      </c>
      <c r="B18" s="7" t="s">
        <v>24</v>
      </c>
      <c r="C18" s="3"/>
    </row>
    <row r="19" spans="1:3">
      <c r="A19" s="2" t="s">
        <v>26</v>
      </c>
      <c r="B19" s="7" t="s">
        <v>22</v>
      </c>
      <c r="C19" s="3"/>
    </row>
    <row r="20" spans="1:3">
      <c r="A20" s="2" t="s">
        <v>27</v>
      </c>
      <c r="B20" s="7" t="s">
        <v>22</v>
      </c>
      <c r="C20" s="3"/>
    </row>
    <row r="21" spans="1:3">
      <c r="A21" s="2" t="s">
        <v>28</v>
      </c>
      <c r="B21" s="7" t="s">
        <v>22</v>
      </c>
      <c r="C21" s="3"/>
    </row>
    <row r="22" spans="1:3">
      <c r="A22" s="2" t="s">
        <v>29</v>
      </c>
      <c r="B22" s="7" t="s">
        <v>22</v>
      </c>
      <c r="C22" s="3"/>
    </row>
    <row r="23" spans="1:3">
      <c r="A23" s="2" t="s">
        <v>30</v>
      </c>
      <c r="B23" s="7" t="s">
        <v>31</v>
      </c>
      <c r="C23" s="3"/>
    </row>
    <row r="24" spans="1:3">
      <c r="A24" s="2" t="s">
        <v>32</v>
      </c>
      <c r="B24" s="7" t="s">
        <v>22</v>
      </c>
      <c r="C24" s="3"/>
    </row>
    <row r="25" spans="1:3">
      <c r="A25" s="2" t="s">
        <v>33</v>
      </c>
      <c r="B25" s="7" t="s">
        <v>22</v>
      </c>
      <c r="C25" s="3"/>
    </row>
    <row r="26" spans="1:3">
      <c r="A26" s="2" t="s">
        <v>34</v>
      </c>
      <c r="B26" s="7" t="s">
        <v>35</v>
      </c>
      <c r="C26" s="3"/>
    </row>
    <row r="27" spans="1:3">
      <c r="A27" s="2" t="s">
        <v>36</v>
      </c>
      <c r="B27" s="7" t="s">
        <v>22</v>
      </c>
      <c r="C27" s="3"/>
    </row>
    <row r="28" spans="1:3">
      <c r="A28" s="2" t="s">
        <v>37</v>
      </c>
      <c r="B28" s="7" t="s">
        <v>22</v>
      </c>
      <c r="C28" s="3"/>
    </row>
    <row r="29" spans="1:3">
      <c r="A29" s="2" t="s">
        <v>38</v>
      </c>
      <c r="B29" s="7" t="s">
        <v>22</v>
      </c>
      <c r="C29" s="3"/>
    </row>
    <row r="30" spans="1:3">
      <c r="A30" s="2" t="s">
        <v>39</v>
      </c>
      <c r="B30" s="7" t="s">
        <v>22</v>
      </c>
      <c r="C30" s="3"/>
    </row>
    <row r="31" spans="1:3" ht="23.25">
      <c r="A31" s="8" t="s">
        <v>40</v>
      </c>
      <c r="B31" s="7" t="s">
        <v>41</v>
      </c>
      <c r="C31" s="3"/>
    </row>
    <row r="32" spans="1:3">
      <c r="A32" s="2" t="s">
        <v>42</v>
      </c>
      <c r="B32" s="7" t="s">
        <v>43</v>
      </c>
      <c r="C32" s="3"/>
    </row>
    <row r="33" spans="1:2">
      <c r="A33" s="2" t="s">
        <v>44</v>
      </c>
      <c r="B33" s="7">
        <v>5</v>
      </c>
    </row>
    <row r="34" spans="1:2">
      <c r="A34" s="2" t="s">
        <v>45</v>
      </c>
      <c r="B34" s="7">
        <v>1</v>
      </c>
    </row>
  </sheetData>
  <pageMargins left="0.7" right="0.7" top="0.78740157499999996" bottom="0.78740157499999996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3</vt:i4>
      </vt:variant>
    </vt:vector>
  </HeadingPairs>
  <TitlesOfParts>
    <vt:vector size="6" baseType="lpstr">
      <vt:lpstr>Rekapitulace</vt:lpstr>
      <vt:lpstr>Rozpočet</vt:lpstr>
      <vt:lpstr>Parametry</vt:lpstr>
      <vt:lpstr>Parametry!Oblast_tisku</vt:lpstr>
      <vt:lpstr>Rekapitulace!Oblast_tisku</vt:lpstr>
      <vt:lpstr>Rozpočet!Oblast_tisku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zemo</dc:creator>
  <cp:lastModifiedBy>Miloslav Brozik</cp:lastModifiedBy>
  <dcterms:created xsi:type="dcterms:W3CDTF">2022-01-05T22:00:38Z</dcterms:created>
  <dcterms:modified xsi:type="dcterms:W3CDTF">2025-03-20T13:43:10Z</dcterms:modified>
</cp:coreProperties>
</file>