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409b716a5e78c18/02_code/ceneni/input/"/>
    </mc:Choice>
  </mc:AlternateContent>
  <xr:revisionPtr revIDLastSave="149" documentId="8_{33759CBC-C65A-4F86-A47B-496D61ADA9A8}" xr6:coauthVersionLast="47" xr6:coauthVersionMax="47" xr10:uidLastSave="{825A4B96-1357-4321-AD84-0F32BA55BFD4}"/>
  <bookViews>
    <workbookView xWindow="-103" yWindow="-103" windowWidth="33120" windowHeight="18000" activeTab="4" xr2:uid="{00000000-000D-0000-FFFF-FFFF00000000}"/>
  </bookViews>
  <sheets>
    <sheet name="REK" sheetId="5" r:id="rId1"/>
    <sheet name="SIL" sheetId="1" r:id="rId2"/>
    <sheet name="SLP_R1" sheetId="7" r:id="rId3"/>
    <sheet name="NN + VO" sheetId="3" r:id="rId4"/>
    <sheet name="Přípojka VN + TS" sheetId="4" r:id="rId5"/>
    <sheet name="SLP_R0" sheetId="2" r:id="rId6"/>
  </sheets>
  <externalReferences>
    <externalReference r:id="rId7"/>
    <externalReference r:id="rId8"/>
    <externalReference r:id="rId9"/>
    <externalReference r:id="rId10"/>
  </externalReferences>
  <definedNames>
    <definedName name="_dph1">#REF!</definedName>
    <definedName name="_dph2">#REF!</definedName>
    <definedName name="_dph3">#REF!</definedName>
    <definedName name="_pol1">SLP_R1!#REF!</definedName>
    <definedName name="_pol2">SLP_R1!#REF!</definedName>
    <definedName name="_pol3">SLP_R1!#REF!</definedName>
    <definedName name="footer">#REF!</definedName>
    <definedName name="footer2">SLP_R1!#REF!</definedName>
    <definedName name="head1">#REF!</definedName>
    <definedName name="Header">#REF!</definedName>
    <definedName name="Header2">SLP_R1!#REF!</definedName>
    <definedName name="Hlava1">#REF!</definedName>
    <definedName name="Hlava2">#REF!</definedName>
    <definedName name="Hlava3">#REF!</definedName>
    <definedName name="Hlava4">#REF!</definedName>
    <definedName name="polbezcen1">SLP_R1!#REF!</definedName>
    <definedName name="polcen2">SLP_R1!#REF!</definedName>
    <definedName name="polcen3">SLP_R1!#REF!</definedName>
    <definedName name="Poznamka">#REF!</definedName>
    <definedName name="ZakHea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3" l="1"/>
  <c r="M25" i="3"/>
  <c r="M26" i="3"/>
  <c r="M27" i="3"/>
  <c r="M28" i="3"/>
  <c r="M29" i="3"/>
  <c r="M30" i="3"/>
  <c r="M31" i="3"/>
  <c r="M32" i="3"/>
  <c r="M24" i="3"/>
  <c r="K30" i="3"/>
  <c r="K31" i="3"/>
  <c r="K32" i="3"/>
  <c r="K25" i="3"/>
  <c r="K26" i="3"/>
  <c r="K27" i="3"/>
  <c r="K28" i="3"/>
  <c r="K29" i="3"/>
  <c r="K24" i="3"/>
  <c r="M316" i="7"/>
  <c r="N316" i="7" s="1"/>
  <c r="H316" i="7" s="1"/>
  <c r="I316" i="7" s="1"/>
  <c r="H9" i="5"/>
  <c r="F345" i="7"/>
  <c r="F344" i="7"/>
  <c r="F343" i="7"/>
  <c r="F342" i="7"/>
  <c r="F341" i="7"/>
  <c r="F340" i="7"/>
  <c r="F339" i="7"/>
  <c r="F338" i="7"/>
  <c r="F337" i="7"/>
  <c r="M336" i="7"/>
  <c r="N336" i="7" s="1"/>
  <c r="H336" i="7" s="1"/>
  <c r="I336" i="7" s="1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1" i="7"/>
  <c r="F310" i="7"/>
  <c r="F309" i="7"/>
  <c r="F308" i="7"/>
  <c r="F307" i="7"/>
  <c r="F306" i="7"/>
  <c r="F305" i="7"/>
  <c r="F304" i="7"/>
  <c r="F303" i="7"/>
  <c r="F302" i="7"/>
  <c r="F301" i="7"/>
  <c r="M300" i="7"/>
  <c r="N300" i="7" s="1"/>
  <c r="H300" i="7" s="1"/>
  <c r="I300" i="7" s="1"/>
  <c r="F300" i="7"/>
  <c r="M299" i="7"/>
  <c r="N299" i="7" s="1"/>
  <c r="H299" i="7" s="1"/>
  <c r="I299" i="7" s="1"/>
  <c r="F299" i="7"/>
  <c r="F298" i="7"/>
  <c r="F297" i="7"/>
  <c r="F296" i="7"/>
  <c r="F295" i="7"/>
  <c r="M294" i="7"/>
  <c r="N294" i="7" s="1"/>
  <c r="H294" i="7" s="1"/>
  <c r="I294" i="7" s="1"/>
  <c r="F294" i="7"/>
  <c r="F293" i="7"/>
  <c r="F292" i="7"/>
  <c r="F291" i="7"/>
  <c r="F290" i="7"/>
  <c r="F289" i="7"/>
  <c r="F288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3" i="7"/>
  <c r="F222" i="7"/>
  <c r="M221" i="7"/>
  <c r="N221" i="7" s="1"/>
  <c r="H221" i="7" s="1"/>
  <c r="I221" i="7" s="1"/>
  <c r="F221" i="7"/>
  <c r="M220" i="7"/>
  <c r="N220" i="7" s="1"/>
  <c r="H220" i="7" s="1"/>
  <c r="I220" i="7" s="1"/>
  <c r="F220" i="7"/>
  <c r="M219" i="7"/>
  <c r="N219" i="7" s="1"/>
  <c r="H219" i="7" s="1"/>
  <c r="I219" i="7" s="1"/>
  <c r="F219" i="7"/>
  <c r="M218" i="7"/>
  <c r="N218" i="7" s="1"/>
  <c r="H218" i="7" s="1"/>
  <c r="I218" i="7" s="1"/>
  <c r="F218" i="7"/>
  <c r="F217" i="7"/>
  <c r="M216" i="7"/>
  <c r="N216" i="7" s="1"/>
  <c r="H216" i="7" s="1"/>
  <c r="I216" i="7" s="1"/>
  <c r="F216" i="7"/>
  <c r="F215" i="7"/>
  <c r="F214" i="7"/>
  <c r="F213" i="7"/>
  <c r="M212" i="7"/>
  <c r="N212" i="7" s="1"/>
  <c r="H212" i="7" s="1"/>
  <c r="I212" i="7" s="1"/>
  <c r="F212" i="7"/>
  <c r="F211" i="7"/>
  <c r="F210" i="7"/>
  <c r="M209" i="7"/>
  <c r="N209" i="7" s="1"/>
  <c r="H209" i="7" s="1"/>
  <c r="I209" i="7" s="1"/>
  <c r="F209" i="7"/>
  <c r="M208" i="7"/>
  <c r="N208" i="7" s="1"/>
  <c r="H208" i="7" s="1"/>
  <c r="I208" i="7" s="1"/>
  <c r="F208" i="7"/>
  <c r="M207" i="7"/>
  <c r="N207" i="7" s="1"/>
  <c r="H207" i="7" s="1"/>
  <c r="I207" i="7" s="1"/>
  <c r="F207" i="7"/>
  <c r="M206" i="7"/>
  <c r="N206" i="7" s="1"/>
  <c r="H206" i="7" s="1"/>
  <c r="I206" i="7" s="1"/>
  <c r="F206" i="7"/>
  <c r="M205" i="7"/>
  <c r="N205" i="7" s="1"/>
  <c r="H205" i="7" s="1"/>
  <c r="I205" i="7" s="1"/>
  <c r="F205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M184" i="7"/>
  <c r="N184" i="7" s="1"/>
  <c r="H184" i="7" s="1"/>
  <c r="I184" i="7" s="1"/>
  <c r="F184" i="7"/>
  <c r="M183" i="7"/>
  <c r="N183" i="7" s="1"/>
  <c r="H183" i="7" s="1"/>
  <c r="I183" i="7" s="1"/>
  <c r="F183" i="7"/>
  <c r="M182" i="7"/>
  <c r="N182" i="7" s="1"/>
  <c r="H182" i="7" s="1"/>
  <c r="I182" i="7" s="1"/>
  <c r="F182" i="7"/>
  <c r="M181" i="7"/>
  <c r="N181" i="7" s="1"/>
  <c r="H181" i="7" s="1"/>
  <c r="I181" i="7" s="1"/>
  <c r="F181" i="7"/>
  <c r="M180" i="7"/>
  <c r="N180" i="7" s="1"/>
  <c r="H180" i="7" s="1"/>
  <c r="I180" i="7" s="1"/>
  <c r="F180" i="7"/>
  <c r="F179" i="7"/>
  <c r="M178" i="7"/>
  <c r="N178" i="7" s="1"/>
  <c r="H178" i="7" s="1"/>
  <c r="I178" i="7" s="1"/>
  <c r="F178" i="7"/>
  <c r="F177" i="7"/>
  <c r="M176" i="7"/>
  <c r="N176" i="7" s="1"/>
  <c r="H176" i="7" s="1"/>
  <c r="I176" i="7" s="1"/>
  <c r="F176" i="7"/>
  <c r="F175" i="7"/>
  <c r="M174" i="7"/>
  <c r="N174" i="7" s="1"/>
  <c r="H174" i="7" s="1"/>
  <c r="I174" i="7" s="1"/>
  <c r="F174" i="7"/>
  <c r="F173" i="7"/>
  <c r="F172" i="7"/>
  <c r="M171" i="7"/>
  <c r="N171" i="7" s="1"/>
  <c r="H171" i="7" s="1"/>
  <c r="I171" i="7" s="1"/>
  <c r="F171" i="7"/>
  <c r="M170" i="7"/>
  <c r="N170" i="7" s="1"/>
  <c r="H170" i="7" s="1"/>
  <c r="I170" i="7" s="1"/>
  <c r="F170" i="7"/>
  <c r="M169" i="7"/>
  <c r="N169" i="7" s="1"/>
  <c r="H169" i="7" s="1"/>
  <c r="I169" i="7" s="1"/>
  <c r="F169" i="7"/>
  <c r="M168" i="7"/>
  <c r="N168" i="7" s="1"/>
  <c r="H168" i="7" s="1"/>
  <c r="I168" i="7" s="1"/>
  <c r="F168" i="7"/>
  <c r="M167" i="7"/>
  <c r="N167" i="7" s="1"/>
  <c r="H167" i="7" s="1"/>
  <c r="I167" i="7" s="1"/>
  <c r="F167" i="7"/>
  <c r="F166" i="7"/>
  <c r="F165" i="7"/>
  <c r="M164" i="7"/>
  <c r="N164" i="7" s="1"/>
  <c r="H164" i="7" s="1"/>
  <c r="I164" i="7" s="1"/>
  <c r="F164" i="7"/>
  <c r="M163" i="7"/>
  <c r="N163" i="7" s="1"/>
  <c r="H163" i="7" s="1"/>
  <c r="I163" i="7" s="1"/>
  <c r="F163" i="7"/>
  <c r="F162" i="7"/>
  <c r="F161" i="7"/>
  <c r="F160" i="7"/>
  <c r="F159" i="7"/>
  <c r="M158" i="7"/>
  <c r="N158" i="7" s="1"/>
  <c r="H158" i="7" s="1"/>
  <c r="I158" i="7" s="1"/>
  <c r="F158" i="7"/>
  <c r="M157" i="7"/>
  <c r="N157" i="7" s="1"/>
  <c r="H157" i="7" s="1"/>
  <c r="I157" i="7" s="1"/>
  <c r="F157" i="7"/>
  <c r="M156" i="7"/>
  <c r="N156" i="7" s="1"/>
  <c r="H156" i="7" s="1"/>
  <c r="I156" i="7" s="1"/>
  <c r="F156" i="7"/>
  <c r="M155" i="7"/>
  <c r="N155" i="7" s="1"/>
  <c r="H155" i="7" s="1"/>
  <c r="I155" i="7" s="1"/>
  <c r="F155" i="7"/>
  <c r="M154" i="7"/>
  <c r="N154" i="7" s="1"/>
  <c r="H154" i="7" s="1"/>
  <c r="I154" i="7" s="1"/>
  <c r="F154" i="7"/>
  <c r="F153" i="7"/>
  <c r="F152" i="7"/>
  <c r="M151" i="7"/>
  <c r="N151" i="7" s="1"/>
  <c r="H151" i="7" s="1"/>
  <c r="I151" i="7" s="1"/>
  <c r="F151" i="7"/>
  <c r="M150" i="7"/>
  <c r="N150" i="7" s="1"/>
  <c r="H150" i="7" s="1"/>
  <c r="E150" i="7"/>
  <c r="F150" i="7" s="1"/>
  <c r="E149" i="7"/>
  <c r="F149" i="7" s="1"/>
  <c r="F148" i="7"/>
  <c r="E148" i="7"/>
  <c r="E147" i="7"/>
  <c r="F147" i="7" s="1"/>
  <c r="E146" i="7"/>
  <c r="F146" i="7" s="1"/>
  <c r="M145" i="7"/>
  <c r="N145" i="7" s="1"/>
  <c r="H145" i="7" s="1"/>
  <c r="E145" i="7"/>
  <c r="F145" i="7" s="1"/>
  <c r="M144" i="7"/>
  <c r="N144" i="7" s="1"/>
  <c r="H144" i="7" s="1"/>
  <c r="I144" i="7" s="1"/>
  <c r="F144" i="7"/>
  <c r="E144" i="7"/>
  <c r="M143" i="7"/>
  <c r="N143" i="7" s="1"/>
  <c r="H143" i="7" s="1"/>
  <c r="I143" i="7" s="1"/>
  <c r="E143" i="7"/>
  <c r="F143" i="7" s="1"/>
  <c r="E142" i="7"/>
  <c r="F142" i="7" s="1"/>
  <c r="M141" i="7"/>
  <c r="N141" i="7" s="1"/>
  <c r="H141" i="7" s="1"/>
  <c r="E141" i="7"/>
  <c r="F141" i="7" s="1"/>
  <c r="F140" i="7"/>
  <c r="E140" i="7"/>
  <c r="E139" i="7"/>
  <c r="F139" i="7" s="1"/>
  <c r="E138" i="7"/>
  <c r="F138" i="7" s="1"/>
  <c r="M137" i="7"/>
  <c r="N137" i="7" s="1"/>
  <c r="H137" i="7" s="1"/>
  <c r="E137" i="7"/>
  <c r="F137" i="7" s="1"/>
  <c r="F136" i="7"/>
  <c r="E136" i="7"/>
  <c r="E135" i="7"/>
  <c r="F135" i="7" s="1"/>
  <c r="M134" i="7"/>
  <c r="N134" i="7" s="1"/>
  <c r="H134" i="7" s="1"/>
  <c r="I134" i="7" s="1"/>
  <c r="E134" i="7"/>
  <c r="F134" i="7" s="1"/>
  <c r="M133" i="7"/>
  <c r="N133" i="7" s="1"/>
  <c r="H133" i="7" s="1"/>
  <c r="E133" i="7"/>
  <c r="F133" i="7" s="1"/>
  <c r="M132" i="7"/>
  <c r="N132" i="7" s="1"/>
  <c r="H132" i="7" s="1"/>
  <c r="I132" i="7" s="1"/>
  <c r="F132" i="7"/>
  <c r="E132" i="7"/>
  <c r="M131" i="7"/>
  <c r="N131" i="7" s="1"/>
  <c r="H131" i="7" s="1"/>
  <c r="I131" i="7" s="1"/>
  <c r="E131" i="7"/>
  <c r="F131" i="7" s="1"/>
  <c r="F130" i="7"/>
  <c r="M129" i="7"/>
  <c r="N129" i="7" s="1"/>
  <c r="H129" i="7" s="1"/>
  <c r="E129" i="7"/>
  <c r="F129" i="7" s="1"/>
  <c r="F128" i="7"/>
  <c r="E128" i="7"/>
  <c r="M127" i="7"/>
  <c r="N127" i="7" s="1"/>
  <c r="H127" i="7" s="1"/>
  <c r="I127" i="7" s="1"/>
  <c r="F127" i="7"/>
  <c r="E127" i="7"/>
  <c r="M126" i="7"/>
  <c r="N126" i="7" s="1"/>
  <c r="H126" i="7" s="1"/>
  <c r="I126" i="7" s="1"/>
  <c r="F126" i="7"/>
  <c r="E126" i="7"/>
  <c r="M125" i="7"/>
  <c r="N125" i="7" s="1"/>
  <c r="H125" i="7" s="1"/>
  <c r="I125" i="7" s="1"/>
  <c r="E125" i="7"/>
  <c r="F125" i="7" s="1"/>
  <c r="F124" i="7"/>
  <c r="E124" i="7"/>
  <c r="M123" i="7"/>
  <c r="N123" i="7" s="1"/>
  <c r="H123" i="7" s="1"/>
  <c r="I123" i="7" s="1"/>
  <c r="F123" i="7"/>
  <c r="E123" i="7"/>
  <c r="F122" i="7"/>
  <c r="E122" i="7"/>
  <c r="E121" i="7"/>
  <c r="F121" i="7" s="1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E102" i="7"/>
  <c r="E101" i="7"/>
  <c r="F101" i="7" s="1"/>
  <c r="F100" i="7"/>
  <c r="E100" i="7"/>
  <c r="F99" i="7"/>
  <c r="E99" i="7"/>
  <c r="F98" i="7"/>
  <c r="E98" i="7"/>
  <c r="E97" i="7"/>
  <c r="F97" i="7" s="1"/>
  <c r="F96" i="7"/>
  <c r="E96" i="7"/>
  <c r="F95" i="7"/>
  <c r="E95" i="7"/>
  <c r="F94" i="7"/>
  <c r="E94" i="7"/>
  <c r="E93" i="7"/>
  <c r="F93" i="7" s="1"/>
  <c r="F92" i="7"/>
  <c r="E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5" i="7"/>
  <c r="M64" i="7"/>
  <c r="N64" i="7" s="1"/>
  <c r="F64" i="7"/>
  <c r="F63" i="7"/>
  <c r="F62" i="7"/>
  <c r="F61" i="7"/>
  <c r="M60" i="7"/>
  <c r="N60" i="7" s="1"/>
  <c r="F60" i="7"/>
  <c r="M59" i="7"/>
  <c r="N59" i="7" s="1"/>
  <c r="F59" i="7"/>
  <c r="M58" i="7"/>
  <c r="N58" i="7" s="1"/>
  <c r="F58" i="7"/>
  <c r="M57" i="7"/>
  <c r="N57" i="7" s="1"/>
  <c r="F57" i="7"/>
  <c r="M56" i="7"/>
  <c r="N56" i="7" s="1"/>
  <c r="F56" i="7"/>
  <c r="F55" i="7"/>
  <c r="M54" i="7"/>
  <c r="N54" i="7" s="1"/>
  <c r="F54" i="7"/>
  <c r="F53" i="7"/>
  <c r="M52" i="7"/>
  <c r="N52" i="7" s="1"/>
  <c r="F52" i="7"/>
  <c r="F51" i="7"/>
  <c r="F50" i="7"/>
  <c r="F46" i="7"/>
  <c r="M45" i="7"/>
  <c r="N45" i="7" s="1"/>
  <c r="F45" i="7"/>
  <c r="M44" i="7"/>
  <c r="N44" i="7" s="1"/>
  <c r="F44" i="7"/>
  <c r="M43" i="7"/>
  <c r="N43" i="7" s="1"/>
  <c r="F43" i="7"/>
  <c r="M42" i="7"/>
  <c r="N42" i="7" s="1"/>
  <c r="F42" i="7"/>
  <c r="M41" i="7"/>
  <c r="N41" i="7" s="1"/>
  <c r="F41" i="7"/>
  <c r="F40" i="7"/>
  <c r="M39" i="7"/>
  <c r="N39" i="7" s="1"/>
  <c r="F39" i="7"/>
  <c r="F38" i="7"/>
  <c r="M37" i="7"/>
  <c r="N37" i="7" s="1"/>
  <c r="F37" i="7"/>
  <c r="F36" i="7"/>
  <c r="F35" i="7"/>
  <c r="F34" i="7"/>
  <c r="M33" i="7"/>
  <c r="N33" i="7" s="1"/>
  <c r="F33" i="7"/>
  <c r="M32" i="7"/>
  <c r="N32" i="7" s="1"/>
  <c r="F32" i="7"/>
  <c r="M31" i="7"/>
  <c r="N31" i="7" s="1"/>
  <c r="F31" i="7"/>
  <c r="M30" i="7"/>
  <c r="N30" i="7" s="1"/>
  <c r="F30" i="7"/>
  <c r="M29" i="7"/>
  <c r="N29" i="7" s="1"/>
  <c r="F29" i="7"/>
  <c r="F28" i="7"/>
  <c r="M27" i="7"/>
  <c r="N27" i="7" s="1"/>
  <c r="F27" i="7"/>
  <c r="F26" i="7"/>
  <c r="M25" i="7"/>
  <c r="N25" i="7" s="1"/>
  <c r="F25" i="7"/>
  <c r="F24" i="7"/>
  <c r="F23" i="7"/>
  <c r="F22" i="7"/>
  <c r="M21" i="7"/>
  <c r="N21" i="7" s="1"/>
  <c r="F21" i="7"/>
  <c r="M20" i="7"/>
  <c r="N20" i="7" s="1"/>
  <c r="F20" i="7"/>
  <c r="M19" i="7"/>
  <c r="N19" i="7" s="1"/>
  <c r="F19" i="7"/>
  <c r="M18" i="7"/>
  <c r="N18" i="7" s="1"/>
  <c r="F18" i="7"/>
  <c r="M17" i="7"/>
  <c r="N17" i="7" s="1"/>
  <c r="F17" i="7"/>
  <c r="F16" i="7"/>
  <c r="M15" i="7"/>
  <c r="N15" i="7" s="1"/>
  <c r="F15" i="7"/>
  <c r="F14" i="7"/>
  <c r="M13" i="7"/>
  <c r="N13" i="7" s="1"/>
  <c r="F13" i="7"/>
  <c r="F12" i="7"/>
  <c r="F11" i="7"/>
  <c r="F10" i="7"/>
  <c r="M9" i="7"/>
  <c r="N9" i="7" s="1"/>
  <c r="F9" i="7"/>
  <c r="M8" i="7"/>
  <c r="N8" i="7" s="1"/>
  <c r="F8" i="7"/>
  <c r="M7" i="7"/>
  <c r="N7" i="7" s="1"/>
  <c r="F7" i="7"/>
  <c r="M6" i="7"/>
  <c r="N6" i="7" s="1"/>
  <c r="F6" i="7"/>
  <c r="M5" i="7"/>
  <c r="N5" i="7" s="1"/>
  <c r="F5" i="7"/>
  <c r="K34" i="3" l="1"/>
  <c r="M289" i="7"/>
  <c r="N289" i="7" s="1"/>
  <c r="H289" i="7" s="1"/>
  <c r="I289" i="7" s="1"/>
  <c r="M304" i="7"/>
  <c r="N304" i="7" s="1"/>
  <c r="H304" i="7" s="1"/>
  <c r="I304" i="7" s="1"/>
  <c r="M317" i="7"/>
  <c r="N317" i="7" s="1"/>
  <c r="H317" i="7" s="1"/>
  <c r="I317" i="7" s="1"/>
  <c r="M290" i="7"/>
  <c r="N290" i="7" s="1"/>
  <c r="H290" i="7" s="1"/>
  <c r="I290" i="7" s="1"/>
  <c r="M335" i="7"/>
  <c r="N335" i="7" s="1"/>
  <c r="H335" i="7" s="1"/>
  <c r="I335" i="7" s="1"/>
  <c r="M306" i="7"/>
  <c r="N306" i="7" s="1"/>
  <c r="H306" i="7" s="1"/>
  <c r="I306" i="7" s="1"/>
  <c r="M314" i="7"/>
  <c r="N314" i="7" s="1"/>
  <c r="H314" i="7" s="1"/>
  <c r="I314" i="7" s="1"/>
  <c r="M319" i="7"/>
  <c r="N319" i="7" s="1"/>
  <c r="H319" i="7" s="1"/>
  <c r="I319" i="7" s="1"/>
  <c r="M291" i="7"/>
  <c r="N291" i="7" s="1"/>
  <c r="H291" i="7" s="1"/>
  <c r="I291" i="7" s="1"/>
  <c r="M302" i="7"/>
  <c r="N302" i="7" s="1"/>
  <c r="H302" i="7" s="1"/>
  <c r="I302" i="7" s="1"/>
  <c r="M334" i="7"/>
  <c r="N334" i="7" s="1"/>
  <c r="H334" i="7" s="1"/>
  <c r="I334" i="7" s="1"/>
  <c r="M320" i="7"/>
  <c r="N320" i="7" s="1"/>
  <c r="H320" i="7" s="1"/>
  <c r="I320" i="7" s="1"/>
  <c r="M292" i="7"/>
  <c r="N292" i="7" s="1"/>
  <c r="H292" i="7" s="1"/>
  <c r="I292" i="7" s="1"/>
  <c r="M303" i="7"/>
  <c r="N303" i="7" s="1"/>
  <c r="H303" i="7" s="1"/>
  <c r="I303" i="7" s="1"/>
  <c r="M337" i="7"/>
  <c r="N337" i="7" s="1"/>
  <c r="H337" i="7" s="1"/>
  <c r="I337" i="7" s="1"/>
  <c r="M307" i="7"/>
  <c r="N307" i="7" s="1"/>
  <c r="H307" i="7" s="1"/>
  <c r="I307" i="7" s="1"/>
  <c r="M338" i="7"/>
  <c r="N338" i="7" s="1"/>
  <c r="H338" i="7" s="1"/>
  <c r="I338" i="7" s="1"/>
  <c r="M146" i="7"/>
  <c r="N146" i="7" s="1"/>
  <c r="H146" i="7" s="1"/>
  <c r="I146" i="7" s="1"/>
  <c r="M223" i="7"/>
  <c r="N223" i="7" s="1"/>
  <c r="H223" i="7" s="1"/>
  <c r="I223" i="7" s="1"/>
  <c r="M10" i="7"/>
  <c r="N10" i="7" s="1"/>
  <c r="M22" i="7"/>
  <c r="N22" i="7" s="1"/>
  <c r="M34" i="7"/>
  <c r="N34" i="7" s="1"/>
  <c r="M46" i="7"/>
  <c r="N46" i="7" s="1"/>
  <c r="M61" i="7"/>
  <c r="N61" i="7" s="1"/>
  <c r="M159" i="7"/>
  <c r="N159" i="7" s="1"/>
  <c r="H159" i="7" s="1"/>
  <c r="I159" i="7" s="1"/>
  <c r="M172" i="7"/>
  <c r="N172" i="7" s="1"/>
  <c r="H172" i="7" s="1"/>
  <c r="I172" i="7" s="1"/>
  <c r="M295" i="7"/>
  <c r="N295" i="7" s="1"/>
  <c r="H295" i="7" s="1"/>
  <c r="I295" i="7" s="1"/>
  <c r="M308" i="7"/>
  <c r="N308" i="7" s="1"/>
  <c r="H308" i="7" s="1"/>
  <c r="I308" i="7" s="1"/>
  <c r="M124" i="7"/>
  <c r="N124" i="7" s="1"/>
  <c r="H124" i="7" s="1"/>
  <c r="I124" i="7" s="1"/>
  <c r="M135" i="7"/>
  <c r="N135" i="7" s="1"/>
  <c r="H135" i="7" s="1"/>
  <c r="I135" i="7" s="1"/>
  <c r="M147" i="7"/>
  <c r="N147" i="7" s="1"/>
  <c r="H147" i="7" s="1"/>
  <c r="I147" i="7" s="1"/>
  <c r="M211" i="7"/>
  <c r="N211" i="7" s="1"/>
  <c r="H211" i="7" s="1"/>
  <c r="I211" i="7" s="1"/>
  <c r="M324" i="7"/>
  <c r="N324" i="7" s="1"/>
  <c r="H324" i="7" s="1"/>
  <c r="I324" i="7" s="1"/>
  <c r="M339" i="7"/>
  <c r="N339" i="7" s="1"/>
  <c r="H339" i="7" s="1"/>
  <c r="I339" i="7" s="1"/>
  <c r="M11" i="7"/>
  <c r="N11" i="7" s="1"/>
  <c r="M23" i="7"/>
  <c r="N23" i="7" s="1"/>
  <c r="M35" i="7"/>
  <c r="N35" i="7" s="1"/>
  <c r="M50" i="7"/>
  <c r="N50" i="7" s="1"/>
  <c r="M62" i="7"/>
  <c r="N62" i="7" s="1"/>
  <c r="M160" i="7"/>
  <c r="N160" i="7" s="1"/>
  <c r="H160" i="7" s="1"/>
  <c r="I160" i="7" s="1"/>
  <c r="M296" i="7"/>
  <c r="N296" i="7" s="1"/>
  <c r="H296" i="7" s="1"/>
  <c r="I296" i="7" s="1"/>
  <c r="M340" i="7"/>
  <c r="N340" i="7" s="1"/>
  <c r="H340" i="7" s="1"/>
  <c r="I340" i="7" s="1"/>
  <c r="M325" i="7"/>
  <c r="N325" i="7" s="1"/>
  <c r="H325" i="7" s="1"/>
  <c r="I325" i="7" s="1"/>
  <c r="M12" i="7"/>
  <c r="N12" i="7" s="1"/>
  <c r="M24" i="7"/>
  <c r="N24" i="7" s="1"/>
  <c r="M36" i="7"/>
  <c r="N36" i="7" s="1"/>
  <c r="M51" i="7"/>
  <c r="N51" i="7" s="1"/>
  <c r="M63" i="7"/>
  <c r="N63" i="7" s="1"/>
  <c r="M136" i="7"/>
  <c r="N136" i="7" s="1"/>
  <c r="H136" i="7" s="1"/>
  <c r="I136" i="7" s="1"/>
  <c r="M148" i="7"/>
  <c r="N148" i="7" s="1"/>
  <c r="H148" i="7" s="1"/>
  <c r="I148" i="7" s="1"/>
  <c r="M311" i="7"/>
  <c r="N311" i="7" s="1"/>
  <c r="H311" i="7" s="1"/>
  <c r="I311" i="7" s="1"/>
  <c r="M162" i="7"/>
  <c r="N162" i="7" s="1"/>
  <c r="H162" i="7" s="1"/>
  <c r="I162" i="7" s="1"/>
  <c r="M175" i="7"/>
  <c r="N175" i="7" s="1"/>
  <c r="H175" i="7" s="1"/>
  <c r="I175" i="7" s="1"/>
  <c r="M213" i="7"/>
  <c r="N213" i="7" s="1"/>
  <c r="H213" i="7" s="1"/>
  <c r="I213" i="7" s="1"/>
  <c r="M298" i="7"/>
  <c r="N298" i="7" s="1"/>
  <c r="H298" i="7" s="1"/>
  <c r="I298" i="7" s="1"/>
  <c r="M312" i="7"/>
  <c r="N312" i="7" s="1"/>
  <c r="H312" i="7" s="1"/>
  <c r="I312" i="7" s="1"/>
  <c r="M326" i="7"/>
  <c r="N326" i="7" s="1"/>
  <c r="H326" i="7" s="1"/>
  <c r="I326" i="7" s="1"/>
  <c r="M327" i="7"/>
  <c r="N327" i="7" s="1"/>
  <c r="H327" i="7" s="1"/>
  <c r="I327" i="7" s="1"/>
  <c r="M313" i="7"/>
  <c r="N313" i="7" s="1"/>
  <c r="H313" i="7" s="1"/>
  <c r="I313" i="7" s="1"/>
  <c r="M14" i="7"/>
  <c r="N14" i="7" s="1"/>
  <c r="M26" i="7"/>
  <c r="N26" i="7" s="1"/>
  <c r="M38" i="7"/>
  <c r="N38" i="7" s="1"/>
  <c r="M53" i="7"/>
  <c r="N53" i="7" s="1"/>
  <c r="M65" i="7"/>
  <c r="N65" i="7" s="1"/>
  <c r="M215" i="7"/>
  <c r="N215" i="7" s="1"/>
  <c r="H215" i="7" s="1"/>
  <c r="I215" i="7" s="1"/>
  <c r="M328" i="7"/>
  <c r="N328" i="7" s="1"/>
  <c r="H328" i="7" s="1"/>
  <c r="I328" i="7" s="1"/>
  <c r="M140" i="7"/>
  <c r="N140" i="7" s="1"/>
  <c r="H140" i="7" s="1"/>
  <c r="I140" i="7" s="1"/>
  <c r="M152" i="7"/>
  <c r="N152" i="7" s="1"/>
  <c r="H152" i="7" s="1"/>
  <c r="I152" i="7" s="1"/>
  <c r="M288" i="7"/>
  <c r="N288" i="7" s="1"/>
  <c r="H288" i="7" s="1"/>
  <c r="I288" i="7" s="1"/>
  <c r="M301" i="7"/>
  <c r="N301" i="7" s="1"/>
  <c r="H301" i="7" s="1"/>
  <c r="I301" i="7" s="1"/>
  <c r="M315" i="7"/>
  <c r="N315" i="7" s="1"/>
  <c r="H315" i="7" s="1"/>
  <c r="I315" i="7" s="1"/>
  <c r="Q271" i="7"/>
  <c r="R271" i="7" s="1"/>
  <c r="H271" i="7" s="1"/>
  <c r="I271" i="7" s="1"/>
  <c r="M16" i="7"/>
  <c r="N16" i="7" s="1"/>
  <c r="M28" i="7"/>
  <c r="N28" i="7" s="1"/>
  <c r="M40" i="7"/>
  <c r="N40" i="7" s="1"/>
  <c r="M55" i="7"/>
  <c r="N55" i="7" s="1"/>
  <c r="M166" i="7"/>
  <c r="N166" i="7" s="1"/>
  <c r="H166" i="7" s="1"/>
  <c r="I166" i="7" s="1"/>
  <c r="M179" i="7"/>
  <c r="N179" i="7" s="1"/>
  <c r="H179" i="7" s="1"/>
  <c r="I179" i="7" s="1"/>
  <c r="M217" i="7"/>
  <c r="N217" i="7" s="1"/>
  <c r="H217" i="7" s="1"/>
  <c r="I217" i="7" s="1"/>
  <c r="M341" i="7"/>
  <c r="N341" i="7" s="1"/>
  <c r="H341" i="7" s="1"/>
  <c r="I341" i="7" s="1"/>
  <c r="M329" i="7"/>
  <c r="N329" i="7" s="1"/>
  <c r="H329" i="7" s="1"/>
  <c r="I329" i="7" s="1"/>
  <c r="M342" i="7"/>
  <c r="N342" i="7" s="1"/>
  <c r="H342" i="7" s="1"/>
  <c r="I342" i="7" s="1"/>
  <c r="M138" i="7"/>
  <c r="N138" i="7" s="1"/>
  <c r="H138" i="7" s="1"/>
  <c r="I138" i="7" s="1"/>
  <c r="M330" i="7"/>
  <c r="N330" i="7" s="1"/>
  <c r="H330" i="7" s="1"/>
  <c r="I330" i="7" s="1"/>
  <c r="M149" i="7"/>
  <c r="N149" i="7" s="1"/>
  <c r="H149" i="7" s="1"/>
  <c r="I149" i="7" s="1"/>
  <c r="M161" i="7"/>
  <c r="N161" i="7" s="1"/>
  <c r="H161" i="7" s="1"/>
  <c r="I161" i="7" s="1"/>
  <c r="M173" i="7"/>
  <c r="N173" i="7" s="1"/>
  <c r="H173" i="7" s="1"/>
  <c r="I173" i="7" s="1"/>
  <c r="M210" i="7"/>
  <c r="N210" i="7" s="1"/>
  <c r="H210" i="7" s="1"/>
  <c r="I210" i="7" s="1"/>
  <c r="M222" i="7"/>
  <c r="N222" i="7" s="1"/>
  <c r="H222" i="7" s="1"/>
  <c r="I222" i="7" s="1"/>
  <c r="M293" i="7"/>
  <c r="N293" i="7" s="1"/>
  <c r="H293" i="7" s="1"/>
  <c r="I293" i="7" s="1"/>
  <c r="M305" i="7"/>
  <c r="N305" i="7" s="1"/>
  <c r="H305" i="7" s="1"/>
  <c r="I305" i="7" s="1"/>
  <c r="M318" i="7"/>
  <c r="N318" i="7" s="1"/>
  <c r="H318" i="7" s="1"/>
  <c r="I318" i="7" s="1"/>
  <c r="M343" i="7"/>
  <c r="N343" i="7" s="1"/>
  <c r="H343" i="7" s="1"/>
  <c r="I343" i="7" s="1"/>
  <c r="M128" i="7"/>
  <c r="N128" i="7" s="1"/>
  <c r="H128" i="7" s="1"/>
  <c r="I128" i="7" s="1"/>
  <c r="M139" i="7"/>
  <c r="N139" i="7" s="1"/>
  <c r="H139" i="7" s="1"/>
  <c r="I139" i="7" s="1"/>
  <c r="M331" i="7"/>
  <c r="N331" i="7" s="1"/>
  <c r="H331" i="7" s="1"/>
  <c r="I331" i="7" s="1"/>
  <c r="M344" i="7"/>
  <c r="N344" i="7" s="1"/>
  <c r="H344" i="7" s="1"/>
  <c r="I344" i="7" s="1"/>
  <c r="M332" i="7"/>
  <c r="N332" i="7" s="1"/>
  <c r="H332" i="7" s="1"/>
  <c r="I332" i="7" s="1"/>
  <c r="M345" i="7"/>
  <c r="N345" i="7" s="1"/>
  <c r="H345" i="7" s="1"/>
  <c r="I345" i="7" s="1"/>
  <c r="M121" i="7"/>
  <c r="N121" i="7" s="1"/>
  <c r="H121" i="7" s="1"/>
  <c r="I121" i="7" s="1"/>
  <c r="M130" i="7"/>
  <c r="N130" i="7" s="1"/>
  <c r="H130" i="7" s="1"/>
  <c r="I130" i="7" s="1"/>
  <c r="M333" i="7"/>
  <c r="N333" i="7" s="1"/>
  <c r="H333" i="7" s="1"/>
  <c r="I333" i="7" s="1"/>
  <c r="M346" i="7"/>
  <c r="N346" i="7" s="1"/>
  <c r="M321" i="7"/>
  <c r="N321" i="7" s="1"/>
  <c r="H321" i="7" s="1"/>
  <c r="I321" i="7" s="1"/>
  <c r="M122" i="7"/>
  <c r="N122" i="7" s="1"/>
  <c r="H122" i="7" s="1"/>
  <c r="I122" i="7" s="1"/>
  <c r="M142" i="7"/>
  <c r="N142" i="7" s="1"/>
  <c r="H142" i="7" s="1"/>
  <c r="I142" i="7" s="1"/>
  <c r="M153" i="7"/>
  <c r="N153" i="7" s="1"/>
  <c r="H153" i="7" s="1"/>
  <c r="I153" i="7" s="1"/>
  <c r="M165" i="7"/>
  <c r="N165" i="7" s="1"/>
  <c r="H165" i="7" s="1"/>
  <c r="I165" i="7" s="1"/>
  <c r="M177" i="7"/>
  <c r="N177" i="7" s="1"/>
  <c r="H177" i="7" s="1"/>
  <c r="I177" i="7" s="1"/>
  <c r="M214" i="7"/>
  <c r="N214" i="7" s="1"/>
  <c r="H214" i="7" s="1"/>
  <c r="I214" i="7" s="1"/>
  <c r="M297" i="7"/>
  <c r="N297" i="7" s="1"/>
  <c r="H297" i="7" s="1"/>
  <c r="I297" i="7" s="1"/>
  <c r="M309" i="7"/>
  <c r="N309" i="7" s="1"/>
  <c r="H309" i="7" s="1"/>
  <c r="I309" i="7" s="1"/>
  <c r="M322" i="7"/>
  <c r="N322" i="7" s="1"/>
  <c r="H322" i="7" s="1"/>
  <c r="I322" i="7" s="1"/>
  <c r="M310" i="7"/>
  <c r="N310" i="7" s="1"/>
  <c r="H310" i="7" s="1"/>
  <c r="I310" i="7" s="1"/>
  <c r="M323" i="7"/>
  <c r="N323" i="7" s="1"/>
  <c r="H323" i="7" s="1"/>
  <c r="I323" i="7" s="1"/>
  <c r="Q111" i="7"/>
  <c r="R111" i="7" s="1"/>
  <c r="H111" i="7" s="1"/>
  <c r="I111" i="7" s="1"/>
  <c r="Q40" i="7"/>
  <c r="R40" i="7" s="1"/>
  <c r="Q246" i="7"/>
  <c r="R246" i="7" s="1"/>
  <c r="H246" i="7" s="1"/>
  <c r="I246" i="7" s="1"/>
  <c r="Q9" i="7"/>
  <c r="R9" i="7" s="1"/>
  <c r="H9" i="7" s="1"/>
  <c r="I9" i="7" s="1"/>
  <c r="Q22" i="7"/>
  <c r="R22" i="7" s="1"/>
  <c r="H22" i="7" s="1"/>
  <c r="I22" i="7" s="1"/>
  <c r="Q33" i="7"/>
  <c r="R33" i="7" s="1"/>
  <c r="H33" i="7" s="1"/>
  <c r="I33" i="7" s="1"/>
  <c r="Q228" i="7"/>
  <c r="R228" i="7" s="1"/>
  <c r="H228" i="7" s="1"/>
  <c r="I228" i="7" s="1"/>
  <c r="Q60" i="7"/>
  <c r="R60" i="7" s="1"/>
  <c r="H60" i="7" s="1"/>
  <c r="I60" i="7" s="1"/>
  <c r="Q117" i="7"/>
  <c r="R117" i="7" s="1"/>
  <c r="H117" i="7" s="1"/>
  <c r="I117" i="7" s="1"/>
  <c r="Q81" i="7"/>
  <c r="R81" i="7" s="1"/>
  <c r="H81" i="7" s="1"/>
  <c r="I81" i="7" s="1"/>
  <c r="Q23" i="7"/>
  <c r="R23" i="7" s="1"/>
  <c r="H23" i="7" s="1"/>
  <c r="I23" i="7" s="1"/>
  <c r="Q86" i="7"/>
  <c r="R86" i="7" s="1"/>
  <c r="H86" i="7" s="1"/>
  <c r="I86" i="7" s="1"/>
  <c r="Q270" i="7"/>
  <c r="R270" i="7" s="1"/>
  <c r="H270" i="7" s="1"/>
  <c r="I270" i="7" s="1"/>
  <c r="Q252" i="7"/>
  <c r="R252" i="7" s="1"/>
  <c r="H252" i="7" s="1"/>
  <c r="I252" i="7" s="1"/>
  <c r="Q189" i="7"/>
  <c r="R189" i="7" s="1"/>
  <c r="H189" i="7" s="1"/>
  <c r="I189" i="7" s="1"/>
  <c r="Q233" i="7"/>
  <c r="R233" i="7" s="1"/>
  <c r="H233" i="7" s="1"/>
  <c r="I233" i="7" s="1"/>
  <c r="Q10" i="7"/>
  <c r="R10" i="7" s="1"/>
  <c r="H10" i="7" s="1"/>
  <c r="I10" i="7" s="1"/>
  <c r="Q103" i="7"/>
  <c r="R103" i="7" s="1"/>
  <c r="H103" i="7" s="1"/>
  <c r="I103" i="7" s="1"/>
  <c r="Q276" i="7"/>
  <c r="R276" i="7" s="1"/>
  <c r="H276" i="7" s="1"/>
  <c r="I276" i="7" s="1"/>
  <c r="Q257" i="7"/>
  <c r="R257" i="7" s="1"/>
  <c r="H257" i="7" s="1"/>
  <c r="I257" i="7" s="1"/>
  <c r="Q70" i="7"/>
  <c r="R70" i="7" s="1"/>
  <c r="H70" i="7" s="1"/>
  <c r="I70" i="7" s="1"/>
  <c r="Q194" i="7"/>
  <c r="R194" i="7" s="1"/>
  <c r="H194" i="7" s="1"/>
  <c r="I194" i="7" s="1"/>
  <c r="Q238" i="7"/>
  <c r="R238" i="7" s="1"/>
  <c r="H238" i="7" s="1"/>
  <c r="I238" i="7" s="1"/>
  <c r="Q281" i="7"/>
  <c r="R281" i="7" s="1"/>
  <c r="H281" i="7" s="1"/>
  <c r="I281" i="7" s="1"/>
  <c r="Q5" i="7"/>
  <c r="R5" i="7" s="1"/>
  <c r="H5" i="7" s="1"/>
  <c r="I5" i="7" s="1"/>
  <c r="Q29" i="7"/>
  <c r="R29" i="7" s="1"/>
  <c r="H29" i="7" s="1"/>
  <c r="I29" i="7" s="1"/>
  <c r="I137" i="7"/>
  <c r="I145" i="7"/>
  <c r="I129" i="7"/>
  <c r="I141" i="7"/>
  <c r="I150" i="7"/>
  <c r="I133" i="7"/>
  <c r="Q50" i="7"/>
  <c r="R50" i="7" s="1"/>
  <c r="Q91" i="7"/>
  <c r="R91" i="7" s="1"/>
  <c r="H91" i="7" s="1"/>
  <c r="I91" i="7" s="1"/>
  <c r="Q95" i="7"/>
  <c r="R95" i="7" s="1"/>
  <c r="H95" i="7" s="1"/>
  <c r="I95" i="7" s="1"/>
  <c r="Q99" i="7"/>
  <c r="R99" i="7" s="1"/>
  <c r="H99" i="7" s="1"/>
  <c r="I99" i="7" s="1"/>
  <c r="Q108" i="7"/>
  <c r="R108" i="7" s="1"/>
  <c r="H108" i="7" s="1"/>
  <c r="I108" i="7" s="1"/>
  <c r="Q248" i="7"/>
  <c r="R248" i="7" s="1"/>
  <c r="H248" i="7" s="1"/>
  <c r="I248" i="7" s="1"/>
  <c r="Q72" i="7"/>
  <c r="R72" i="7" s="1"/>
  <c r="H72" i="7" s="1"/>
  <c r="I72" i="7" s="1"/>
  <c r="Q20" i="7"/>
  <c r="R20" i="7" s="1"/>
  <c r="H20" i="7" s="1"/>
  <c r="I20" i="7" s="1"/>
  <c r="Q44" i="7"/>
  <c r="R44" i="7" s="1"/>
  <c r="H44" i="7" s="1"/>
  <c r="I44" i="7" s="1"/>
  <c r="Q64" i="7"/>
  <c r="R64" i="7" s="1"/>
  <c r="H64" i="7" s="1"/>
  <c r="I64" i="7" s="1"/>
  <c r="Q77" i="7"/>
  <c r="R77" i="7" s="1"/>
  <c r="H77" i="7" s="1"/>
  <c r="I77" i="7" s="1"/>
  <c r="Q229" i="7"/>
  <c r="R229" i="7" s="1"/>
  <c r="H229" i="7" s="1"/>
  <c r="I229" i="7" s="1"/>
  <c r="Q253" i="7"/>
  <c r="R253" i="7" s="1"/>
  <c r="H253" i="7" s="1"/>
  <c r="I253" i="7" s="1"/>
  <c r="Q277" i="7"/>
  <c r="R277" i="7" s="1"/>
  <c r="H277" i="7" s="1"/>
  <c r="I277" i="7" s="1"/>
  <c r="Q27" i="7"/>
  <c r="R27" i="7" s="1"/>
  <c r="H27" i="7" s="1"/>
  <c r="I27" i="7" s="1"/>
  <c r="Q82" i="7"/>
  <c r="R82" i="7" s="1"/>
  <c r="H82" i="7" s="1"/>
  <c r="I82" i="7" s="1"/>
  <c r="Q190" i="7"/>
  <c r="R190" i="7" s="1"/>
  <c r="H190" i="7" s="1"/>
  <c r="I190" i="7" s="1"/>
  <c r="Q234" i="7"/>
  <c r="R234" i="7" s="1"/>
  <c r="H234" i="7" s="1"/>
  <c r="I234" i="7" s="1"/>
  <c r="Q258" i="7"/>
  <c r="R258" i="7" s="1"/>
  <c r="H258" i="7" s="1"/>
  <c r="I258" i="7" s="1"/>
  <c r="Q282" i="7"/>
  <c r="R282" i="7" s="1"/>
  <c r="H282" i="7" s="1"/>
  <c r="I282" i="7" s="1"/>
  <c r="Q34" i="7"/>
  <c r="R34" i="7" s="1"/>
  <c r="Q17" i="7"/>
  <c r="R17" i="7" s="1"/>
  <c r="H17" i="7" s="1"/>
  <c r="I17" i="7" s="1"/>
  <c r="Q109" i="7"/>
  <c r="R109" i="7" s="1"/>
  <c r="H109" i="7" s="1"/>
  <c r="I109" i="7" s="1"/>
  <c r="Q200" i="7"/>
  <c r="R200" i="7" s="1"/>
  <c r="H200" i="7" s="1"/>
  <c r="I200" i="7" s="1"/>
  <c r="Q244" i="7"/>
  <c r="R244" i="7" s="1"/>
  <c r="H244" i="7" s="1"/>
  <c r="I244" i="7" s="1"/>
  <c r="Q268" i="7"/>
  <c r="R268" i="7" s="1"/>
  <c r="H268" i="7" s="1"/>
  <c r="I268" i="7" s="1"/>
  <c r="Q24" i="7"/>
  <c r="R24" i="7" s="1"/>
  <c r="Q73" i="7"/>
  <c r="R73" i="7" s="1"/>
  <c r="H73" i="7" s="1"/>
  <c r="I73" i="7" s="1"/>
  <c r="Q92" i="7"/>
  <c r="R92" i="7" s="1"/>
  <c r="H92" i="7" s="1"/>
  <c r="I92" i="7" s="1"/>
  <c r="Q96" i="7"/>
  <c r="R96" i="7" s="1"/>
  <c r="H96" i="7" s="1"/>
  <c r="I96" i="7" s="1"/>
  <c r="Q100" i="7"/>
  <c r="R100" i="7" s="1"/>
  <c r="H100" i="7" s="1"/>
  <c r="I100" i="7" s="1"/>
  <c r="Q114" i="7"/>
  <c r="R114" i="7" s="1"/>
  <c r="H114" i="7" s="1"/>
  <c r="I114" i="7" s="1"/>
  <c r="Q249" i="7"/>
  <c r="R249" i="7" s="1"/>
  <c r="H249" i="7" s="1"/>
  <c r="I249" i="7" s="1"/>
  <c r="Q273" i="7"/>
  <c r="R273" i="7" s="1"/>
  <c r="H273" i="7" s="1"/>
  <c r="I273" i="7" s="1"/>
  <c r="Q31" i="7"/>
  <c r="R31" i="7" s="1"/>
  <c r="H31" i="7" s="1"/>
  <c r="I31" i="7" s="1"/>
  <c r="Q51" i="7"/>
  <c r="R51" i="7" s="1"/>
  <c r="H51" i="7" s="1"/>
  <c r="I51" i="7" s="1"/>
  <c r="Q78" i="7"/>
  <c r="R78" i="7" s="1"/>
  <c r="H78" i="7" s="1"/>
  <c r="I78" i="7" s="1"/>
  <c r="Q191" i="7"/>
  <c r="R191" i="7" s="1"/>
  <c r="H191" i="7" s="1"/>
  <c r="I191" i="7" s="1"/>
  <c r="Q283" i="7"/>
  <c r="R283" i="7" s="1"/>
  <c r="H283" i="7" s="1"/>
  <c r="I283" i="7" s="1"/>
  <c r="Q21" i="7"/>
  <c r="R21" i="7" s="1"/>
  <c r="H21" i="7" s="1"/>
  <c r="I21" i="7" s="1"/>
  <c r="Q45" i="7"/>
  <c r="R45" i="7" s="1"/>
  <c r="H45" i="7" s="1"/>
  <c r="I45" i="7" s="1"/>
  <c r="Q65" i="7"/>
  <c r="R65" i="7" s="1"/>
  <c r="Q88" i="7"/>
  <c r="R88" i="7" s="1"/>
  <c r="H88" i="7" s="1"/>
  <c r="I88" i="7" s="1"/>
  <c r="Q105" i="7"/>
  <c r="R105" i="7" s="1"/>
  <c r="H105" i="7" s="1"/>
  <c r="I105" i="7" s="1"/>
  <c r="Q196" i="7"/>
  <c r="R196" i="7" s="1"/>
  <c r="H196" i="7" s="1"/>
  <c r="I196" i="7" s="1"/>
  <c r="Q240" i="7"/>
  <c r="R240" i="7" s="1"/>
  <c r="H240" i="7" s="1"/>
  <c r="I240" i="7" s="1"/>
  <c r="Q264" i="7"/>
  <c r="R264" i="7" s="1"/>
  <c r="H264" i="7" s="1"/>
  <c r="I264" i="7" s="1"/>
  <c r="Q28" i="7"/>
  <c r="R28" i="7" s="1"/>
  <c r="Q110" i="7"/>
  <c r="R110" i="7" s="1"/>
  <c r="H110" i="7" s="1"/>
  <c r="I110" i="7" s="1"/>
  <c r="Q201" i="7"/>
  <c r="R201" i="7" s="1"/>
  <c r="H201" i="7" s="1"/>
  <c r="I201" i="7" s="1"/>
  <c r="Q245" i="7"/>
  <c r="R245" i="7" s="1"/>
  <c r="H245" i="7" s="1"/>
  <c r="I245" i="7" s="1"/>
  <c r="Q269" i="7"/>
  <c r="R269" i="7" s="1"/>
  <c r="H269" i="7" s="1"/>
  <c r="I269" i="7" s="1"/>
  <c r="Q74" i="7"/>
  <c r="R74" i="7" s="1"/>
  <c r="H74" i="7" s="1"/>
  <c r="I74" i="7" s="1"/>
  <c r="Q55" i="7"/>
  <c r="R55" i="7" s="1"/>
  <c r="Q42" i="7"/>
  <c r="R42" i="7" s="1"/>
  <c r="H42" i="7" s="1"/>
  <c r="I42" i="7" s="1"/>
  <c r="Q93" i="7"/>
  <c r="R93" i="7" s="1"/>
  <c r="H93" i="7" s="1"/>
  <c r="I93" i="7" s="1"/>
  <c r="Q97" i="7"/>
  <c r="R97" i="7" s="1"/>
  <c r="H97" i="7" s="1"/>
  <c r="I97" i="7" s="1"/>
  <c r="Q101" i="7"/>
  <c r="R101" i="7" s="1"/>
  <c r="H101" i="7" s="1"/>
  <c r="I101" i="7" s="1"/>
  <c r="Q231" i="7"/>
  <c r="R231" i="7" s="1"/>
  <c r="H231" i="7" s="1"/>
  <c r="I231" i="7" s="1"/>
  <c r="Q255" i="7"/>
  <c r="R255" i="7" s="1"/>
  <c r="H255" i="7" s="1"/>
  <c r="I255" i="7" s="1"/>
  <c r="Q279" i="7"/>
  <c r="R279" i="7" s="1"/>
  <c r="H279" i="7" s="1"/>
  <c r="I279" i="7" s="1"/>
  <c r="Q11" i="7"/>
  <c r="R11" i="7" s="1"/>
  <c r="H11" i="7" s="1"/>
  <c r="I11" i="7" s="1"/>
  <c r="Q25" i="7"/>
  <c r="R25" i="7" s="1"/>
  <c r="H25" i="7" s="1"/>
  <c r="I25" i="7" s="1"/>
  <c r="Q84" i="7"/>
  <c r="R84" i="7" s="1"/>
  <c r="H84" i="7" s="1"/>
  <c r="I84" i="7" s="1"/>
  <c r="Q192" i="7"/>
  <c r="R192" i="7" s="1"/>
  <c r="H192" i="7" s="1"/>
  <c r="I192" i="7" s="1"/>
  <c r="Q236" i="7"/>
  <c r="R236" i="7" s="1"/>
  <c r="H236" i="7" s="1"/>
  <c r="I236" i="7" s="1"/>
  <c r="Q260" i="7"/>
  <c r="R260" i="7" s="1"/>
  <c r="H260" i="7" s="1"/>
  <c r="I260" i="7" s="1"/>
  <c r="Q284" i="7"/>
  <c r="R284" i="7" s="1"/>
  <c r="H284" i="7" s="1"/>
  <c r="I284" i="7" s="1"/>
  <c r="Q32" i="7"/>
  <c r="R32" i="7" s="1"/>
  <c r="H32" i="7" s="1"/>
  <c r="I32" i="7" s="1"/>
  <c r="Q52" i="7"/>
  <c r="R52" i="7" s="1"/>
  <c r="H52" i="7" s="1"/>
  <c r="I52" i="7" s="1"/>
  <c r="Q241" i="7"/>
  <c r="R241" i="7" s="1"/>
  <c r="H241" i="7" s="1"/>
  <c r="I241" i="7" s="1"/>
  <c r="Q265" i="7"/>
  <c r="R265" i="7" s="1"/>
  <c r="H265" i="7" s="1"/>
  <c r="I265" i="7" s="1"/>
  <c r="Q46" i="7"/>
  <c r="R46" i="7" s="1"/>
  <c r="Q75" i="7"/>
  <c r="R75" i="7" s="1"/>
  <c r="H75" i="7" s="1"/>
  <c r="I75" i="7" s="1"/>
  <c r="Q116" i="7"/>
  <c r="R116" i="7" s="1"/>
  <c r="H116" i="7" s="1"/>
  <c r="I116" i="7" s="1"/>
  <c r="Q251" i="7"/>
  <c r="R251" i="7" s="1"/>
  <c r="H251" i="7" s="1"/>
  <c r="I251" i="7" s="1"/>
  <c r="Q275" i="7"/>
  <c r="R275" i="7" s="1"/>
  <c r="H275" i="7" s="1"/>
  <c r="I275" i="7" s="1"/>
  <c r="Q80" i="7"/>
  <c r="R80" i="7" s="1"/>
  <c r="H80" i="7" s="1"/>
  <c r="I80" i="7" s="1"/>
  <c r="Q188" i="7"/>
  <c r="R188" i="7" s="1"/>
  <c r="H188" i="7" s="1"/>
  <c r="I188" i="7" s="1"/>
  <c r="Q232" i="7"/>
  <c r="R232" i="7" s="1"/>
  <c r="H232" i="7" s="1"/>
  <c r="I232" i="7" s="1"/>
  <c r="Q256" i="7"/>
  <c r="R256" i="7" s="1"/>
  <c r="H256" i="7" s="1"/>
  <c r="I256" i="7" s="1"/>
  <c r="Q280" i="7"/>
  <c r="R280" i="7" s="1"/>
  <c r="H280" i="7" s="1"/>
  <c r="I280" i="7" s="1"/>
  <c r="Q56" i="7"/>
  <c r="R56" i="7" s="1"/>
  <c r="H56" i="7" s="1"/>
  <c r="I56" i="7" s="1"/>
  <c r="Q85" i="7"/>
  <c r="R85" i="7" s="1"/>
  <c r="H85" i="7" s="1"/>
  <c r="I85" i="7" s="1"/>
  <c r="Q94" i="7"/>
  <c r="R94" i="7" s="1"/>
  <c r="H94" i="7" s="1"/>
  <c r="I94" i="7" s="1"/>
  <c r="Q98" i="7"/>
  <c r="R98" i="7" s="1"/>
  <c r="H98" i="7" s="1"/>
  <c r="I98" i="7" s="1"/>
  <c r="Q102" i="7"/>
  <c r="R102" i="7" s="1"/>
  <c r="H102" i="7" s="1"/>
  <c r="I102" i="7" s="1"/>
  <c r="Q193" i="7"/>
  <c r="R193" i="7" s="1"/>
  <c r="H193" i="7" s="1"/>
  <c r="I193" i="7" s="1"/>
  <c r="Q237" i="7"/>
  <c r="R237" i="7" s="1"/>
  <c r="H237" i="7" s="1"/>
  <c r="I237" i="7" s="1"/>
  <c r="Q261" i="7"/>
  <c r="R261" i="7" s="1"/>
  <c r="H261" i="7" s="1"/>
  <c r="I261" i="7" s="1"/>
  <c r="Q198" i="7"/>
  <c r="R198" i="7" s="1"/>
  <c r="H198" i="7" s="1"/>
  <c r="I198" i="7" s="1"/>
  <c r="Q242" i="7"/>
  <c r="R242" i="7" s="1"/>
  <c r="H242" i="7" s="1"/>
  <c r="I242" i="7" s="1"/>
  <c r="Q266" i="7"/>
  <c r="R266" i="7" s="1"/>
  <c r="H266" i="7" s="1"/>
  <c r="I266" i="7" s="1"/>
  <c r="Q26" i="7"/>
  <c r="R26" i="7" s="1"/>
  <c r="Q112" i="7"/>
  <c r="R112" i="7" s="1"/>
  <c r="H112" i="7" s="1"/>
  <c r="I112" i="7" s="1"/>
  <c r="Q247" i="7"/>
  <c r="R247" i="7" s="1"/>
  <c r="H247" i="7" s="1"/>
  <c r="I247" i="7" s="1"/>
  <c r="H24" i="7" l="1"/>
  <c r="I24" i="7" s="1"/>
  <c r="H65" i="7"/>
  <c r="I65" i="7" s="1"/>
  <c r="H46" i="7"/>
  <c r="I46" i="7" s="1"/>
  <c r="H28" i="7"/>
  <c r="I28" i="7" s="1"/>
  <c r="Q76" i="7"/>
  <c r="R76" i="7" s="1"/>
  <c r="H76" i="7" s="1"/>
  <c r="I76" i="7" s="1"/>
  <c r="H40" i="7"/>
  <c r="I40" i="7" s="1"/>
  <c r="H34" i="7"/>
  <c r="I34" i="7" s="1"/>
  <c r="I224" i="7"/>
  <c r="I346" i="7"/>
  <c r="H50" i="7"/>
  <c r="I50" i="7" s="1"/>
  <c r="Q71" i="7"/>
  <c r="R71" i="7" s="1"/>
  <c r="H71" i="7" s="1"/>
  <c r="I71" i="7" s="1"/>
  <c r="Q227" i="7"/>
  <c r="R227" i="7" s="1"/>
  <c r="H227" i="7" s="1"/>
  <c r="I227" i="7" s="1"/>
  <c r="Q79" i="7"/>
  <c r="R79" i="7" s="1"/>
  <c r="H79" i="7" s="1"/>
  <c r="I79" i="7" s="1"/>
  <c r="Q259" i="7"/>
  <c r="R259" i="7" s="1"/>
  <c r="H259" i="7" s="1"/>
  <c r="I259" i="7" s="1"/>
  <c r="Q61" i="7"/>
  <c r="R61" i="7" s="1"/>
  <c r="H61" i="7" s="1"/>
  <c r="I61" i="7" s="1"/>
  <c r="Q57" i="7"/>
  <c r="R57" i="7" s="1"/>
  <c r="H57" i="7" s="1"/>
  <c r="I57" i="7" s="1"/>
  <c r="Q53" i="7"/>
  <c r="R53" i="7" s="1"/>
  <c r="H53" i="7" s="1"/>
  <c r="I53" i="7" s="1"/>
  <c r="H26" i="7"/>
  <c r="I26" i="7" s="1"/>
  <c r="Q62" i="7"/>
  <c r="R62" i="7" s="1"/>
  <c r="H62" i="7" s="1"/>
  <c r="I62" i="7" s="1"/>
  <c r="Q235" i="7"/>
  <c r="R235" i="7" s="1"/>
  <c r="H235" i="7" s="1"/>
  <c r="I235" i="7" s="1"/>
  <c r="Q41" i="7"/>
  <c r="R41" i="7" s="1"/>
  <c r="H41" i="7" s="1"/>
  <c r="I41" i="7" s="1"/>
  <c r="Q272" i="7"/>
  <c r="R272" i="7" s="1"/>
  <c r="H272" i="7" s="1"/>
  <c r="I272" i="7" s="1"/>
  <c r="Q39" i="7"/>
  <c r="R39" i="7" s="1"/>
  <c r="H39" i="7" s="1"/>
  <c r="I39" i="7" s="1"/>
  <c r="Q8" i="7"/>
  <c r="R8" i="7" s="1"/>
  <c r="H8" i="7" s="1"/>
  <c r="I8" i="7" s="1"/>
  <c r="Q18" i="7"/>
  <c r="R18" i="7" s="1"/>
  <c r="H18" i="7" s="1"/>
  <c r="I18" i="7" s="1"/>
  <c r="Q83" i="7"/>
  <c r="R83" i="7" s="1"/>
  <c r="H83" i="7" s="1"/>
  <c r="I83" i="7" s="1"/>
  <c r="Q263" i="7"/>
  <c r="R263" i="7" s="1"/>
  <c r="H263" i="7" s="1"/>
  <c r="I263" i="7" s="1"/>
  <c r="Q113" i="7"/>
  <c r="R113" i="7" s="1"/>
  <c r="H113" i="7" s="1"/>
  <c r="I113" i="7" s="1"/>
  <c r="Q15" i="7"/>
  <c r="R15" i="7" s="1"/>
  <c r="H15" i="7" s="1"/>
  <c r="I15" i="7" s="1"/>
  <c r="Q58" i="7"/>
  <c r="R58" i="7" s="1"/>
  <c r="H58" i="7" s="1"/>
  <c r="I58" i="7" s="1"/>
  <c r="Q239" i="7"/>
  <c r="R239" i="7" s="1"/>
  <c r="H239" i="7" s="1"/>
  <c r="I239" i="7" s="1"/>
  <c r="Q262" i="7"/>
  <c r="R262" i="7" s="1"/>
  <c r="H262" i="7" s="1"/>
  <c r="I262" i="7" s="1"/>
  <c r="Q59" i="7"/>
  <c r="R59" i="7" s="1"/>
  <c r="H59" i="7" s="1"/>
  <c r="I59" i="7" s="1"/>
  <c r="Q107" i="7"/>
  <c r="R107" i="7" s="1"/>
  <c r="H107" i="7" s="1"/>
  <c r="I107" i="7" s="1"/>
  <c r="Q195" i="7"/>
  <c r="R195" i="7" s="1"/>
  <c r="H195" i="7" s="1"/>
  <c r="I195" i="7" s="1"/>
  <c r="Q90" i="7"/>
  <c r="R90" i="7" s="1"/>
  <c r="H90" i="7" s="1"/>
  <c r="I90" i="7" s="1"/>
  <c r="Q274" i="7"/>
  <c r="R274" i="7" s="1"/>
  <c r="H274" i="7" s="1"/>
  <c r="I274" i="7" s="1"/>
  <c r="Q104" i="7"/>
  <c r="R104" i="7" s="1"/>
  <c r="H104" i="7" s="1"/>
  <c r="I104" i="7" s="1"/>
  <c r="Q267" i="7"/>
  <c r="R267" i="7" s="1"/>
  <c r="H267" i="7" s="1"/>
  <c r="I267" i="7" s="1"/>
  <c r="Q36" i="7"/>
  <c r="R36" i="7" s="1"/>
  <c r="H36" i="7" s="1"/>
  <c r="I36" i="7" s="1"/>
  <c r="Q63" i="7"/>
  <c r="R63" i="7" s="1"/>
  <c r="H63" i="7" s="1"/>
  <c r="I63" i="7" s="1"/>
  <c r="Q106" i="7"/>
  <c r="R106" i="7" s="1"/>
  <c r="H106" i="7" s="1"/>
  <c r="I106" i="7" s="1"/>
  <c r="Q250" i="7"/>
  <c r="R250" i="7" s="1"/>
  <c r="H250" i="7" s="1"/>
  <c r="I250" i="7" s="1"/>
  <c r="Q254" i="7"/>
  <c r="R254" i="7" s="1"/>
  <c r="H254" i="7" s="1"/>
  <c r="I254" i="7" s="1"/>
  <c r="Q87" i="7"/>
  <c r="R87" i="7" s="1"/>
  <c r="H87" i="7" s="1"/>
  <c r="I87" i="7" s="1"/>
  <c r="Q243" i="7"/>
  <c r="R243" i="7" s="1"/>
  <c r="H243" i="7" s="1"/>
  <c r="I243" i="7" s="1"/>
  <c r="Q12" i="7"/>
  <c r="R12" i="7" s="1"/>
  <c r="H12" i="7" s="1"/>
  <c r="I12" i="7" s="1"/>
  <c r="Q14" i="7"/>
  <c r="R14" i="7" s="1"/>
  <c r="H14" i="7" s="1"/>
  <c r="I14" i="7" s="1"/>
  <c r="H55" i="7"/>
  <c r="I55" i="7" s="1"/>
  <c r="Q37" i="7"/>
  <c r="R37" i="7" s="1"/>
  <c r="H37" i="7" s="1"/>
  <c r="I37" i="7" s="1"/>
  <c r="Q35" i="7"/>
  <c r="R35" i="7" s="1"/>
  <c r="H35" i="7" s="1"/>
  <c r="I35" i="7" s="1"/>
  <c r="Q38" i="7"/>
  <c r="R38" i="7" s="1"/>
  <c r="H38" i="7" s="1"/>
  <c r="I38" i="7" s="1"/>
  <c r="Q13" i="7"/>
  <c r="R13" i="7" s="1"/>
  <c r="H13" i="7" s="1"/>
  <c r="I13" i="7" s="1"/>
  <c r="Q30" i="7"/>
  <c r="R30" i="7" s="1"/>
  <c r="H30" i="7" s="1"/>
  <c r="I30" i="7" s="1"/>
  <c r="Q7" i="7"/>
  <c r="R7" i="7" s="1"/>
  <c r="H7" i="7" s="1"/>
  <c r="I7" i="7" s="1"/>
  <c r="Q197" i="7"/>
  <c r="R197" i="7" s="1"/>
  <c r="H197" i="7" s="1"/>
  <c r="I197" i="7" s="1"/>
  <c r="Q278" i="7"/>
  <c r="R278" i="7" s="1"/>
  <c r="H278" i="7" s="1"/>
  <c r="I278" i="7" s="1"/>
  <c r="Q6" i="7"/>
  <c r="R6" i="7" s="1"/>
  <c r="H6" i="7" s="1"/>
  <c r="I6" i="7" s="1"/>
  <c r="Q43" i="7"/>
  <c r="R43" i="7" s="1"/>
  <c r="H43" i="7" s="1"/>
  <c r="I43" i="7" s="1"/>
  <c r="Q89" i="7"/>
  <c r="R89" i="7" s="1"/>
  <c r="H89" i="7" s="1"/>
  <c r="I89" i="7" s="1"/>
  <c r="Q115" i="7"/>
  <c r="R115" i="7" s="1"/>
  <c r="H115" i="7" s="1"/>
  <c r="I115" i="7" s="1"/>
  <c r="Q230" i="7"/>
  <c r="R230" i="7" s="1"/>
  <c r="H230" i="7" s="1"/>
  <c r="I230" i="7" s="1"/>
  <c r="Q54" i="7"/>
  <c r="R54" i="7" s="1"/>
  <c r="H54" i="7" s="1"/>
  <c r="I54" i="7" s="1"/>
  <c r="Q199" i="7"/>
  <c r="R199" i="7" s="1"/>
  <c r="H199" i="7" s="1"/>
  <c r="I199" i="7" s="1"/>
  <c r="Q19" i="7"/>
  <c r="R19" i="7" s="1"/>
  <c r="H19" i="7" s="1"/>
  <c r="I19" i="7" s="1"/>
  <c r="Q16" i="7"/>
  <c r="R16" i="7" s="1"/>
  <c r="H16" i="7" s="1"/>
  <c r="I16" i="7" s="1"/>
  <c r="I185" i="7"/>
  <c r="I202" i="7" l="1"/>
  <c r="I118" i="7"/>
  <c r="I66" i="7"/>
  <c r="I47" i="7"/>
  <c r="I285" i="7"/>
  <c r="O1" i="3"/>
  <c r="T1" i="3" s="1"/>
  <c r="O1" i="1"/>
  <c r="T271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82" i="2" s="1"/>
  <c r="Q271" i="2"/>
  <c r="Q272" i="2"/>
  <c r="Q273" i="2"/>
  <c r="Q274" i="2"/>
  <c r="Q275" i="2"/>
  <c r="Q276" i="2"/>
  <c r="Q277" i="2"/>
  <c r="Q278" i="2"/>
  <c r="Q279" i="2"/>
  <c r="Q280" i="2"/>
  <c r="Q281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82" i="2" s="1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Q4" i="2"/>
  <c r="M4" i="2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8" i="3"/>
  <c r="L69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8" i="1"/>
  <c r="Q129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6" i="1"/>
  <c r="Q147" i="1"/>
  <c r="Q150" i="1"/>
  <c r="Q152" i="1"/>
  <c r="Q154" i="1"/>
  <c r="Q156" i="1"/>
  <c r="Q157" i="1"/>
  <c r="Q158" i="1"/>
  <c r="Q159" i="1"/>
  <c r="Q160" i="1"/>
  <c r="Q161" i="1"/>
  <c r="Q162" i="1"/>
  <c r="Q163" i="1"/>
  <c r="Q164" i="1"/>
  <c r="Q165" i="1"/>
  <c r="Q166" i="1"/>
  <c r="Q168" i="1"/>
  <c r="Q169" i="1"/>
  <c r="Q170" i="1"/>
  <c r="Q171" i="1"/>
  <c r="Q173" i="1"/>
  <c r="Q177" i="1"/>
  <c r="Q179" i="1"/>
  <c r="Q180" i="1"/>
  <c r="Q181" i="1"/>
  <c r="Q182" i="1"/>
  <c r="Q183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V8" i="1"/>
  <c r="Q8" i="1"/>
  <c r="O1" i="2"/>
  <c r="T1" i="1"/>
  <c r="I348" i="7" l="1"/>
  <c r="B5" i="5" s="1"/>
  <c r="N285" i="2"/>
  <c r="Q168" i="3"/>
  <c r="K138" i="2" l="1"/>
  <c r="L138" i="2" s="1"/>
  <c r="F138" i="2" s="1"/>
  <c r="G138" i="2" s="1"/>
  <c r="K137" i="2"/>
  <c r="L137" i="2" s="1"/>
  <c r="F137" i="2" s="1"/>
  <c r="G137" i="2" s="1"/>
  <c r="K136" i="2"/>
  <c r="L136" i="2" s="1"/>
  <c r="F136" i="2" s="1"/>
  <c r="G136" i="2" s="1"/>
  <c r="K135" i="2"/>
  <c r="L135" i="2" s="1"/>
  <c r="F135" i="2" s="1"/>
  <c r="G135" i="2" s="1"/>
  <c r="K134" i="2"/>
  <c r="L134" i="2" s="1"/>
  <c r="F134" i="2" s="1"/>
  <c r="G134" i="2" s="1"/>
  <c r="K133" i="2"/>
  <c r="L133" i="2" s="1"/>
  <c r="F133" i="2" s="1"/>
  <c r="G133" i="2" s="1"/>
  <c r="K132" i="2"/>
  <c r="L132" i="2" s="1"/>
  <c r="F132" i="2" s="1"/>
  <c r="G132" i="2" s="1"/>
  <c r="K131" i="2"/>
  <c r="L131" i="2" s="1"/>
  <c r="F131" i="2" s="1"/>
  <c r="G131" i="2" s="1"/>
  <c r="K130" i="2"/>
  <c r="L130" i="2" s="1"/>
  <c r="F130" i="2" s="1"/>
  <c r="G130" i="2" s="1"/>
  <c r="K129" i="2"/>
  <c r="L129" i="2" s="1"/>
  <c r="F129" i="2" s="1"/>
  <c r="G129" i="2" s="1"/>
  <c r="K128" i="2"/>
  <c r="L128" i="2" s="1"/>
  <c r="F128" i="2" s="1"/>
  <c r="G128" i="2" s="1"/>
  <c r="K127" i="2"/>
  <c r="L127" i="2" s="1"/>
  <c r="F127" i="2" s="1"/>
  <c r="G127" i="2" s="1"/>
  <c r="L126" i="2"/>
  <c r="F126" i="2" s="1"/>
  <c r="G126" i="2" s="1"/>
  <c r="L125" i="2"/>
  <c r="F125" i="2" s="1"/>
  <c r="G125" i="2" s="1"/>
  <c r="K124" i="2"/>
  <c r="L124" i="2" s="1"/>
  <c r="F124" i="2" s="1"/>
  <c r="G124" i="2" s="1"/>
  <c r="L123" i="2"/>
  <c r="F123" i="2"/>
  <c r="G123" i="2" s="1"/>
  <c r="K122" i="2"/>
  <c r="L122" i="2" s="1"/>
  <c r="F122" i="2" s="1"/>
  <c r="G122" i="2" s="1"/>
  <c r="K121" i="2"/>
  <c r="L121" i="2" s="1"/>
  <c r="F121" i="2" s="1"/>
  <c r="G121" i="2" s="1"/>
  <c r="J120" i="2"/>
  <c r="L120" i="2" s="1"/>
  <c r="F120" i="2" s="1"/>
  <c r="G120" i="2" s="1"/>
  <c r="L119" i="2"/>
  <c r="F119" i="2"/>
  <c r="G119" i="2" s="1"/>
  <c r="K118" i="2"/>
  <c r="L118" i="2" s="1"/>
  <c r="F118" i="2" s="1"/>
  <c r="G118" i="2" s="1"/>
  <c r="K117" i="2"/>
  <c r="L117" i="2" s="1"/>
  <c r="F117" i="2" s="1"/>
  <c r="G117" i="2" s="1"/>
  <c r="K116" i="2"/>
  <c r="L116" i="2" s="1"/>
  <c r="F116" i="2" s="1"/>
  <c r="G116" i="2" s="1"/>
  <c r="K115" i="2"/>
  <c r="L115" i="2" s="1"/>
  <c r="F115" i="2" s="1"/>
  <c r="G115" i="2" s="1"/>
  <c r="K114" i="2"/>
  <c r="L114" i="2" s="1"/>
  <c r="F114" i="2" s="1"/>
  <c r="G114" i="2" s="1"/>
  <c r="K113" i="2"/>
  <c r="L113" i="2" s="1"/>
  <c r="F113" i="2" s="1"/>
  <c r="G113" i="2" s="1"/>
  <c r="K112" i="2"/>
  <c r="L112" i="2" s="1"/>
  <c r="F112" i="2" s="1"/>
  <c r="G112" i="2" s="1"/>
  <c r="K111" i="2"/>
  <c r="L111" i="2" s="1"/>
  <c r="F111" i="2" s="1"/>
  <c r="G111" i="2" s="1"/>
  <c r="K110" i="2"/>
  <c r="L110" i="2" s="1"/>
  <c r="F110" i="2" s="1"/>
  <c r="G110" i="2" s="1"/>
  <c r="K109" i="2"/>
  <c r="L109" i="2" s="1"/>
  <c r="F109" i="2" s="1"/>
  <c r="S85" i="1"/>
  <c r="S36" i="1"/>
  <c r="O36" i="1"/>
  <c r="P36" i="1" s="1"/>
  <c r="E36" i="1" s="1"/>
  <c r="T36" i="1"/>
  <c r="T116" i="1"/>
  <c r="U116" i="1" s="1"/>
  <c r="G116" i="1" s="1"/>
  <c r="H116" i="1" s="1"/>
  <c r="O116" i="1"/>
  <c r="P116" i="1" s="1"/>
  <c r="E116" i="1" s="1"/>
  <c r="T115" i="1"/>
  <c r="U115" i="1" s="1"/>
  <c r="G115" i="1" s="1"/>
  <c r="H115" i="1" s="1"/>
  <c r="O115" i="1"/>
  <c r="P115" i="1" s="1"/>
  <c r="E115" i="1" s="1"/>
  <c r="F115" i="1" s="1"/>
  <c r="T114" i="1"/>
  <c r="U114" i="1" s="1"/>
  <c r="G114" i="1" s="1"/>
  <c r="H114" i="1" s="1"/>
  <c r="O114" i="1"/>
  <c r="P114" i="1" s="1"/>
  <c r="E114" i="1" s="1"/>
  <c r="T113" i="1"/>
  <c r="U113" i="1" s="1"/>
  <c r="G113" i="1" s="1"/>
  <c r="H113" i="1" s="1"/>
  <c r="O113" i="1"/>
  <c r="P113" i="1" s="1"/>
  <c r="E113" i="1" s="1"/>
  <c r="T112" i="1"/>
  <c r="U112" i="1" s="1"/>
  <c r="G112" i="1" s="1"/>
  <c r="H112" i="1" s="1"/>
  <c r="O112" i="1"/>
  <c r="P112" i="1" s="1"/>
  <c r="E112" i="1" s="1"/>
  <c r="T111" i="1"/>
  <c r="U111" i="1" s="1"/>
  <c r="G111" i="1" s="1"/>
  <c r="H111" i="1" s="1"/>
  <c r="O111" i="1"/>
  <c r="P111" i="1" s="1"/>
  <c r="E111" i="1" s="1"/>
  <c r="F111" i="1" s="1"/>
  <c r="T110" i="1"/>
  <c r="U110" i="1" s="1"/>
  <c r="G110" i="1" s="1"/>
  <c r="H110" i="1" s="1"/>
  <c r="O110" i="1"/>
  <c r="P110" i="1" s="1"/>
  <c r="E110" i="1" s="1"/>
  <c r="T109" i="1"/>
  <c r="U109" i="1" s="1"/>
  <c r="G109" i="1" s="1"/>
  <c r="H109" i="1" s="1"/>
  <c r="O109" i="1"/>
  <c r="P109" i="1" s="1"/>
  <c r="E109" i="1" s="1"/>
  <c r="T108" i="1"/>
  <c r="U108" i="1" s="1"/>
  <c r="G108" i="1" s="1"/>
  <c r="H108" i="1" s="1"/>
  <c r="O108" i="1"/>
  <c r="P108" i="1" s="1"/>
  <c r="E108" i="1" s="1"/>
  <c r="T107" i="1"/>
  <c r="U107" i="1" s="1"/>
  <c r="G107" i="1" s="1"/>
  <c r="H107" i="1" s="1"/>
  <c r="O107" i="1"/>
  <c r="P107" i="1" s="1"/>
  <c r="E107" i="1" s="1"/>
  <c r="F107" i="1" s="1"/>
  <c r="T106" i="1"/>
  <c r="U106" i="1" s="1"/>
  <c r="G106" i="1" s="1"/>
  <c r="H106" i="1" s="1"/>
  <c r="O106" i="1"/>
  <c r="P106" i="1" s="1"/>
  <c r="E106" i="1" s="1"/>
  <c r="T105" i="1"/>
  <c r="U105" i="1" s="1"/>
  <c r="G105" i="1" s="1"/>
  <c r="H105" i="1" s="1"/>
  <c r="O105" i="1"/>
  <c r="P105" i="1" s="1"/>
  <c r="E105" i="1" s="1"/>
  <c r="T104" i="1"/>
  <c r="U104" i="1" s="1"/>
  <c r="G104" i="1" s="1"/>
  <c r="H104" i="1" s="1"/>
  <c r="O104" i="1"/>
  <c r="P104" i="1" s="1"/>
  <c r="E104" i="1" s="1"/>
  <c r="T103" i="1"/>
  <c r="U103" i="1" s="1"/>
  <c r="G103" i="1" s="1"/>
  <c r="H103" i="1" s="1"/>
  <c r="O103" i="1"/>
  <c r="P103" i="1" s="1"/>
  <c r="E103" i="1" s="1"/>
  <c r="F103" i="1" s="1"/>
  <c r="T102" i="1"/>
  <c r="U102" i="1" s="1"/>
  <c r="G102" i="1" s="1"/>
  <c r="H102" i="1" s="1"/>
  <c r="O102" i="1"/>
  <c r="P102" i="1" s="1"/>
  <c r="E102" i="1" s="1"/>
  <c r="T101" i="1"/>
  <c r="U101" i="1" s="1"/>
  <c r="G101" i="1" s="1"/>
  <c r="H101" i="1" s="1"/>
  <c r="O101" i="1"/>
  <c r="P101" i="1" s="1"/>
  <c r="E101" i="1" s="1"/>
  <c r="T100" i="1"/>
  <c r="U100" i="1" s="1"/>
  <c r="G100" i="1" s="1"/>
  <c r="H100" i="1" s="1"/>
  <c r="O100" i="1"/>
  <c r="P100" i="1" s="1"/>
  <c r="E100" i="1" s="1"/>
  <c r="T99" i="1"/>
  <c r="U99" i="1" s="1"/>
  <c r="G99" i="1" s="1"/>
  <c r="H99" i="1" s="1"/>
  <c r="O99" i="1"/>
  <c r="P99" i="1" s="1"/>
  <c r="E99" i="1" s="1"/>
  <c r="F99" i="1" s="1"/>
  <c r="T98" i="1"/>
  <c r="U98" i="1" s="1"/>
  <c r="G98" i="1" s="1"/>
  <c r="H98" i="1" s="1"/>
  <c r="O98" i="1"/>
  <c r="P98" i="1" s="1"/>
  <c r="E98" i="1" s="1"/>
  <c r="T97" i="1"/>
  <c r="U97" i="1" s="1"/>
  <c r="G97" i="1" s="1"/>
  <c r="H97" i="1" s="1"/>
  <c r="O97" i="1"/>
  <c r="P97" i="1" s="1"/>
  <c r="E97" i="1" s="1"/>
  <c r="T96" i="1"/>
  <c r="U96" i="1" s="1"/>
  <c r="G96" i="1" s="1"/>
  <c r="H96" i="1" s="1"/>
  <c r="O96" i="1"/>
  <c r="P96" i="1" s="1"/>
  <c r="E96" i="1" s="1"/>
  <c r="T95" i="1"/>
  <c r="U95" i="1" s="1"/>
  <c r="G95" i="1" s="1"/>
  <c r="H95" i="1" s="1"/>
  <c r="O95" i="1"/>
  <c r="P95" i="1" s="1"/>
  <c r="E95" i="1" s="1"/>
  <c r="F95" i="1" s="1"/>
  <c r="T94" i="1"/>
  <c r="U94" i="1" s="1"/>
  <c r="G94" i="1" s="1"/>
  <c r="H94" i="1" s="1"/>
  <c r="O94" i="1"/>
  <c r="P94" i="1" s="1"/>
  <c r="E94" i="1" s="1"/>
  <c r="T93" i="1"/>
  <c r="U93" i="1" s="1"/>
  <c r="G93" i="1" s="1"/>
  <c r="O93" i="1"/>
  <c r="P93" i="1" s="1"/>
  <c r="E93" i="1" s="1"/>
  <c r="F93" i="1" s="1"/>
  <c r="T92" i="1"/>
  <c r="U92" i="1" s="1"/>
  <c r="G92" i="1" s="1"/>
  <c r="H92" i="1" s="1"/>
  <c r="O92" i="1"/>
  <c r="P92" i="1" s="1"/>
  <c r="E92" i="1" s="1"/>
  <c r="T91" i="1"/>
  <c r="U91" i="1" s="1"/>
  <c r="G91" i="1" s="1"/>
  <c r="H91" i="1" s="1"/>
  <c r="O91" i="1"/>
  <c r="P91" i="1" s="1"/>
  <c r="E91" i="1" s="1"/>
  <c r="F91" i="1" s="1"/>
  <c r="T90" i="1"/>
  <c r="U90" i="1" s="1"/>
  <c r="G90" i="1" s="1"/>
  <c r="H90" i="1" s="1"/>
  <c r="O90" i="1"/>
  <c r="P90" i="1" s="1"/>
  <c r="E90" i="1" s="1"/>
  <c r="T89" i="1"/>
  <c r="U89" i="1" s="1"/>
  <c r="G89" i="1" s="1"/>
  <c r="H89" i="1" s="1"/>
  <c r="O89" i="1"/>
  <c r="P89" i="1" s="1"/>
  <c r="E89" i="1" s="1"/>
  <c r="F89" i="1" s="1"/>
  <c r="T88" i="1"/>
  <c r="U88" i="1" s="1"/>
  <c r="G88" i="1" s="1"/>
  <c r="H88" i="1" s="1"/>
  <c r="O88" i="1"/>
  <c r="P88" i="1" s="1"/>
  <c r="E88" i="1" s="1"/>
  <c r="T87" i="1"/>
  <c r="U87" i="1" s="1"/>
  <c r="G87" i="1" s="1"/>
  <c r="H87" i="1" s="1"/>
  <c r="O87" i="1"/>
  <c r="P87" i="1" s="1"/>
  <c r="E87" i="1" s="1"/>
  <c r="F87" i="1" s="1"/>
  <c r="T86" i="1"/>
  <c r="U86" i="1" s="1"/>
  <c r="G86" i="1" s="1"/>
  <c r="H86" i="1" s="1"/>
  <c r="O86" i="1"/>
  <c r="P86" i="1" s="1"/>
  <c r="E86" i="1" s="1"/>
  <c r="T85" i="1"/>
  <c r="O85" i="1"/>
  <c r="P85" i="1" s="1"/>
  <c r="E85" i="1" s="1"/>
  <c r="T80" i="1"/>
  <c r="U80" i="1" s="1"/>
  <c r="O80" i="1"/>
  <c r="P80" i="1" s="1"/>
  <c r="T79" i="1"/>
  <c r="U79" i="1" s="1"/>
  <c r="G79" i="1" s="1"/>
  <c r="H79" i="1" s="1"/>
  <c r="O79" i="1"/>
  <c r="P79" i="1" s="1"/>
  <c r="E79" i="1" s="1"/>
  <c r="T78" i="1"/>
  <c r="U78" i="1" s="1"/>
  <c r="G78" i="1" s="1"/>
  <c r="H78" i="1" s="1"/>
  <c r="O78" i="1"/>
  <c r="P78" i="1" s="1"/>
  <c r="E78" i="1" s="1"/>
  <c r="T77" i="1"/>
  <c r="U77" i="1" s="1"/>
  <c r="G77" i="1" s="1"/>
  <c r="H77" i="1" s="1"/>
  <c r="O77" i="1"/>
  <c r="P77" i="1" s="1"/>
  <c r="E77" i="1" s="1"/>
  <c r="T76" i="1"/>
  <c r="U76" i="1" s="1"/>
  <c r="G76" i="1" s="1"/>
  <c r="H76" i="1" s="1"/>
  <c r="O76" i="1"/>
  <c r="P76" i="1" s="1"/>
  <c r="E76" i="1" s="1"/>
  <c r="T75" i="1"/>
  <c r="U75" i="1" s="1"/>
  <c r="G75" i="1" s="1"/>
  <c r="O75" i="1"/>
  <c r="P75" i="1" s="1"/>
  <c r="E75" i="1" s="1"/>
  <c r="F75" i="1" s="1"/>
  <c r="T74" i="1"/>
  <c r="U74" i="1" s="1"/>
  <c r="G74" i="1" s="1"/>
  <c r="H74" i="1" s="1"/>
  <c r="O74" i="1"/>
  <c r="P74" i="1" s="1"/>
  <c r="E74" i="1" s="1"/>
  <c r="T73" i="1"/>
  <c r="U73" i="1" s="1"/>
  <c r="G73" i="1" s="1"/>
  <c r="H73" i="1" s="1"/>
  <c r="O73" i="1"/>
  <c r="P73" i="1" s="1"/>
  <c r="E73" i="1" s="1"/>
  <c r="F73" i="1" s="1"/>
  <c r="T72" i="1"/>
  <c r="U72" i="1" s="1"/>
  <c r="G72" i="1" s="1"/>
  <c r="H72" i="1" s="1"/>
  <c r="O72" i="1"/>
  <c r="P72" i="1" s="1"/>
  <c r="E72" i="1" s="1"/>
  <c r="T71" i="1"/>
  <c r="U71" i="1" s="1"/>
  <c r="G71" i="1" s="1"/>
  <c r="O71" i="1"/>
  <c r="P71" i="1" s="1"/>
  <c r="E71" i="1" s="1"/>
  <c r="F71" i="1" s="1"/>
  <c r="T70" i="1"/>
  <c r="U70" i="1" s="1"/>
  <c r="G70" i="1" s="1"/>
  <c r="H70" i="1" s="1"/>
  <c r="O70" i="1"/>
  <c r="P70" i="1" s="1"/>
  <c r="E70" i="1" s="1"/>
  <c r="T69" i="1"/>
  <c r="U69" i="1" s="1"/>
  <c r="G69" i="1" s="1"/>
  <c r="H69" i="1" s="1"/>
  <c r="O69" i="1"/>
  <c r="P69" i="1" s="1"/>
  <c r="E69" i="1" s="1"/>
  <c r="F69" i="1" s="1"/>
  <c r="T68" i="1"/>
  <c r="U68" i="1" s="1"/>
  <c r="G68" i="1" s="1"/>
  <c r="H68" i="1" s="1"/>
  <c r="O68" i="1"/>
  <c r="P68" i="1" s="1"/>
  <c r="E68" i="1" s="1"/>
  <c r="T67" i="1"/>
  <c r="U67" i="1" s="1"/>
  <c r="G67" i="1" s="1"/>
  <c r="O67" i="1"/>
  <c r="P67" i="1" s="1"/>
  <c r="E67" i="1" s="1"/>
  <c r="F67" i="1" s="1"/>
  <c r="T66" i="1"/>
  <c r="U66" i="1" s="1"/>
  <c r="G66" i="1" s="1"/>
  <c r="H66" i="1" s="1"/>
  <c r="O66" i="1"/>
  <c r="P66" i="1" s="1"/>
  <c r="E66" i="1" s="1"/>
  <c r="T65" i="1"/>
  <c r="U65" i="1" s="1"/>
  <c r="G65" i="1" s="1"/>
  <c r="H65" i="1" s="1"/>
  <c r="O65" i="1"/>
  <c r="P65" i="1" s="1"/>
  <c r="E65" i="1" s="1"/>
  <c r="F65" i="1" s="1"/>
  <c r="T64" i="1"/>
  <c r="U64" i="1" s="1"/>
  <c r="G64" i="1" s="1"/>
  <c r="H64" i="1" s="1"/>
  <c r="O64" i="1"/>
  <c r="P64" i="1" s="1"/>
  <c r="E64" i="1" s="1"/>
  <c r="T63" i="1"/>
  <c r="U63" i="1" s="1"/>
  <c r="G63" i="1" s="1"/>
  <c r="O63" i="1"/>
  <c r="P63" i="1" s="1"/>
  <c r="E63" i="1" s="1"/>
  <c r="F63" i="1" s="1"/>
  <c r="T62" i="1"/>
  <c r="U62" i="1" s="1"/>
  <c r="G62" i="1" s="1"/>
  <c r="H62" i="1" s="1"/>
  <c r="O62" i="1"/>
  <c r="P62" i="1" s="1"/>
  <c r="E62" i="1" s="1"/>
  <c r="T61" i="1"/>
  <c r="U61" i="1" s="1"/>
  <c r="G61" i="1" s="1"/>
  <c r="H61" i="1" s="1"/>
  <c r="O61" i="1"/>
  <c r="P61" i="1" s="1"/>
  <c r="E61" i="1" s="1"/>
  <c r="F61" i="1" s="1"/>
  <c r="T60" i="1"/>
  <c r="U60" i="1" s="1"/>
  <c r="G60" i="1" s="1"/>
  <c r="H60" i="1" s="1"/>
  <c r="O60" i="1"/>
  <c r="P60" i="1" s="1"/>
  <c r="E60" i="1" s="1"/>
  <c r="T59" i="1"/>
  <c r="U59" i="1" s="1"/>
  <c r="G59" i="1" s="1"/>
  <c r="O59" i="1"/>
  <c r="P59" i="1" s="1"/>
  <c r="E59" i="1" s="1"/>
  <c r="F59" i="1" s="1"/>
  <c r="T58" i="1"/>
  <c r="U58" i="1" s="1"/>
  <c r="G58" i="1" s="1"/>
  <c r="H58" i="1" s="1"/>
  <c r="O58" i="1"/>
  <c r="P58" i="1" s="1"/>
  <c r="E58" i="1" s="1"/>
  <c r="T57" i="1"/>
  <c r="U57" i="1" s="1"/>
  <c r="G57" i="1" s="1"/>
  <c r="H57" i="1" s="1"/>
  <c r="O57" i="1"/>
  <c r="P57" i="1" s="1"/>
  <c r="E57" i="1" s="1"/>
  <c r="F57" i="1" s="1"/>
  <c r="T56" i="1"/>
  <c r="U56" i="1" s="1"/>
  <c r="G56" i="1" s="1"/>
  <c r="H56" i="1" s="1"/>
  <c r="O56" i="1"/>
  <c r="P56" i="1" s="1"/>
  <c r="E56" i="1" s="1"/>
  <c r="T55" i="1"/>
  <c r="U55" i="1" s="1"/>
  <c r="G55" i="1" s="1"/>
  <c r="O55" i="1"/>
  <c r="P55" i="1" s="1"/>
  <c r="E55" i="1" s="1"/>
  <c r="F55" i="1" s="1"/>
  <c r="T54" i="1"/>
  <c r="U54" i="1" s="1"/>
  <c r="G54" i="1" s="1"/>
  <c r="H54" i="1" s="1"/>
  <c r="O54" i="1"/>
  <c r="P54" i="1" s="1"/>
  <c r="E54" i="1" s="1"/>
  <c r="T53" i="1"/>
  <c r="U53" i="1" s="1"/>
  <c r="G53" i="1" s="1"/>
  <c r="H53" i="1" s="1"/>
  <c r="O53" i="1"/>
  <c r="P53" i="1" s="1"/>
  <c r="E53" i="1" s="1"/>
  <c r="F53" i="1" s="1"/>
  <c r="T52" i="1"/>
  <c r="U52" i="1" s="1"/>
  <c r="G52" i="1" s="1"/>
  <c r="H52" i="1" s="1"/>
  <c r="O52" i="1"/>
  <c r="P52" i="1" s="1"/>
  <c r="E52" i="1" s="1"/>
  <c r="T51" i="1"/>
  <c r="U51" i="1" s="1"/>
  <c r="G51" i="1" s="1"/>
  <c r="O51" i="1"/>
  <c r="P51" i="1" s="1"/>
  <c r="E51" i="1" s="1"/>
  <c r="F51" i="1" s="1"/>
  <c r="T50" i="1"/>
  <c r="U50" i="1" s="1"/>
  <c r="G50" i="1" s="1"/>
  <c r="H50" i="1" s="1"/>
  <c r="O50" i="1"/>
  <c r="P50" i="1" s="1"/>
  <c r="E50" i="1" s="1"/>
  <c r="T49" i="1"/>
  <c r="U49" i="1" s="1"/>
  <c r="G49" i="1" s="1"/>
  <c r="H49" i="1" s="1"/>
  <c r="O49" i="1"/>
  <c r="P49" i="1" s="1"/>
  <c r="E49" i="1" s="1"/>
  <c r="F49" i="1" s="1"/>
  <c r="T48" i="1"/>
  <c r="U48" i="1" s="1"/>
  <c r="G48" i="1" s="1"/>
  <c r="H48" i="1" s="1"/>
  <c r="O48" i="1"/>
  <c r="P48" i="1" s="1"/>
  <c r="E48" i="1" s="1"/>
  <c r="T47" i="1"/>
  <c r="U47" i="1" s="1"/>
  <c r="G47" i="1" s="1"/>
  <c r="O47" i="1"/>
  <c r="P47" i="1" s="1"/>
  <c r="E47" i="1" s="1"/>
  <c r="F47" i="1" s="1"/>
  <c r="T46" i="1"/>
  <c r="U46" i="1" s="1"/>
  <c r="G46" i="1" s="1"/>
  <c r="H46" i="1" s="1"/>
  <c r="O46" i="1"/>
  <c r="P46" i="1" s="1"/>
  <c r="E46" i="1" s="1"/>
  <c r="T45" i="1"/>
  <c r="U45" i="1" s="1"/>
  <c r="G45" i="1" s="1"/>
  <c r="H45" i="1" s="1"/>
  <c r="O45" i="1"/>
  <c r="P45" i="1" s="1"/>
  <c r="E45" i="1" s="1"/>
  <c r="F45" i="1" s="1"/>
  <c r="T44" i="1"/>
  <c r="U44" i="1" s="1"/>
  <c r="G44" i="1" s="1"/>
  <c r="H44" i="1" s="1"/>
  <c r="O44" i="1"/>
  <c r="P44" i="1" s="1"/>
  <c r="E44" i="1" s="1"/>
  <c r="T43" i="1"/>
  <c r="U43" i="1" s="1"/>
  <c r="G43" i="1" s="1"/>
  <c r="O43" i="1"/>
  <c r="P43" i="1" s="1"/>
  <c r="E43" i="1" s="1"/>
  <c r="F43" i="1" s="1"/>
  <c r="T42" i="1"/>
  <c r="U42" i="1" s="1"/>
  <c r="G42" i="1" s="1"/>
  <c r="H42" i="1" s="1"/>
  <c r="O42" i="1"/>
  <c r="P42" i="1" s="1"/>
  <c r="E42" i="1" s="1"/>
  <c r="T41" i="1"/>
  <c r="U41" i="1" s="1"/>
  <c r="G41" i="1" s="1"/>
  <c r="H41" i="1" s="1"/>
  <c r="O41" i="1"/>
  <c r="P41" i="1" s="1"/>
  <c r="E41" i="1" s="1"/>
  <c r="F41" i="1" s="1"/>
  <c r="T40" i="1"/>
  <c r="U40" i="1" s="1"/>
  <c r="G40" i="1" s="1"/>
  <c r="H40" i="1" s="1"/>
  <c r="O40" i="1"/>
  <c r="P40" i="1" s="1"/>
  <c r="E40" i="1" s="1"/>
  <c r="T39" i="1"/>
  <c r="U39" i="1" s="1"/>
  <c r="G39" i="1" s="1"/>
  <c r="O39" i="1"/>
  <c r="P39" i="1" s="1"/>
  <c r="E39" i="1" s="1"/>
  <c r="F39" i="1" s="1"/>
  <c r="T38" i="1"/>
  <c r="U38" i="1" s="1"/>
  <c r="G38" i="1" s="1"/>
  <c r="H38" i="1" s="1"/>
  <c r="O38" i="1"/>
  <c r="P38" i="1" s="1"/>
  <c r="E38" i="1" s="1"/>
  <c r="T37" i="1"/>
  <c r="U37" i="1" s="1"/>
  <c r="G37" i="1" s="1"/>
  <c r="H37" i="1" s="1"/>
  <c r="O37" i="1"/>
  <c r="P37" i="1" s="1"/>
  <c r="E37" i="1" s="1"/>
  <c r="F37" i="1" s="1"/>
  <c r="N130" i="1"/>
  <c r="Q130" i="1" s="1"/>
  <c r="G109" i="2" l="1"/>
  <c r="I109" i="2"/>
  <c r="U36" i="1"/>
  <c r="G36" i="1" s="1"/>
  <c r="H36" i="1" s="1"/>
  <c r="I74" i="1"/>
  <c r="I75" i="1"/>
  <c r="I43" i="1"/>
  <c r="H93" i="1"/>
  <c r="I93" i="1"/>
  <c r="J53" i="1"/>
  <c r="I62" i="1"/>
  <c r="I66" i="1"/>
  <c r="I70" i="1"/>
  <c r="I88" i="1"/>
  <c r="I112" i="1"/>
  <c r="I116" i="1"/>
  <c r="J111" i="1"/>
  <c r="J37" i="1"/>
  <c r="J41" i="1"/>
  <c r="I78" i="1"/>
  <c r="I104" i="1"/>
  <c r="J89" i="1"/>
  <c r="I38" i="1"/>
  <c r="I79" i="1"/>
  <c r="U85" i="1"/>
  <c r="G85" i="1" s="1"/>
  <c r="H85" i="1" s="1"/>
  <c r="J107" i="1"/>
  <c r="I42" i="1"/>
  <c r="J87" i="1"/>
  <c r="I92" i="1"/>
  <c r="I46" i="1"/>
  <c r="I50" i="1"/>
  <c r="I54" i="1"/>
  <c r="J65" i="1"/>
  <c r="J69" i="1"/>
  <c r="J95" i="1"/>
  <c r="I100" i="1"/>
  <c r="I108" i="1"/>
  <c r="I110" i="1"/>
  <c r="I96" i="1"/>
  <c r="J99" i="1"/>
  <c r="I58" i="1"/>
  <c r="J103" i="1"/>
  <c r="J115" i="1"/>
  <c r="J91" i="1"/>
  <c r="F77" i="1"/>
  <c r="J77" i="1" s="1"/>
  <c r="I77" i="1"/>
  <c r="I109" i="1"/>
  <c r="F109" i="1"/>
  <c r="J109" i="1" s="1"/>
  <c r="F52" i="1"/>
  <c r="J52" i="1" s="1"/>
  <c r="I52" i="1"/>
  <c r="I94" i="1"/>
  <c r="F94" i="1"/>
  <c r="J94" i="1" s="1"/>
  <c r="F113" i="1"/>
  <c r="J113" i="1" s="1"/>
  <c r="I113" i="1"/>
  <c r="F60" i="1"/>
  <c r="J60" i="1" s="1"/>
  <c r="I60" i="1"/>
  <c r="F64" i="1"/>
  <c r="J64" i="1" s="1"/>
  <c r="I64" i="1"/>
  <c r="F68" i="1"/>
  <c r="J68" i="1" s="1"/>
  <c r="I68" i="1"/>
  <c r="F72" i="1"/>
  <c r="J72" i="1" s="1"/>
  <c r="I72" i="1"/>
  <c r="I97" i="1"/>
  <c r="F97" i="1"/>
  <c r="J97" i="1" s="1"/>
  <c r="I102" i="1"/>
  <c r="F102" i="1"/>
  <c r="J102" i="1" s="1"/>
  <c r="I106" i="1"/>
  <c r="F106" i="1"/>
  <c r="J106" i="1" s="1"/>
  <c r="F48" i="1"/>
  <c r="J48" i="1" s="1"/>
  <c r="I48" i="1"/>
  <c r="I86" i="1"/>
  <c r="F86" i="1"/>
  <c r="J86" i="1" s="1"/>
  <c r="I105" i="1"/>
  <c r="F105" i="1"/>
  <c r="J105" i="1" s="1"/>
  <c r="F76" i="1"/>
  <c r="J76" i="1" s="1"/>
  <c r="I76" i="1"/>
  <c r="I90" i="1"/>
  <c r="F90" i="1"/>
  <c r="J90" i="1" s="1"/>
  <c r="F40" i="1"/>
  <c r="J40" i="1" s="1"/>
  <c r="I40" i="1"/>
  <c r="I98" i="1"/>
  <c r="F98" i="1"/>
  <c r="J98" i="1" s="1"/>
  <c r="I101" i="1"/>
  <c r="F101" i="1"/>
  <c r="J101" i="1" s="1"/>
  <c r="F44" i="1"/>
  <c r="J44" i="1" s="1"/>
  <c r="I44" i="1"/>
  <c r="F56" i="1"/>
  <c r="J56" i="1" s="1"/>
  <c r="I56" i="1"/>
  <c r="I114" i="1"/>
  <c r="F114" i="1"/>
  <c r="J114" i="1" s="1"/>
  <c r="I71" i="1"/>
  <c r="I63" i="1"/>
  <c r="I89" i="1"/>
  <c r="I67" i="1"/>
  <c r="I59" i="1"/>
  <c r="I51" i="1"/>
  <c r="F110" i="1"/>
  <c r="J110" i="1" s="1"/>
  <c r="I39" i="1"/>
  <c r="I55" i="1"/>
  <c r="I47" i="1"/>
  <c r="F85" i="1"/>
  <c r="I87" i="1"/>
  <c r="I91" i="1"/>
  <c r="I95" i="1"/>
  <c r="I99" i="1"/>
  <c r="I103" i="1"/>
  <c r="I107" i="1"/>
  <c r="I111" i="1"/>
  <c r="I115" i="1"/>
  <c r="F88" i="1"/>
  <c r="J88" i="1" s="1"/>
  <c r="F92" i="1"/>
  <c r="J92" i="1" s="1"/>
  <c r="F96" i="1"/>
  <c r="J96" i="1" s="1"/>
  <c r="F100" i="1"/>
  <c r="J100" i="1" s="1"/>
  <c r="F104" i="1"/>
  <c r="J104" i="1" s="1"/>
  <c r="F108" i="1"/>
  <c r="J108" i="1" s="1"/>
  <c r="F112" i="1"/>
  <c r="J112" i="1" s="1"/>
  <c r="F116" i="1"/>
  <c r="J116" i="1" s="1"/>
  <c r="J57" i="1"/>
  <c r="J49" i="1"/>
  <c r="J61" i="1"/>
  <c r="J45" i="1"/>
  <c r="J73" i="1"/>
  <c r="F78" i="1"/>
  <c r="J78" i="1" s="1"/>
  <c r="H75" i="1"/>
  <c r="J75" i="1" s="1"/>
  <c r="F74" i="1"/>
  <c r="J74" i="1" s="1"/>
  <c r="H71" i="1"/>
  <c r="J71" i="1" s="1"/>
  <c r="F70" i="1"/>
  <c r="J70" i="1" s="1"/>
  <c r="H67" i="1"/>
  <c r="J67" i="1" s="1"/>
  <c r="F66" i="1"/>
  <c r="J66" i="1" s="1"/>
  <c r="H63" i="1"/>
  <c r="J63" i="1" s="1"/>
  <c r="F62" i="1"/>
  <c r="J62" i="1" s="1"/>
  <c r="H59" i="1"/>
  <c r="J59" i="1" s="1"/>
  <c r="F58" i="1"/>
  <c r="J58" i="1" s="1"/>
  <c r="H55" i="1"/>
  <c r="J55" i="1" s="1"/>
  <c r="F54" i="1"/>
  <c r="J54" i="1" s="1"/>
  <c r="H51" i="1"/>
  <c r="J51" i="1" s="1"/>
  <c r="F50" i="1"/>
  <c r="J50" i="1" s="1"/>
  <c r="H47" i="1"/>
  <c r="J47" i="1" s="1"/>
  <c r="F46" i="1"/>
  <c r="J46" i="1" s="1"/>
  <c r="H43" i="1"/>
  <c r="J43" i="1" s="1"/>
  <c r="F42" i="1"/>
  <c r="J42" i="1" s="1"/>
  <c r="H39" i="1"/>
  <c r="J39" i="1" s="1"/>
  <c r="F38" i="1"/>
  <c r="J38" i="1" s="1"/>
  <c r="F79" i="1"/>
  <c r="J79" i="1" s="1"/>
  <c r="I73" i="1"/>
  <c r="I69" i="1"/>
  <c r="I65" i="1"/>
  <c r="I61" i="1"/>
  <c r="I57" i="1"/>
  <c r="I53" i="1"/>
  <c r="I49" i="1"/>
  <c r="I45" i="1"/>
  <c r="I41" i="1"/>
  <c r="I37" i="1"/>
  <c r="F36" i="1"/>
  <c r="I36" i="1" l="1"/>
  <c r="H118" i="1"/>
  <c r="J85" i="1"/>
  <c r="J93" i="1"/>
  <c r="J36" i="1"/>
  <c r="J81" i="1" s="1"/>
  <c r="I85" i="1"/>
  <c r="F118" i="1"/>
  <c r="H81" i="1"/>
  <c r="F81" i="1"/>
  <c r="J118" i="1" l="1"/>
  <c r="K239" i="2"/>
  <c r="L239" i="2" s="1"/>
  <c r="F239" i="2" s="1"/>
  <c r="G239" i="2" s="1"/>
  <c r="K240" i="2"/>
  <c r="L240" i="2" s="1"/>
  <c r="F240" i="2" s="1"/>
  <c r="G240" i="2" s="1"/>
  <c r="K241" i="2"/>
  <c r="L241" i="2" s="1"/>
  <c r="F241" i="2" s="1"/>
  <c r="G241" i="2" s="1"/>
  <c r="K242" i="2"/>
  <c r="L242" i="2" s="1"/>
  <c r="F242" i="2" s="1"/>
  <c r="G242" i="2" s="1"/>
  <c r="K243" i="2"/>
  <c r="L243" i="2" s="1"/>
  <c r="F243" i="2" s="1"/>
  <c r="G243" i="2" s="1"/>
  <c r="K244" i="2"/>
  <c r="L244" i="2" s="1"/>
  <c r="F244" i="2" s="1"/>
  <c r="G244" i="2" s="1"/>
  <c r="K245" i="2"/>
  <c r="L245" i="2" s="1"/>
  <c r="F245" i="2" s="1"/>
  <c r="G245" i="2" s="1"/>
  <c r="K246" i="2"/>
  <c r="L246" i="2" s="1"/>
  <c r="F246" i="2" s="1"/>
  <c r="G246" i="2" s="1"/>
  <c r="K247" i="2"/>
  <c r="L247" i="2" s="1"/>
  <c r="F247" i="2" s="1"/>
  <c r="G247" i="2" s="1"/>
  <c r="K248" i="2"/>
  <c r="L248" i="2" s="1"/>
  <c r="F248" i="2" s="1"/>
  <c r="G248" i="2" s="1"/>
  <c r="K249" i="2"/>
  <c r="L249" i="2" s="1"/>
  <c r="F249" i="2" s="1"/>
  <c r="G249" i="2" s="1"/>
  <c r="K250" i="2"/>
  <c r="L250" i="2" s="1"/>
  <c r="F250" i="2" s="1"/>
  <c r="G250" i="2" s="1"/>
  <c r="K251" i="2"/>
  <c r="L251" i="2" s="1"/>
  <c r="F251" i="2" s="1"/>
  <c r="G251" i="2" s="1"/>
  <c r="K252" i="2"/>
  <c r="L252" i="2" s="1"/>
  <c r="F252" i="2" s="1"/>
  <c r="G252" i="2" s="1"/>
  <c r="K253" i="2"/>
  <c r="L253" i="2" s="1"/>
  <c r="F253" i="2" s="1"/>
  <c r="G253" i="2" s="1"/>
  <c r="K254" i="2"/>
  <c r="L254" i="2" s="1"/>
  <c r="F254" i="2" s="1"/>
  <c r="G254" i="2" s="1"/>
  <c r="K255" i="2"/>
  <c r="L255" i="2" s="1"/>
  <c r="F255" i="2" s="1"/>
  <c r="G255" i="2" s="1"/>
  <c r="K256" i="2"/>
  <c r="L256" i="2" s="1"/>
  <c r="F256" i="2" s="1"/>
  <c r="G256" i="2" s="1"/>
  <c r="K257" i="2"/>
  <c r="L257" i="2" s="1"/>
  <c r="F257" i="2" s="1"/>
  <c r="G257" i="2" s="1"/>
  <c r="K258" i="2"/>
  <c r="L258" i="2" s="1"/>
  <c r="F258" i="2" s="1"/>
  <c r="G258" i="2" s="1"/>
  <c r="K259" i="2"/>
  <c r="L259" i="2" s="1"/>
  <c r="F259" i="2" s="1"/>
  <c r="G259" i="2" s="1"/>
  <c r="K260" i="2"/>
  <c r="L260" i="2" s="1"/>
  <c r="F260" i="2" s="1"/>
  <c r="G260" i="2" s="1"/>
  <c r="K261" i="2"/>
  <c r="L261" i="2" s="1"/>
  <c r="F261" i="2" s="1"/>
  <c r="G261" i="2" s="1"/>
  <c r="K262" i="2"/>
  <c r="L262" i="2" s="1"/>
  <c r="F262" i="2" s="1"/>
  <c r="G262" i="2" s="1"/>
  <c r="K263" i="2"/>
  <c r="L263" i="2" s="1"/>
  <c r="F263" i="2" s="1"/>
  <c r="G263" i="2" s="1"/>
  <c r="K264" i="2"/>
  <c r="L264" i="2" s="1"/>
  <c r="F264" i="2" s="1"/>
  <c r="G264" i="2" s="1"/>
  <c r="K265" i="2"/>
  <c r="L265" i="2" s="1"/>
  <c r="F265" i="2" s="1"/>
  <c r="G265" i="2" s="1"/>
  <c r="K266" i="2"/>
  <c r="L266" i="2" s="1"/>
  <c r="F266" i="2" s="1"/>
  <c r="G266" i="2" s="1"/>
  <c r="K267" i="2"/>
  <c r="L267" i="2" s="1"/>
  <c r="F267" i="2" s="1"/>
  <c r="G267" i="2" s="1"/>
  <c r="K268" i="2"/>
  <c r="L268" i="2" s="1"/>
  <c r="F268" i="2" s="1"/>
  <c r="G268" i="2" s="1"/>
  <c r="K269" i="2"/>
  <c r="L269" i="2" s="1"/>
  <c r="F269" i="2" s="1"/>
  <c r="G269" i="2" s="1"/>
  <c r="K270" i="2"/>
  <c r="L270" i="2" s="1"/>
  <c r="F270" i="2" s="1"/>
  <c r="K271" i="2"/>
  <c r="L271" i="2" s="1"/>
  <c r="F271" i="2" s="1"/>
  <c r="K272" i="2"/>
  <c r="L272" i="2" s="1"/>
  <c r="F272" i="2" s="1"/>
  <c r="G272" i="2" s="1"/>
  <c r="K273" i="2"/>
  <c r="L273" i="2" s="1"/>
  <c r="F273" i="2" s="1"/>
  <c r="G273" i="2" s="1"/>
  <c r="K274" i="2"/>
  <c r="L274" i="2" s="1"/>
  <c r="F274" i="2" s="1"/>
  <c r="G274" i="2" s="1"/>
  <c r="K275" i="2"/>
  <c r="L275" i="2" s="1"/>
  <c r="F275" i="2" s="1"/>
  <c r="G275" i="2" s="1"/>
  <c r="K276" i="2"/>
  <c r="L276" i="2" s="1"/>
  <c r="F276" i="2" s="1"/>
  <c r="G276" i="2" s="1"/>
  <c r="K277" i="2"/>
  <c r="L277" i="2" s="1"/>
  <c r="F277" i="2" s="1"/>
  <c r="G277" i="2" s="1"/>
  <c r="K278" i="2"/>
  <c r="L278" i="2" s="1"/>
  <c r="F278" i="2" s="1"/>
  <c r="G278" i="2" s="1"/>
  <c r="K279" i="2"/>
  <c r="L279" i="2" s="1"/>
  <c r="F279" i="2" s="1"/>
  <c r="G279" i="2" s="1"/>
  <c r="K280" i="2"/>
  <c r="L280" i="2" s="1"/>
  <c r="F280" i="2" s="1"/>
  <c r="G280" i="2" s="1"/>
  <c r="K281" i="2"/>
  <c r="L281" i="2" s="1"/>
  <c r="F281" i="2" s="1"/>
  <c r="G281" i="2" s="1"/>
  <c r="O205" i="2"/>
  <c r="P205" i="2" s="1"/>
  <c r="F205" i="2" s="1"/>
  <c r="G205" i="2" s="1"/>
  <c r="K161" i="2"/>
  <c r="L161" i="2" s="1"/>
  <c r="F161" i="2" s="1"/>
  <c r="G161" i="2" s="1"/>
  <c r="K162" i="2"/>
  <c r="L162" i="2" s="1"/>
  <c r="F162" i="2" s="1"/>
  <c r="G162" i="2" s="1"/>
  <c r="K163" i="2"/>
  <c r="L163" i="2" s="1"/>
  <c r="F163" i="2" s="1"/>
  <c r="G163" i="2" s="1"/>
  <c r="K164" i="2"/>
  <c r="L164" i="2" s="1"/>
  <c r="F164" i="2" s="1"/>
  <c r="G164" i="2" s="1"/>
  <c r="K165" i="2"/>
  <c r="L165" i="2" s="1"/>
  <c r="F165" i="2" s="1"/>
  <c r="G165" i="2" s="1"/>
  <c r="K166" i="2"/>
  <c r="L166" i="2" s="1"/>
  <c r="F166" i="2" s="1"/>
  <c r="G166" i="2" s="1"/>
  <c r="K167" i="2"/>
  <c r="L167" i="2" s="1"/>
  <c r="F167" i="2" s="1"/>
  <c r="G167" i="2" s="1"/>
  <c r="K168" i="2"/>
  <c r="L168" i="2" s="1"/>
  <c r="F168" i="2" s="1"/>
  <c r="G168" i="2" s="1"/>
  <c r="K169" i="2"/>
  <c r="L169" i="2" s="1"/>
  <c r="F169" i="2" s="1"/>
  <c r="G169" i="2" s="1"/>
  <c r="K170" i="2"/>
  <c r="L170" i="2" s="1"/>
  <c r="F170" i="2" s="1"/>
  <c r="G170" i="2" s="1"/>
  <c r="K171" i="2"/>
  <c r="L171" i="2" s="1"/>
  <c r="F171" i="2" s="1"/>
  <c r="G171" i="2" s="1"/>
  <c r="K172" i="2"/>
  <c r="L172" i="2" s="1"/>
  <c r="F172" i="2" s="1"/>
  <c r="G172" i="2" s="1"/>
  <c r="O146" i="2"/>
  <c r="P146" i="2" s="1"/>
  <c r="F146" i="2" s="1"/>
  <c r="G146" i="2" s="1"/>
  <c r="O100" i="2"/>
  <c r="P100" i="2" s="1"/>
  <c r="F100" i="2" s="1"/>
  <c r="G100" i="2" s="1"/>
  <c r="K50" i="2"/>
  <c r="L50" i="2" s="1"/>
  <c r="K51" i="2"/>
  <c r="L51" i="2" s="1"/>
  <c r="K52" i="2"/>
  <c r="L52" i="2" s="1"/>
  <c r="K53" i="2"/>
  <c r="L53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L60" i="2" s="1"/>
  <c r="K61" i="2"/>
  <c r="L61" i="2" s="1"/>
  <c r="K62" i="2"/>
  <c r="L62" i="2" s="1"/>
  <c r="K63" i="2"/>
  <c r="L63" i="2" s="1"/>
  <c r="K64" i="2"/>
  <c r="L64" i="2" s="1"/>
  <c r="K65" i="2"/>
  <c r="L65" i="2" s="1"/>
  <c r="K4" i="2"/>
  <c r="L4" i="2" s="1"/>
  <c r="K5" i="2"/>
  <c r="L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17" i="2" s="1"/>
  <c r="O17" i="2"/>
  <c r="P17" i="2" s="1"/>
  <c r="K18" i="2"/>
  <c r="L18" i="2" s="1"/>
  <c r="K19" i="2"/>
  <c r="L19" i="2" s="1"/>
  <c r="K20" i="2"/>
  <c r="L20" i="2" s="1"/>
  <c r="K21" i="2"/>
  <c r="L21" i="2" s="1"/>
  <c r="O21" i="2"/>
  <c r="P21" i="2" s="1"/>
  <c r="K22" i="2"/>
  <c r="L22" i="2" s="1"/>
  <c r="K23" i="2"/>
  <c r="L23" i="2" s="1"/>
  <c r="K24" i="2"/>
  <c r="L24" i="2" s="1"/>
  <c r="K25" i="2"/>
  <c r="L25" i="2" s="1"/>
  <c r="K26" i="2"/>
  <c r="L26" i="2" s="1"/>
  <c r="K27" i="2"/>
  <c r="L27" i="2" s="1"/>
  <c r="K28" i="2"/>
  <c r="L28" i="2" s="1"/>
  <c r="K29" i="2"/>
  <c r="L29" i="2" s="1"/>
  <c r="K30" i="2"/>
  <c r="L30" i="2" s="1"/>
  <c r="O30" i="2"/>
  <c r="P30" i="2" s="1"/>
  <c r="K31" i="2"/>
  <c r="L31" i="2" s="1"/>
  <c r="K32" i="2"/>
  <c r="L32" i="2" s="1"/>
  <c r="K33" i="2"/>
  <c r="L33" i="2" s="1"/>
  <c r="O33" i="2"/>
  <c r="P33" i="2" s="1"/>
  <c r="K34" i="2"/>
  <c r="L34" i="2"/>
  <c r="K35" i="2"/>
  <c r="L35" i="2" s="1"/>
  <c r="K36" i="2"/>
  <c r="L36" i="2" s="1"/>
  <c r="K37" i="2"/>
  <c r="L37" i="2" s="1"/>
  <c r="O37" i="2"/>
  <c r="P37" i="2" s="1"/>
  <c r="K38" i="2"/>
  <c r="L38" i="2" s="1"/>
  <c r="O38" i="2"/>
  <c r="P38" i="2" s="1"/>
  <c r="K39" i="2"/>
  <c r="L39" i="2" s="1"/>
  <c r="K40" i="2"/>
  <c r="L40" i="2" s="1"/>
  <c r="K41" i="2"/>
  <c r="L41" i="2" s="1"/>
  <c r="K42" i="2"/>
  <c r="L42" i="2" s="1"/>
  <c r="K43" i="2"/>
  <c r="L43" i="2" s="1"/>
  <c r="K44" i="2"/>
  <c r="L44" i="2" s="1"/>
  <c r="K45" i="2"/>
  <c r="L45" i="2" s="1"/>
  <c r="O193" i="2"/>
  <c r="P193" i="2" s="1"/>
  <c r="F193" i="2" s="1"/>
  <c r="G193" i="2" s="1"/>
  <c r="G271" i="2" l="1"/>
  <c r="I271" i="2"/>
  <c r="G270" i="2"/>
  <c r="I270" i="2"/>
  <c r="F37" i="2"/>
  <c r="G37" i="2" s="1"/>
  <c r="O98" i="2"/>
  <c r="P98" i="2" s="1"/>
  <c r="F98" i="2" s="1"/>
  <c r="G98" i="2" s="1"/>
  <c r="O195" i="2"/>
  <c r="P195" i="2" s="1"/>
  <c r="F195" i="2" s="1"/>
  <c r="G195" i="2" s="1"/>
  <c r="O6" i="2"/>
  <c r="P6" i="2" s="1"/>
  <c r="F6" i="2" s="1"/>
  <c r="G6" i="2" s="1"/>
  <c r="O61" i="2"/>
  <c r="P61" i="2" s="1"/>
  <c r="F61" i="2" s="1"/>
  <c r="G61" i="2" s="1"/>
  <c r="O97" i="2"/>
  <c r="P97" i="2" s="1"/>
  <c r="F97" i="2" s="1"/>
  <c r="G97" i="2" s="1"/>
  <c r="O189" i="2"/>
  <c r="P189" i="2" s="1"/>
  <c r="F189" i="2" s="1"/>
  <c r="G189" i="2" s="1"/>
  <c r="O188" i="2"/>
  <c r="P188" i="2" s="1"/>
  <c r="F188" i="2" s="1"/>
  <c r="G188" i="2" s="1"/>
  <c r="O95" i="2"/>
  <c r="P95" i="2" s="1"/>
  <c r="F95" i="2" s="1"/>
  <c r="G95" i="2" s="1"/>
  <c r="O22" i="2"/>
  <c r="P22" i="2" s="1"/>
  <c r="F22" i="2" s="1"/>
  <c r="G22" i="2" s="1"/>
  <c r="O14" i="2"/>
  <c r="P14" i="2" s="1"/>
  <c r="O5" i="2"/>
  <c r="P5" i="2" s="1"/>
  <c r="F5" i="2" s="1"/>
  <c r="G5" i="2" s="1"/>
  <c r="O60" i="2"/>
  <c r="P60" i="2" s="1"/>
  <c r="F60" i="2" s="1"/>
  <c r="G60" i="2" s="1"/>
  <c r="O93" i="2"/>
  <c r="P93" i="2" s="1"/>
  <c r="F93" i="2" s="1"/>
  <c r="G93" i="2" s="1"/>
  <c r="F14" i="2"/>
  <c r="G14" i="2" s="1"/>
  <c r="O92" i="2"/>
  <c r="P92" i="2" s="1"/>
  <c r="F92" i="2" s="1"/>
  <c r="G92" i="2" s="1"/>
  <c r="O51" i="2"/>
  <c r="P51" i="2" s="1"/>
  <c r="F51" i="2" s="1"/>
  <c r="G51" i="2" s="1"/>
  <c r="O88" i="2"/>
  <c r="P88" i="2" s="1"/>
  <c r="F88" i="2" s="1"/>
  <c r="G88" i="2" s="1"/>
  <c r="F21" i="2"/>
  <c r="G21" i="2" s="1"/>
  <c r="O65" i="2"/>
  <c r="P65" i="2" s="1"/>
  <c r="F65" i="2" s="1"/>
  <c r="G65" i="2" s="1"/>
  <c r="O229" i="2"/>
  <c r="P229" i="2" s="1"/>
  <c r="F229" i="2" s="1"/>
  <c r="G229" i="2" s="1"/>
  <c r="F38" i="2"/>
  <c r="G38" i="2" s="1"/>
  <c r="F30" i="2"/>
  <c r="G30" i="2" s="1"/>
  <c r="I30" i="2" s="1"/>
  <c r="O87" i="2"/>
  <c r="P87" i="2" s="1"/>
  <c r="F87" i="2" s="1"/>
  <c r="G87" i="2" s="1"/>
  <c r="O228" i="2"/>
  <c r="P228" i="2" s="1"/>
  <c r="F228" i="2" s="1"/>
  <c r="G228" i="2" s="1"/>
  <c r="O57" i="2"/>
  <c r="P57" i="2" s="1"/>
  <c r="F57" i="2" s="1"/>
  <c r="G57" i="2" s="1"/>
  <c r="O83" i="2"/>
  <c r="P83" i="2" s="1"/>
  <c r="F83" i="2" s="1"/>
  <c r="G83" i="2" s="1"/>
  <c r="O223" i="2"/>
  <c r="P223" i="2" s="1"/>
  <c r="F223" i="2" s="1"/>
  <c r="G223" i="2" s="1"/>
  <c r="O78" i="2"/>
  <c r="P78" i="2" s="1"/>
  <c r="F78" i="2" s="1"/>
  <c r="G78" i="2" s="1"/>
  <c r="O217" i="2"/>
  <c r="P217" i="2" s="1"/>
  <c r="F217" i="2" s="1"/>
  <c r="G217" i="2" s="1"/>
  <c r="O56" i="2"/>
  <c r="P56" i="2" s="1"/>
  <c r="F56" i="2" s="1"/>
  <c r="G56" i="2" s="1"/>
  <c r="O102" i="2"/>
  <c r="P102" i="2" s="1"/>
  <c r="F102" i="2" s="1"/>
  <c r="G102" i="2" s="1"/>
  <c r="O74" i="2"/>
  <c r="P74" i="2" s="1"/>
  <c r="F74" i="2" s="1"/>
  <c r="G74" i="2" s="1"/>
  <c r="O212" i="2"/>
  <c r="P212" i="2" s="1"/>
  <c r="F212" i="2" s="1"/>
  <c r="G212" i="2" s="1"/>
  <c r="O73" i="2"/>
  <c r="P73" i="2" s="1"/>
  <c r="F73" i="2" s="1"/>
  <c r="O151" i="2"/>
  <c r="P151" i="2" s="1"/>
  <c r="F151" i="2" s="1"/>
  <c r="G151" i="2" s="1"/>
  <c r="O211" i="2"/>
  <c r="P211" i="2" s="1"/>
  <c r="F211" i="2" s="1"/>
  <c r="G211" i="2" s="1"/>
  <c r="G173" i="2"/>
  <c r="G282" i="2"/>
  <c r="G139" i="2"/>
  <c r="O40" i="2"/>
  <c r="P40" i="2" s="1"/>
  <c r="F40" i="2" s="1"/>
  <c r="G40" i="2" s="1"/>
  <c r="O24" i="2"/>
  <c r="P24" i="2" s="1"/>
  <c r="F24" i="2" s="1"/>
  <c r="G24" i="2" s="1"/>
  <c r="O8" i="2"/>
  <c r="P8" i="2" s="1"/>
  <c r="F8" i="2" s="1"/>
  <c r="G8" i="2" s="1"/>
  <c r="O64" i="2"/>
  <c r="P64" i="2" s="1"/>
  <c r="F64" i="2" s="1"/>
  <c r="G64" i="2" s="1"/>
  <c r="O103" i="2"/>
  <c r="P103" i="2" s="1"/>
  <c r="F103" i="2" s="1"/>
  <c r="G103" i="2" s="1"/>
  <c r="O200" i="2"/>
  <c r="P200" i="2" s="1"/>
  <c r="F200" i="2" s="1"/>
  <c r="G200" i="2" s="1"/>
  <c r="O183" i="2"/>
  <c r="P183" i="2" s="1"/>
  <c r="F183" i="2" s="1"/>
  <c r="G183" i="2" s="1"/>
  <c r="O177" i="2"/>
  <c r="P177" i="2" s="1"/>
  <c r="F177" i="2" s="1"/>
  <c r="G177" i="2" s="1"/>
  <c r="O216" i="2"/>
  <c r="P216" i="2" s="1"/>
  <c r="F216" i="2" s="1"/>
  <c r="G216" i="2" s="1"/>
  <c r="O199" i="2"/>
  <c r="P199" i="2" s="1"/>
  <c r="F199" i="2" s="1"/>
  <c r="G199" i="2" s="1"/>
  <c r="O11" i="2"/>
  <c r="P11" i="2" s="1"/>
  <c r="F11" i="2" s="1"/>
  <c r="G11" i="2" s="1"/>
  <c r="O19" i="2"/>
  <c r="P19" i="2" s="1"/>
  <c r="F19" i="2" s="1"/>
  <c r="G19" i="2" s="1"/>
  <c r="O27" i="2"/>
  <c r="P27" i="2" s="1"/>
  <c r="F27" i="2" s="1"/>
  <c r="G27" i="2" s="1"/>
  <c r="I27" i="2" s="1"/>
  <c r="O35" i="2"/>
  <c r="P35" i="2" s="1"/>
  <c r="F35" i="2" s="1"/>
  <c r="G35" i="2" s="1"/>
  <c r="O43" i="2"/>
  <c r="P43" i="2" s="1"/>
  <c r="F43" i="2" s="1"/>
  <c r="G43" i="2" s="1"/>
  <c r="O149" i="2"/>
  <c r="P149" i="2" s="1"/>
  <c r="F149" i="2" s="1"/>
  <c r="G149" i="2" s="1"/>
  <c r="O145" i="2"/>
  <c r="P145" i="2" s="1"/>
  <c r="F145" i="2" s="1"/>
  <c r="G145" i="2" s="1"/>
  <c r="O178" i="2"/>
  <c r="P178" i="2" s="1"/>
  <c r="F178" i="2" s="1"/>
  <c r="G178" i="2" s="1"/>
  <c r="O182" i="2"/>
  <c r="P182" i="2" s="1"/>
  <c r="F182" i="2" s="1"/>
  <c r="G182" i="2" s="1"/>
  <c r="O186" i="2"/>
  <c r="P186" i="2" s="1"/>
  <c r="F186" i="2" s="1"/>
  <c r="G186" i="2" s="1"/>
  <c r="O190" i="2"/>
  <c r="P190" i="2" s="1"/>
  <c r="F190" i="2" s="1"/>
  <c r="G190" i="2" s="1"/>
  <c r="O194" i="2"/>
  <c r="P194" i="2" s="1"/>
  <c r="F194" i="2" s="1"/>
  <c r="G194" i="2" s="1"/>
  <c r="O198" i="2"/>
  <c r="P198" i="2" s="1"/>
  <c r="F198" i="2" s="1"/>
  <c r="G198" i="2" s="1"/>
  <c r="O202" i="2"/>
  <c r="P202" i="2" s="1"/>
  <c r="F202" i="2" s="1"/>
  <c r="G202" i="2" s="1"/>
  <c r="O206" i="2"/>
  <c r="P206" i="2" s="1"/>
  <c r="F206" i="2" s="1"/>
  <c r="G206" i="2" s="1"/>
  <c r="O210" i="2"/>
  <c r="P210" i="2" s="1"/>
  <c r="F210" i="2" s="1"/>
  <c r="G210" i="2" s="1"/>
  <c r="O214" i="2"/>
  <c r="P214" i="2" s="1"/>
  <c r="F214" i="2" s="1"/>
  <c r="G214" i="2" s="1"/>
  <c r="O218" i="2"/>
  <c r="P218" i="2" s="1"/>
  <c r="F218" i="2" s="1"/>
  <c r="G218" i="2" s="1"/>
  <c r="O222" i="2"/>
  <c r="P222" i="2" s="1"/>
  <c r="F222" i="2" s="1"/>
  <c r="O226" i="2"/>
  <c r="P226" i="2" s="1"/>
  <c r="F226" i="2" s="1"/>
  <c r="G226" i="2" s="1"/>
  <c r="O230" i="2"/>
  <c r="P230" i="2" s="1"/>
  <c r="F230" i="2" s="1"/>
  <c r="G230" i="2" s="1"/>
  <c r="O234" i="2"/>
  <c r="P234" i="2" s="1"/>
  <c r="F234" i="2" s="1"/>
  <c r="G234" i="2" s="1"/>
  <c r="O55" i="2"/>
  <c r="P55" i="2" s="1"/>
  <c r="F55" i="2" s="1"/>
  <c r="G55" i="2" s="1"/>
  <c r="O63" i="2"/>
  <c r="P63" i="2" s="1"/>
  <c r="F63" i="2" s="1"/>
  <c r="G63" i="2" s="1"/>
  <c r="O144" i="2"/>
  <c r="P144" i="2" s="1"/>
  <c r="F144" i="2" s="1"/>
  <c r="G144" i="2" s="1"/>
  <c r="O148" i="2"/>
  <c r="P148" i="2" s="1"/>
  <c r="F148" i="2" s="1"/>
  <c r="G148" i="2" s="1"/>
  <c r="O152" i="2"/>
  <c r="P152" i="2" s="1"/>
  <c r="F152" i="2" s="1"/>
  <c r="G152" i="2" s="1"/>
  <c r="O156" i="2"/>
  <c r="P156" i="2" s="1"/>
  <c r="F156" i="2" s="1"/>
  <c r="G156" i="2" s="1"/>
  <c r="O54" i="2"/>
  <c r="P54" i="2" s="1"/>
  <c r="F54" i="2" s="1"/>
  <c r="G54" i="2" s="1"/>
  <c r="O62" i="2"/>
  <c r="P62" i="2" s="1"/>
  <c r="F62" i="2" s="1"/>
  <c r="G62" i="2" s="1"/>
  <c r="O39" i="2"/>
  <c r="P39" i="2" s="1"/>
  <c r="F39" i="2" s="1"/>
  <c r="G39" i="2" s="1"/>
  <c r="O36" i="2"/>
  <c r="P36" i="2" s="1"/>
  <c r="F36" i="2" s="1"/>
  <c r="G36" i="2" s="1"/>
  <c r="F33" i="2"/>
  <c r="G33" i="2" s="1"/>
  <c r="I33" i="2" s="1"/>
  <c r="O23" i="2"/>
  <c r="P23" i="2" s="1"/>
  <c r="F23" i="2" s="1"/>
  <c r="G23" i="2" s="1"/>
  <c r="O20" i="2"/>
  <c r="P20" i="2" s="1"/>
  <c r="F20" i="2" s="1"/>
  <c r="G20" i="2" s="1"/>
  <c r="F17" i="2"/>
  <c r="G17" i="2" s="1"/>
  <c r="O7" i="2"/>
  <c r="P7" i="2" s="1"/>
  <c r="F7" i="2" s="1"/>
  <c r="G7" i="2" s="1"/>
  <c r="O4" i="2"/>
  <c r="P4" i="2" s="1"/>
  <c r="F4" i="2" s="1"/>
  <c r="G4" i="2" s="1"/>
  <c r="O82" i="2"/>
  <c r="P82" i="2" s="1"/>
  <c r="F82" i="2" s="1"/>
  <c r="G82" i="2" s="1"/>
  <c r="O77" i="2"/>
  <c r="P77" i="2" s="1"/>
  <c r="F77" i="2" s="1"/>
  <c r="G77" i="2" s="1"/>
  <c r="O72" i="2"/>
  <c r="P72" i="2" s="1"/>
  <c r="F72" i="2" s="1"/>
  <c r="G72" i="2" s="1"/>
  <c r="O204" i="2"/>
  <c r="P204" i="2" s="1"/>
  <c r="F204" i="2" s="1"/>
  <c r="G204" i="2" s="1"/>
  <c r="O187" i="2"/>
  <c r="P187" i="2" s="1"/>
  <c r="F187" i="2" s="1"/>
  <c r="G187" i="2" s="1"/>
  <c r="O181" i="2"/>
  <c r="P181" i="2" s="1"/>
  <c r="F181" i="2" s="1"/>
  <c r="G181" i="2" s="1"/>
  <c r="O42" i="2"/>
  <c r="P42" i="2" s="1"/>
  <c r="F42" i="2" s="1"/>
  <c r="G42" i="2" s="1"/>
  <c r="O26" i="2"/>
  <c r="P26" i="2" s="1"/>
  <c r="F26" i="2" s="1"/>
  <c r="G26" i="2" s="1"/>
  <c r="O10" i="2"/>
  <c r="P10" i="2" s="1"/>
  <c r="F10" i="2" s="1"/>
  <c r="G10" i="2" s="1"/>
  <c r="O155" i="2"/>
  <c r="P155" i="2" s="1"/>
  <c r="F155" i="2" s="1"/>
  <c r="G155" i="2" s="1"/>
  <c r="O150" i="2"/>
  <c r="P150" i="2" s="1"/>
  <c r="F150" i="2" s="1"/>
  <c r="G150" i="2" s="1"/>
  <c r="O233" i="2"/>
  <c r="P233" i="2" s="1"/>
  <c r="F233" i="2" s="1"/>
  <c r="G233" i="2" s="1"/>
  <c r="O192" i="2"/>
  <c r="P192" i="2" s="1"/>
  <c r="F192" i="2" s="1"/>
  <c r="G192" i="2" s="1"/>
  <c r="O29" i="2"/>
  <c r="P29" i="2" s="1"/>
  <c r="F29" i="2" s="1"/>
  <c r="G29" i="2" s="1"/>
  <c r="I29" i="2" s="1"/>
  <c r="O13" i="2"/>
  <c r="P13" i="2" s="1"/>
  <c r="F13" i="2" s="1"/>
  <c r="G13" i="2" s="1"/>
  <c r="O50" i="2"/>
  <c r="P50" i="2" s="1"/>
  <c r="F50" i="2" s="1"/>
  <c r="G50" i="2" s="1"/>
  <c r="O101" i="2"/>
  <c r="P101" i="2" s="1"/>
  <c r="F101" i="2" s="1"/>
  <c r="G101" i="2" s="1"/>
  <c r="O96" i="2"/>
  <c r="P96" i="2" s="1"/>
  <c r="F96" i="2" s="1"/>
  <c r="G96" i="2" s="1"/>
  <c r="O91" i="2"/>
  <c r="P91" i="2" s="1"/>
  <c r="F91" i="2" s="1"/>
  <c r="G91" i="2" s="1"/>
  <c r="O227" i="2"/>
  <c r="P227" i="2" s="1"/>
  <c r="F227" i="2" s="1"/>
  <c r="G227" i="2" s="1"/>
  <c r="O221" i="2"/>
  <c r="P221" i="2" s="1"/>
  <c r="F221" i="2" s="1"/>
  <c r="G221" i="2" s="1"/>
  <c r="O180" i="2"/>
  <c r="P180" i="2" s="1"/>
  <c r="F180" i="2" s="1"/>
  <c r="G180" i="2" s="1"/>
  <c r="O45" i="2"/>
  <c r="P45" i="2" s="1"/>
  <c r="F45" i="2" s="1"/>
  <c r="G45" i="2" s="1"/>
  <c r="O32" i="2"/>
  <c r="P32" i="2" s="1"/>
  <c r="F32" i="2" s="1"/>
  <c r="G32" i="2" s="1"/>
  <c r="I32" i="2" s="1"/>
  <c r="O16" i="2"/>
  <c r="P16" i="2" s="1"/>
  <c r="F16" i="2" s="1"/>
  <c r="G16" i="2" s="1"/>
  <c r="O59" i="2"/>
  <c r="P59" i="2" s="1"/>
  <c r="F59" i="2" s="1"/>
  <c r="G59" i="2" s="1"/>
  <c r="O53" i="2"/>
  <c r="P53" i="2" s="1"/>
  <c r="F53" i="2" s="1"/>
  <c r="G53" i="2" s="1"/>
  <c r="O86" i="2"/>
  <c r="P86" i="2" s="1"/>
  <c r="F86" i="2" s="1"/>
  <c r="G86" i="2" s="1"/>
  <c r="O81" i="2"/>
  <c r="P81" i="2" s="1"/>
  <c r="F81" i="2" s="1"/>
  <c r="G81" i="2" s="1"/>
  <c r="O76" i="2"/>
  <c r="P76" i="2" s="1"/>
  <c r="F76" i="2" s="1"/>
  <c r="G76" i="2" s="1"/>
  <c r="O71" i="2"/>
  <c r="P71" i="2" s="1"/>
  <c r="F71" i="2" s="1"/>
  <c r="G71" i="2" s="1"/>
  <c r="O143" i="2"/>
  <c r="P143" i="2" s="1"/>
  <c r="F143" i="2" s="1"/>
  <c r="G143" i="2" s="1"/>
  <c r="O232" i="2"/>
  <c r="P232" i="2" s="1"/>
  <c r="F232" i="2" s="1"/>
  <c r="O215" i="2"/>
  <c r="P215" i="2" s="1"/>
  <c r="F215" i="2" s="1"/>
  <c r="G215" i="2" s="1"/>
  <c r="O209" i="2"/>
  <c r="P209" i="2" s="1"/>
  <c r="F209" i="2" s="1"/>
  <c r="G209" i="2" s="1"/>
  <c r="O220" i="2"/>
  <c r="P220" i="2" s="1"/>
  <c r="F220" i="2" s="1"/>
  <c r="G220" i="2" s="1"/>
  <c r="O203" i="2"/>
  <c r="P203" i="2" s="1"/>
  <c r="F203" i="2" s="1"/>
  <c r="G203" i="2" s="1"/>
  <c r="O197" i="2"/>
  <c r="P197" i="2" s="1"/>
  <c r="F197" i="2" s="1"/>
  <c r="G197" i="2" s="1"/>
  <c r="O208" i="2"/>
  <c r="P208" i="2" s="1"/>
  <c r="F208" i="2" s="1"/>
  <c r="G208" i="2" s="1"/>
  <c r="O191" i="2"/>
  <c r="P191" i="2" s="1"/>
  <c r="F191" i="2" s="1"/>
  <c r="G191" i="2" s="1"/>
  <c r="O185" i="2"/>
  <c r="P185" i="2" s="1"/>
  <c r="F185" i="2" s="1"/>
  <c r="G185" i="2" s="1"/>
  <c r="O196" i="2"/>
  <c r="P196" i="2" s="1"/>
  <c r="F196" i="2" s="1"/>
  <c r="G196" i="2" s="1"/>
  <c r="O179" i="2"/>
  <c r="P179" i="2" s="1"/>
  <c r="F179" i="2" s="1"/>
  <c r="G179" i="2" s="1"/>
  <c r="O90" i="2"/>
  <c r="P90" i="2" s="1"/>
  <c r="F90" i="2" s="1"/>
  <c r="G90" i="2" s="1"/>
  <c r="O75" i="2"/>
  <c r="P75" i="2" s="1"/>
  <c r="F75" i="2" s="1"/>
  <c r="G75" i="2" s="1"/>
  <c r="O25" i="2"/>
  <c r="P25" i="2" s="1"/>
  <c r="F25" i="2" s="1"/>
  <c r="G25" i="2" s="1"/>
  <c r="O9" i="2"/>
  <c r="P9" i="2" s="1"/>
  <c r="F9" i="2" s="1"/>
  <c r="G9" i="2" s="1"/>
  <c r="O70" i="2"/>
  <c r="P70" i="2" s="1"/>
  <c r="F70" i="2" s="1"/>
  <c r="G70" i="2" s="1"/>
  <c r="O231" i="2"/>
  <c r="P231" i="2" s="1"/>
  <c r="F231" i="2" s="1"/>
  <c r="G231" i="2" s="1"/>
  <c r="O225" i="2"/>
  <c r="P225" i="2" s="1"/>
  <c r="F225" i="2" s="1"/>
  <c r="G225" i="2" s="1"/>
  <c r="O184" i="2"/>
  <c r="P184" i="2" s="1"/>
  <c r="F184" i="2" s="1"/>
  <c r="G184" i="2" s="1"/>
  <c r="O80" i="2"/>
  <c r="P80" i="2" s="1"/>
  <c r="F80" i="2" s="1"/>
  <c r="G80" i="2" s="1"/>
  <c r="O41" i="2"/>
  <c r="P41" i="2" s="1"/>
  <c r="F41" i="2" s="1"/>
  <c r="G41" i="2" s="1"/>
  <c r="O44" i="2"/>
  <c r="P44" i="2" s="1"/>
  <c r="F44" i="2" s="1"/>
  <c r="G44" i="2" s="1"/>
  <c r="O31" i="2"/>
  <c r="P31" i="2" s="1"/>
  <c r="F31" i="2" s="1"/>
  <c r="G31" i="2" s="1"/>
  <c r="I31" i="2" s="1"/>
  <c r="O28" i="2"/>
  <c r="P28" i="2" s="1"/>
  <c r="F28" i="2" s="1"/>
  <c r="G28" i="2" s="1"/>
  <c r="I28" i="2" s="1"/>
  <c r="O15" i="2"/>
  <c r="P15" i="2" s="1"/>
  <c r="F15" i="2" s="1"/>
  <c r="G15" i="2" s="1"/>
  <c r="O12" i="2"/>
  <c r="P12" i="2" s="1"/>
  <c r="F12" i="2" s="1"/>
  <c r="G12" i="2" s="1"/>
  <c r="O52" i="2"/>
  <c r="P52" i="2" s="1"/>
  <c r="F52" i="2" s="1"/>
  <c r="G52" i="2" s="1"/>
  <c r="O104" i="2"/>
  <c r="P104" i="2" s="1"/>
  <c r="F104" i="2" s="1"/>
  <c r="G104" i="2" s="1"/>
  <c r="O99" i="2"/>
  <c r="P99" i="2" s="1"/>
  <c r="F99" i="2" s="1"/>
  <c r="G99" i="2" s="1"/>
  <c r="O153" i="2"/>
  <c r="P153" i="2" s="1"/>
  <c r="F153" i="2" s="1"/>
  <c r="G153" i="2" s="1"/>
  <c r="O147" i="2"/>
  <c r="P147" i="2" s="1"/>
  <c r="F147" i="2" s="1"/>
  <c r="G147" i="2" s="1"/>
  <c r="O219" i="2"/>
  <c r="P219" i="2" s="1"/>
  <c r="F219" i="2" s="1"/>
  <c r="G219" i="2" s="1"/>
  <c r="O213" i="2"/>
  <c r="P213" i="2" s="1"/>
  <c r="F213" i="2" s="1"/>
  <c r="G213" i="2" s="1"/>
  <c r="O154" i="2"/>
  <c r="P154" i="2" s="1"/>
  <c r="F154" i="2" s="1"/>
  <c r="G154" i="2" s="1"/>
  <c r="O85" i="2"/>
  <c r="P85" i="2" s="1"/>
  <c r="F85" i="2" s="1"/>
  <c r="G85" i="2" s="1"/>
  <c r="O34" i="2"/>
  <c r="P34" i="2" s="1"/>
  <c r="F34" i="2" s="1"/>
  <c r="G34" i="2" s="1"/>
  <c r="O18" i="2"/>
  <c r="P18" i="2" s="1"/>
  <c r="F18" i="2" s="1"/>
  <c r="G18" i="2" s="1"/>
  <c r="O58" i="2"/>
  <c r="P58" i="2" s="1"/>
  <c r="F58" i="2" s="1"/>
  <c r="G58" i="2" s="1"/>
  <c r="O94" i="2"/>
  <c r="P94" i="2" s="1"/>
  <c r="F94" i="2" s="1"/>
  <c r="G94" i="2" s="1"/>
  <c r="O89" i="2"/>
  <c r="P89" i="2" s="1"/>
  <c r="F89" i="2" s="1"/>
  <c r="G89" i="2" s="1"/>
  <c r="O84" i="2"/>
  <c r="P84" i="2" s="1"/>
  <c r="F84" i="2" s="1"/>
  <c r="G84" i="2" s="1"/>
  <c r="O79" i="2"/>
  <c r="P79" i="2" s="1"/>
  <c r="F79" i="2" s="1"/>
  <c r="G79" i="2" s="1"/>
  <c r="O224" i="2"/>
  <c r="P224" i="2" s="1"/>
  <c r="F224" i="2" s="1"/>
  <c r="G224" i="2" s="1"/>
  <c r="O207" i="2"/>
  <c r="P207" i="2" s="1"/>
  <c r="F207" i="2" s="1"/>
  <c r="G207" i="2" s="1"/>
  <c r="O201" i="2"/>
  <c r="P201" i="2" s="1"/>
  <c r="F201" i="2" s="1"/>
  <c r="G201" i="2" s="1"/>
  <c r="N185" i="1"/>
  <c r="Q185" i="1" s="1"/>
  <c r="N184" i="1"/>
  <c r="Q184" i="1" s="1"/>
  <c r="N178" i="1"/>
  <c r="Q178" i="1" s="1"/>
  <c r="N176" i="1"/>
  <c r="Q176" i="1" s="1"/>
  <c r="N175" i="1"/>
  <c r="Q175" i="1" s="1"/>
  <c r="N174" i="1"/>
  <c r="Q174" i="1" s="1"/>
  <c r="N172" i="1"/>
  <c r="Q172" i="1" s="1"/>
  <c r="N167" i="1"/>
  <c r="Q167" i="1" s="1"/>
  <c r="N155" i="1"/>
  <c r="Q155" i="1" s="1"/>
  <c r="N153" i="1"/>
  <c r="Q153" i="1" s="1"/>
  <c r="N151" i="1"/>
  <c r="Q151" i="1" s="1"/>
  <c r="N149" i="1"/>
  <c r="Q149" i="1" s="1"/>
  <c r="N148" i="1"/>
  <c r="Q148" i="1" s="1"/>
  <c r="N145" i="1"/>
  <c r="Q145" i="1" s="1"/>
  <c r="N144" i="1"/>
  <c r="Q144" i="1" s="1"/>
  <c r="N127" i="1"/>
  <c r="Q127" i="1" s="1"/>
  <c r="N126" i="1"/>
  <c r="Q126" i="1" s="1"/>
  <c r="N125" i="1"/>
  <c r="Q125" i="1" s="1"/>
  <c r="N124" i="1"/>
  <c r="Q124" i="1" s="1"/>
  <c r="N123" i="1"/>
  <c r="Q123" i="1" s="1"/>
  <c r="Q390" i="1" l="1"/>
  <c r="G73" i="2"/>
  <c r="G105" i="2" s="1"/>
  <c r="I73" i="2"/>
  <c r="G232" i="2"/>
  <c r="I232" i="2"/>
  <c r="G222" i="2"/>
  <c r="I222" i="2"/>
  <c r="G46" i="2"/>
  <c r="G157" i="2"/>
  <c r="G66" i="2"/>
  <c r="S8" i="3"/>
  <c r="V8" i="3" s="1"/>
  <c r="V168" i="3" s="1"/>
  <c r="Q170" i="3" s="1"/>
  <c r="G235" i="2" l="1"/>
  <c r="K287" i="2"/>
  <c r="G285" i="2"/>
  <c r="R104" i="4"/>
  <c r="S104" i="4" s="1"/>
  <c r="G104" i="4" s="1"/>
  <c r="H104" i="4" s="1"/>
  <c r="N104" i="4"/>
  <c r="E104" i="4" s="1"/>
  <c r="M104" i="4"/>
  <c r="S102" i="4"/>
  <c r="G102" i="4" s="1"/>
  <c r="H102" i="4" s="1"/>
  <c r="R102" i="4"/>
  <c r="M102" i="4"/>
  <c r="N102" i="4" s="1"/>
  <c r="E102" i="4" s="1"/>
  <c r="R100" i="4"/>
  <c r="S100" i="4" s="1"/>
  <c r="G100" i="4" s="1"/>
  <c r="H100" i="4" s="1"/>
  <c r="N100" i="4"/>
  <c r="E100" i="4" s="1"/>
  <c r="M100" i="4"/>
  <c r="S98" i="4"/>
  <c r="G98" i="4" s="1"/>
  <c r="H98" i="4" s="1"/>
  <c r="R98" i="4"/>
  <c r="M98" i="4"/>
  <c r="N98" i="4" s="1"/>
  <c r="E98" i="4" s="1"/>
  <c r="R96" i="4"/>
  <c r="S96" i="4" s="1"/>
  <c r="G96" i="4" s="1"/>
  <c r="H96" i="4" s="1"/>
  <c r="N96" i="4"/>
  <c r="E96" i="4" s="1"/>
  <c r="M96" i="4"/>
  <c r="S94" i="4"/>
  <c r="G94" i="4" s="1"/>
  <c r="H94" i="4" s="1"/>
  <c r="R94" i="4"/>
  <c r="M94" i="4"/>
  <c r="N94" i="4" s="1"/>
  <c r="E94" i="4" s="1"/>
  <c r="R92" i="4"/>
  <c r="S92" i="4" s="1"/>
  <c r="G92" i="4" s="1"/>
  <c r="H92" i="4" s="1"/>
  <c r="N92" i="4"/>
  <c r="E92" i="4" s="1"/>
  <c r="M92" i="4"/>
  <c r="S90" i="4"/>
  <c r="G90" i="4" s="1"/>
  <c r="H90" i="4" s="1"/>
  <c r="R90" i="4"/>
  <c r="M90" i="4"/>
  <c r="N90" i="4" s="1"/>
  <c r="E90" i="4" s="1"/>
  <c r="R88" i="4"/>
  <c r="S88" i="4" s="1"/>
  <c r="G88" i="4" s="1"/>
  <c r="H88" i="4" s="1"/>
  <c r="N88" i="4"/>
  <c r="E88" i="4" s="1"/>
  <c r="M88" i="4"/>
  <c r="S86" i="4"/>
  <c r="G86" i="4" s="1"/>
  <c r="H86" i="4" s="1"/>
  <c r="R86" i="4"/>
  <c r="M86" i="4"/>
  <c r="N86" i="4" s="1"/>
  <c r="E86" i="4" s="1"/>
  <c r="S84" i="4"/>
  <c r="G84" i="4" s="1"/>
  <c r="H84" i="4" s="1"/>
  <c r="R84" i="4"/>
  <c r="N84" i="4"/>
  <c r="E84" i="4" s="1"/>
  <c r="M84" i="4"/>
  <c r="S83" i="4"/>
  <c r="G83" i="4" s="1"/>
  <c r="H83" i="4" s="1"/>
  <c r="R83" i="4"/>
  <c r="M83" i="4"/>
  <c r="N83" i="4" s="1"/>
  <c r="E83" i="4" s="1"/>
  <c r="R79" i="4"/>
  <c r="S79" i="4" s="1"/>
  <c r="G79" i="4" s="1"/>
  <c r="H79" i="4" s="1"/>
  <c r="N79" i="4"/>
  <c r="E79" i="4" s="1"/>
  <c r="M79" i="4"/>
  <c r="S78" i="4"/>
  <c r="G78" i="4" s="1"/>
  <c r="H78" i="4" s="1"/>
  <c r="R78" i="4"/>
  <c r="N78" i="4"/>
  <c r="E78" i="4" s="1"/>
  <c r="M78" i="4"/>
  <c r="S67" i="4"/>
  <c r="G67" i="4" s="1"/>
  <c r="H67" i="4" s="1"/>
  <c r="R67" i="4"/>
  <c r="N67" i="4"/>
  <c r="E67" i="4" s="1"/>
  <c r="M67" i="4"/>
  <c r="S66" i="4"/>
  <c r="G66" i="4" s="1"/>
  <c r="H66" i="4" s="1"/>
  <c r="R66" i="4"/>
  <c r="M66" i="4"/>
  <c r="N66" i="4" s="1"/>
  <c r="E66" i="4" s="1"/>
  <c r="R63" i="4"/>
  <c r="S63" i="4" s="1"/>
  <c r="G63" i="4" s="1"/>
  <c r="H63" i="4" s="1"/>
  <c r="N63" i="4"/>
  <c r="E63" i="4" s="1"/>
  <c r="M63" i="4"/>
  <c r="S52" i="4"/>
  <c r="G52" i="4" s="1"/>
  <c r="H52" i="4" s="1"/>
  <c r="R52" i="4"/>
  <c r="N52" i="4"/>
  <c r="E52" i="4" s="1"/>
  <c r="M52" i="4"/>
  <c r="S61" i="4"/>
  <c r="G61" i="4" s="1"/>
  <c r="H61" i="4" s="1"/>
  <c r="R61" i="4"/>
  <c r="N61" i="4"/>
  <c r="E61" i="4" s="1"/>
  <c r="M61" i="4"/>
  <c r="S60" i="4"/>
  <c r="G60" i="4" s="1"/>
  <c r="H60" i="4" s="1"/>
  <c r="R60" i="4"/>
  <c r="M60" i="4"/>
  <c r="N60" i="4" s="1"/>
  <c r="E60" i="4" s="1"/>
  <c r="R59" i="4"/>
  <c r="S59" i="4" s="1"/>
  <c r="G59" i="4" s="1"/>
  <c r="H59" i="4" s="1"/>
  <c r="N59" i="4"/>
  <c r="E59" i="4" s="1"/>
  <c r="M59" i="4"/>
  <c r="S58" i="4"/>
  <c r="G58" i="4" s="1"/>
  <c r="H58" i="4" s="1"/>
  <c r="R58" i="4"/>
  <c r="N58" i="4"/>
  <c r="E58" i="4" s="1"/>
  <c r="M58" i="4"/>
  <c r="S57" i="4"/>
  <c r="G57" i="4" s="1"/>
  <c r="H57" i="4" s="1"/>
  <c r="R57" i="4"/>
  <c r="N57" i="4"/>
  <c r="E57" i="4" s="1"/>
  <c r="M57" i="4"/>
  <c r="S56" i="4"/>
  <c r="G56" i="4" s="1"/>
  <c r="H56" i="4" s="1"/>
  <c r="R56" i="4"/>
  <c r="M56" i="4"/>
  <c r="N56" i="4" s="1"/>
  <c r="E56" i="4" s="1"/>
  <c r="R55" i="4"/>
  <c r="S55" i="4" s="1"/>
  <c r="G55" i="4" s="1"/>
  <c r="H55" i="4" s="1"/>
  <c r="N55" i="4"/>
  <c r="E55" i="4" s="1"/>
  <c r="M55" i="4"/>
  <c r="S54" i="4"/>
  <c r="G54" i="4" s="1"/>
  <c r="H54" i="4" s="1"/>
  <c r="R54" i="4"/>
  <c r="N54" i="4"/>
  <c r="E54" i="4" s="1"/>
  <c r="M54" i="4"/>
  <c r="S47" i="4"/>
  <c r="G47" i="4" s="1"/>
  <c r="H47" i="4" s="1"/>
  <c r="R47" i="4"/>
  <c r="N47" i="4"/>
  <c r="E47" i="4" s="1"/>
  <c r="M47" i="4"/>
  <c r="S46" i="4"/>
  <c r="G46" i="4" s="1"/>
  <c r="H46" i="4" s="1"/>
  <c r="R46" i="4"/>
  <c r="M46" i="4"/>
  <c r="N46" i="4" s="1"/>
  <c r="E46" i="4" s="1"/>
  <c r="R42" i="4"/>
  <c r="S42" i="4" s="1"/>
  <c r="G42" i="4" s="1"/>
  <c r="H42" i="4" s="1"/>
  <c r="N42" i="4"/>
  <c r="E42" i="4" s="1"/>
  <c r="M42" i="4"/>
  <c r="S39" i="4"/>
  <c r="G39" i="4" s="1"/>
  <c r="H39" i="4" s="1"/>
  <c r="R39" i="4"/>
  <c r="N39" i="4"/>
  <c r="E39" i="4" s="1"/>
  <c r="M39" i="4"/>
  <c r="S37" i="4"/>
  <c r="G37" i="4" s="1"/>
  <c r="H37" i="4" s="1"/>
  <c r="R37" i="4"/>
  <c r="N37" i="4"/>
  <c r="E37" i="4" s="1"/>
  <c r="M37" i="4"/>
  <c r="S36" i="4"/>
  <c r="G36" i="4" s="1"/>
  <c r="H36" i="4" s="1"/>
  <c r="R36" i="4"/>
  <c r="M36" i="4"/>
  <c r="N36" i="4" s="1"/>
  <c r="E36" i="4" s="1"/>
  <c r="R35" i="4"/>
  <c r="S35" i="4" s="1"/>
  <c r="G35" i="4" s="1"/>
  <c r="H35" i="4" s="1"/>
  <c r="N35" i="4"/>
  <c r="E35" i="4" s="1"/>
  <c r="M35" i="4"/>
  <c r="S34" i="4"/>
  <c r="G34" i="4" s="1"/>
  <c r="H34" i="4" s="1"/>
  <c r="R34" i="4"/>
  <c r="N34" i="4"/>
  <c r="E34" i="4" s="1"/>
  <c r="M34" i="4"/>
  <c r="S33" i="4"/>
  <c r="G33" i="4" s="1"/>
  <c r="H33" i="4" s="1"/>
  <c r="R33" i="4"/>
  <c r="N33" i="4"/>
  <c r="E33" i="4" s="1"/>
  <c r="M33" i="4"/>
  <c r="S31" i="4"/>
  <c r="G31" i="4" s="1"/>
  <c r="H31" i="4" s="1"/>
  <c r="R31" i="4"/>
  <c r="M31" i="4"/>
  <c r="N31" i="4" s="1"/>
  <c r="E31" i="4" s="1"/>
  <c r="R30" i="4"/>
  <c r="S30" i="4" s="1"/>
  <c r="G30" i="4" s="1"/>
  <c r="H30" i="4" s="1"/>
  <c r="N30" i="4"/>
  <c r="E30" i="4" s="1"/>
  <c r="M30" i="4"/>
  <c r="S29" i="4"/>
  <c r="G29" i="4" s="1"/>
  <c r="H29" i="4" s="1"/>
  <c r="R29" i="4"/>
  <c r="N29" i="4"/>
  <c r="E29" i="4" s="1"/>
  <c r="M29" i="4"/>
  <c r="S27" i="4"/>
  <c r="G27" i="4" s="1"/>
  <c r="H27" i="4" s="1"/>
  <c r="R27" i="4"/>
  <c r="N27" i="4"/>
  <c r="E27" i="4" s="1"/>
  <c r="M27" i="4"/>
  <c r="S23" i="4"/>
  <c r="G23" i="4" s="1"/>
  <c r="H23" i="4" s="1"/>
  <c r="R23" i="4"/>
  <c r="M23" i="4"/>
  <c r="N23" i="4" s="1"/>
  <c r="E23" i="4" s="1"/>
  <c r="R21" i="4"/>
  <c r="S21" i="4" s="1"/>
  <c r="G21" i="4" s="1"/>
  <c r="H21" i="4" s="1"/>
  <c r="N21" i="4"/>
  <c r="E21" i="4" s="1"/>
  <c r="M21" i="4"/>
  <c r="S20" i="4"/>
  <c r="G20" i="4" s="1"/>
  <c r="H20" i="4" s="1"/>
  <c r="R20" i="4"/>
  <c r="N20" i="4"/>
  <c r="E20" i="4" s="1"/>
  <c r="M20" i="4"/>
  <c r="S19" i="4"/>
  <c r="G19" i="4" s="1"/>
  <c r="H19" i="4" s="1"/>
  <c r="R19" i="4"/>
  <c r="N19" i="4"/>
  <c r="E19" i="4" s="1"/>
  <c r="M19" i="4"/>
  <c r="G18" i="4"/>
  <c r="E18" i="4"/>
  <c r="R18" i="4"/>
  <c r="S18" i="4" s="1"/>
  <c r="M18" i="4"/>
  <c r="N18" i="4" s="1"/>
  <c r="R7" i="4"/>
  <c r="S7" i="4" s="1"/>
  <c r="G7" i="4" s="1"/>
  <c r="H7" i="4" s="1"/>
  <c r="M7" i="4"/>
  <c r="N7" i="4" s="1"/>
  <c r="E7" i="4" s="1"/>
  <c r="R6" i="4"/>
  <c r="S6" i="4" s="1"/>
  <c r="G6" i="4" s="1"/>
  <c r="H6" i="4" s="1"/>
  <c r="M6" i="4"/>
  <c r="N6" i="4" s="1"/>
  <c r="E6" i="4" s="1"/>
  <c r="G5" i="4"/>
  <c r="E5" i="4"/>
  <c r="R5" i="4"/>
  <c r="S5" i="4" s="1"/>
  <c r="M5" i="4"/>
  <c r="N5" i="4" s="1"/>
  <c r="T162" i="3"/>
  <c r="U162" i="3" s="1"/>
  <c r="G162" i="3" s="1"/>
  <c r="H162" i="3" s="1"/>
  <c r="O162" i="3"/>
  <c r="P162" i="3" s="1"/>
  <c r="E162" i="3" s="1"/>
  <c r="T160" i="3"/>
  <c r="U160" i="3" s="1"/>
  <c r="G160" i="3" s="1"/>
  <c r="H160" i="3" s="1"/>
  <c r="O160" i="3"/>
  <c r="P160" i="3" s="1"/>
  <c r="E160" i="3" s="1"/>
  <c r="F160" i="3" s="1"/>
  <c r="T158" i="3"/>
  <c r="U158" i="3" s="1"/>
  <c r="G158" i="3" s="1"/>
  <c r="H158" i="3" s="1"/>
  <c r="O158" i="3"/>
  <c r="P158" i="3" s="1"/>
  <c r="E158" i="3" s="1"/>
  <c r="T156" i="3"/>
  <c r="U156" i="3" s="1"/>
  <c r="G156" i="3" s="1"/>
  <c r="H156" i="3" s="1"/>
  <c r="O156" i="3"/>
  <c r="P156" i="3" s="1"/>
  <c r="E156" i="3" s="1"/>
  <c r="T155" i="3"/>
  <c r="U155" i="3" s="1"/>
  <c r="G155" i="3" s="1"/>
  <c r="H155" i="3" s="1"/>
  <c r="O155" i="3"/>
  <c r="P155" i="3" s="1"/>
  <c r="E155" i="3" s="1"/>
  <c r="T153" i="3"/>
  <c r="U153" i="3" s="1"/>
  <c r="G153" i="3" s="1"/>
  <c r="H153" i="3" s="1"/>
  <c r="O153" i="3"/>
  <c r="P153" i="3" s="1"/>
  <c r="E153" i="3" s="1"/>
  <c r="F153" i="3" s="1"/>
  <c r="T150" i="3"/>
  <c r="U150" i="3" s="1"/>
  <c r="G150" i="3" s="1"/>
  <c r="H150" i="3" s="1"/>
  <c r="O150" i="3"/>
  <c r="P150" i="3" s="1"/>
  <c r="E150" i="3" s="1"/>
  <c r="T148" i="3"/>
  <c r="U148" i="3" s="1"/>
  <c r="G148" i="3" s="1"/>
  <c r="H148" i="3" s="1"/>
  <c r="O148" i="3"/>
  <c r="P148" i="3" s="1"/>
  <c r="E148" i="3" s="1"/>
  <c r="T147" i="3"/>
  <c r="U147" i="3" s="1"/>
  <c r="G147" i="3" s="1"/>
  <c r="H147" i="3" s="1"/>
  <c r="O147" i="3"/>
  <c r="P147" i="3" s="1"/>
  <c r="E147" i="3" s="1"/>
  <c r="T146" i="3"/>
  <c r="U146" i="3" s="1"/>
  <c r="G146" i="3" s="1"/>
  <c r="H146" i="3" s="1"/>
  <c r="O146" i="3"/>
  <c r="P146" i="3" s="1"/>
  <c r="E146" i="3" s="1"/>
  <c r="F146" i="3" s="1"/>
  <c r="T144" i="3"/>
  <c r="U144" i="3" s="1"/>
  <c r="G144" i="3" s="1"/>
  <c r="H144" i="3" s="1"/>
  <c r="O144" i="3"/>
  <c r="P144" i="3" s="1"/>
  <c r="E144" i="3" s="1"/>
  <c r="T142" i="3"/>
  <c r="U142" i="3" s="1"/>
  <c r="G142" i="3" s="1"/>
  <c r="H142" i="3" s="1"/>
  <c r="O142" i="3"/>
  <c r="P142" i="3" s="1"/>
  <c r="E142" i="3" s="1"/>
  <c r="T140" i="3"/>
  <c r="U140" i="3" s="1"/>
  <c r="G140" i="3" s="1"/>
  <c r="H140" i="3" s="1"/>
  <c r="O140" i="3"/>
  <c r="P140" i="3" s="1"/>
  <c r="E140" i="3" s="1"/>
  <c r="T139" i="3"/>
  <c r="U139" i="3" s="1"/>
  <c r="G139" i="3" s="1"/>
  <c r="H139" i="3" s="1"/>
  <c r="O139" i="3"/>
  <c r="P139" i="3" s="1"/>
  <c r="E139" i="3" s="1"/>
  <c r="F139" i="3" s="1"/>
  <c r="T138" i="3"/>
  <c r="U138" i="3" s="1"/>
  <c r="G138" i="3" s="1"/>
  <c r="H138" i="3" s="1"/>
  <c r="O138" i="3"/>
  <c r="P138" i="3" s="1"/>
  <c r="E138" i="3" s="1"/>
  <c r="T136" i="3"/>
  <c r="U136" i="3" s="1"/>
  <c r="G136" i="3" s="1"/>
  <c r="H136" i="3" s="1"/>
  <c r="O136" i="3"/>
  <c r="P136" i="3" s="1"/>
  <c r="E136" i="3" s="1"/>
  <c r="T134" i="3"/>
  <c r="U134" i="3" s="1"/>
  <c r="G134" i="3" s="1"/>
  <c r="H134" i="3" s="1"/>
  <c r="O134" i="3"/>
  <c r="P134" i="3" s="1"/>
  <c r="E134" i="3" s="1"/>
  <c r="T132" i="3"/>
  <c r="U132" i="3" s="1"/>
  <c r="G132" i="3" s="1"/>
  <c r="H132" i="3" s="1"/>
  <c r="O132" i="3"/>
  <c r="P132" i="3" s="1"/>
  <c r="E132" i="3" s="1"/>
  <c r="T131" i="3"/>
  <c r="U131" i="3" s="1"/>
  <c r="G131" i="3" s="1"/>
  <c r="H131" i="3" s="1"/>
  <c r="O131" i="3"/>
  <c r="P131" i="3" s="1"/>
  <c r="E131" i="3" s="1"/>
  <c r="T130" i="3"/>
  <c r="U130" i="3" s="1"/>
  <c r="G130" i="3" s="1"/>
  <c r="H130" i="3" s="1"/>
  <c r="O130" i="3"/>
  <c r="P130" i="3" s="1"/>
  <c r="E130" i="3" s="1"/>
  <c r="F130" i="3" s="1"/>
  <c r="T128" i="3"/>
  <c r="U128" i="3" s="1"/>
  <c r="G128" i="3" s="1"/>
  <c r="H128" i="3" s="1"/>
  <c r="O128" i="3"/>
  <c r="P128" i="3" s="1"/>
  <c r="E128" i="3" s="1"/>
  <c r="T126" i="3"/>
  <c r="U126" i="3" s="1"/>
  <c r="G126" i="3" s="1"/>
  <c r="H126" i="3" s="1"/>
  <c r="O126" i="3"/>
  <c r="P126" i="3" s="1"/>
  <c r="E126" i="3" s="1"/>
  <c r="T124" i="3"/>
  <c r="U124" i="3" s="1"/>
  <c r="G124" i="3" s="1"/>
  <c r="H124" i="3" s="1"/>
  <c r="O124" i="3"/>
  <c r="P124" i="3" s="1"/>
  <c r="E124" i="3" s="1"/>
  <c r="U114" i="3"/>
  <c r="G114" i="3" s="1"/>
  <c r="H114" i="3" s="1"/>
  <c r="O114" i="3"/>
  <c r="P114" i="3" s="1"/>
  <c r="E114" i="3" s="1"/>
  <c r="T113" i="3"/>
  <c r="U113" i="3" s="1"/>
  <c r="G113" i="3" s="1"/>
  <c r="H113" i="3" s="1"/>
  <c r="O113" i="3"/>
  <c r="P113" i="3" s="1"/>
  <c r="E113" i="3" s="1"/>
  <c r="U107" i="3"/>
  <c r="G107" i="3" s="1"/>
  <c r="H107" i="3" s="1"/>
  <c r="O107" i="3"/>
  <c r="P107" i="3" s="1"/>
  <c r="E107" i="3" s="1"/>
  <c r="U106" i="3"/>
  <c r="G106" i="3" s="1"/>
  <c r="H106" i="3" s="1"/>
  <c r="O106" i="3"/>
  <c r="P106" i="3" s="1"/>
  <c r="E106" i="3" s="1"/>
  <c r="U105" i="3"/>
  <c r="G105" i="3" s="1"/>
  <c r="H105" i="3" s="1"/>
  <c r="O105" i="3"/>
  <c r="P105" i="3" s="1"/>
  <c r="E105" i="3" s="1"/>
  <c r="F105" i="3" s="1"/>
  <c r="T104" i="3"/>
  <c r="U104" i="3" s="1"/>
  <c r="G104" i="3" s="1"/>
  <c r="H104" i="3" s="1"/>
  <c r="O104" i="3"/>
  <c r="P104" i="3" s="1"/>
  <c r="E104" i="3" s="1"/>
  <c r="T103" i="3"/>
  <c r="U103" i="3" s="1"/>
  <c r="G103" i="3" s="1"/>
  <c r="H103" i="3" s="1"/>
  <c r="O103" i="3"/>
  <c r="P103" i="3" s="1"/>
  <c r="E103" i="3" s="1"/>
  <c r="T102" i="3"/>
  <c r="U102" i="3" s="1"/>
  <c r="G102" i="3" s="1"/>
  <c r="H102" i="3" s="1"/>
  <c r="O102" i="3"/>
  <c r="P102" i="3" s="1"/>
  <c r="E102" i="3" s="1"/>
  <c r="T101" i="3"/>
  <c r="U101" i="3" s="1"/>
  <c r="G101" i="3" s="1"/>
  <c r="H101" i="3" s="1"/>
  <c r="O101" i="3"/>
  <c r="P101" i="3" s="1"/>
  <c r="E101" i="3" s="1"/>
  <c r="T100" i="3"/>
  <c r="U100" i="3" s="1"/>
  <c r="G100" i="3" s="1"/>
  <c r="H100" i="3" s="1"/>
  <c r="O100" i="3"/>
  <c r="P100" i="3" s="1"/>
  <c r="E100" i="3" s="1"/>
  <c r="T96" i="3"/>
  <c r="U96" i="3" s="1"/>
  <c r="G96" i="3" s="1"/>
  <c r="H96" i="3" s="1"/>
  <c r="O96" i="3"/>
  <c r="P96" i="3" s="1"/>
  <c r="E96" i="3" s="1"/>
  <c r="T94" i="3"/>
  <c r="U94" i="3" s="1"/>
  <c r="G94" i="3" s="1"/>
  <c r="H94" i="3" s="1"/>
  <c r="O94" i="3"/>
  <c r="P94" i="3" s="1"/>
  <c r="E94" i="3" s="1"/>
  <c r="T92" i="3"/>
  <c r="U92" i="3" s="1"/>
  <c r="G92" i="3" s="1"/>
  <c r="H92" i="3" s="1"/>
  <c r="O92" i="3"/>
  <c r="P92" i="3" s="1"/>
  <c r="E92" i="3" s="1"/>
  <c r="F92" i="3" s="1"/>
  <c r="T91" i="3"/>
  <c r="U91" i="3" s="1"/>
  <c r="G91" i="3" s="1"/>
  <c r="H91" i="3" s="1"/>
  <c r="O91" i="3"/>
  <c r="P91" i="3" s="1"/>
  <c r="E91" i="3" s="1"/>
  <c r="T90" i="3"/>
  <c r="U90" i="3" s="1"/>
  <c r="G90" i="3" s="1"/>
  <c r="H90" i="3" s="1"/>
  <c r="O90" i="3"/>
  <c r="P90" i="3" s="1"/>
  <c r="E90" i="3" s="1"/>
  <c r="T89" i="3"/>
  <c r="U89" i="3" s="1"/>
  <c r="G89" i="3" s="1"/>
  <c r="H89" i="3" s="1"/>
  <c r="O89" i="3"/>
  <c r="P89" i="3" s="1"/>
  <c r="E89" i="3" s="1"/>
  <c r="T87" i="3"/>
  <c r="U87" i="3" s="1"/>
  <c r="G87" i="3" s="1"/>
  <c r="H87" i="3" s="1"/>
  <c r="O87" i="3"/>
  <c r="P87" i="3" s="1"/>
  <c r="E87" i="3" s="1"/>
  <c r="T85" i="3"/>
  <c r="U85" i="3" s="1"/>
  <c r="G85" i="3" s="1"/>
  <c r="H85" i="3" s="1"/>
  <c r="O85" i="3"/>
  <c r="P85" i="3" s="1"/>
  <c r="E85" i="3" s="1"/>
  <c r="T82" i="3"/>
  <c r="U82" i="3" s="1"/>
  <c r="G82" i="3" s="1"/>
  <c r="H82" i="3" s="1"/>
  <c r="O82" i="3"/>
  <c r="P82" i="3" s="1"/>
  <c r="E82" i="3" s="1"/>
  <c r="T81" i="3"/>
  <c r="U81" i="3" s="1"/>
  <c r="G81" i="3" s="1"/>
  <c r="H81" i="3" s="1"/>
  <c r="O81" i="3"/>
  <c r="P81" i="3" s="1"/>
  <c r="E81" i="3" s="1"/>
  <c r="T76" i="3"/>
  <c r="U76" i="3" s="1"/>
  <c r="G76" i="3" s="1"/>
  <c r="H76" i="3" s="1"/>
  <c r="O76" i="3"/>
  <c r="P76" i="3" s="1"/>
  <c r="E76" i="3" s="1"/>
  <c r="F76" i="3" s="1"/>
  <c r="T75" i="3"/>
  <c r="U75" i="3" s="1"/>
  <c r="G75" i="3" s="1"/>
  <c r="H75" i="3" s="1"/>
  <c r="O75" i="3"/>
  <c r="P75" i="3" s="1"/>
  <c r="E75" i="3" s="1"/>
  <c r="T74" i="3"/>
  <c r="U74" i="3" s="1"/>
  <c r="G74" i="3" s="1"/>
  <c r="H74" i="3" s="1"/>
  <c r="O74" i="3"/>
  <c r="P74" i="3" s="1"/>
  <c r="E74" i="3" s="1"/>
  <c r="T73" i="3"/>
  <c r="U73" i="3" s="1"/>
  <c r="G73" i="3" s="1"/>
  <c r="H73" i="3" s="1"/>
  <c r="O73" i="3"/>
  <c r="P73" i="3" s="1"/>
  <c r="E73" i="3" s="1"/>
  <c r="T72" i="3"/>
  <c r="U72" i="3" s="1"/>
  <c r="G72" i="3" s="1"/>
  <c r="H72" i="3" s="1"/>
  <c r="O72" i="3"/>
  <c r="P72" i="3" s="1"/>
  <c r="E72" i="3" s="1"/>
  <c r="T71" i="3"/>
  <c r="U71" i="3" s="1"/>
  <c r="G71" i="3" s="1"/>
  <c r="H71" i="3" s="1"/>
  <c r="O71" i="3"/>
  <c r="P71" i="3" s="1"/>
  <c r="E71" i="3" s="1"/>
  <c r="T70" i="3"/>
  <c r="U70" i="3" s="1"/>
  <c r="G70" i="3" s="1"/>
  <c r="H70" i="3" s="1"/>
  <c r="O70" i="3"/>
  <c r="P70" i="3" s="1"/>
  <c r="E70" i="3" s="1"/>
  <c r="T68" i="3"/>
  <c r="U68" i="3" s="1"/>
  <c r="G68" i="3" s="1"/>
  <c r="H68" i="3" s="1"/>
  <c r="O68" i="3"/>
  <c r="P68" i="3" s="1"/>
  <c r="E68" i="3" s="1"/>
  <c r="T67" i="3"/>
  <c r="U67" i="3" s="1"/>
  <c r="G67" i="3" s="1"/>
  <c r="H67" i="3" s="1"/>
  <c r="O67" i="3"/>
  <c r="P67" i="3" s="1"/>
  <c r="E67" i="3" s="1"/>
  <c r="F67" i="3" s="1"/>
  <c r="T66" i="3"/>
  <c r="U66" i="3" s="1"/>
  <c r="G66" i="3" s="1"/>
  <c r="H66" i="3" s="1"/>
  <c r="O66" i="3"/>
  <c r="P66" i="3" s="1"/>
  <c r="E66" i="3" s="1"/>
  <c r="T65" i="3"/>
  <c r="U65" i="3" s="1"/>
  <c r="G65" i="3" s="1"/>
  <c r="H65" i="3" s="1"/>
  <c r="O65" i="3"/>
  <c r="P65" i="3" s="1"/>
  <c r="E65" i="3" s="1"/>
  <c r="T64" i="3"/>
  <c r="U64" i="3" s="1"/>
  <c r="G64" i="3" s="1"/>
  <c r="H64" i="3" s="1"/>
  <c r="O64" i="3"/>
  <c r="P64" i="3" s="1"/>
  <c r="E64" i="3" s="1"/>
  <c r="T61" i="3"/>
  <c r="U61" i="3" s="1"/>
  <c r="G61" i="3" s="1"/>
  <c r="H61" i="3" s="1"/>
  <c r="O61" i="3"/>
  <c r="P61" i="3" s="1"/>
  <c r="E61" i="3" s="1"/>
  <c r="T60" i="3"/>
  <c r="U60" i="3" s="1"/>
  <c r="G60" i="3" s="1"/>
  <c r="H60" i="3" s="1"/>
  <c r="O60" i="3"/>
  <c r="P60" i="3" s="1"/>
  <c r="E60" i="3" s="1"/>
  <c r="T59" i="3"/>
  <c r="U59" i="3" s="1"/>
  <c r="G59" i="3" s="1"/>
  <c r="H59" i="3" s="1"/>
  <c r="O59" i="3"/>
  <c r="P59" i="3" s="1"/>
  <c r="E59" i="3" s="1"/>
  <c r="F59" i="3" s="1"/>
  <c r="T58" i="3"/>
  <c r="U58" i="3" s="1"/>
  <c r="G58" i="3" s="1"/>
  <c r="H58" i="3" s="1"/>
  <c r="O58" i="3"/>
  <c r="P58" i="3" s="1"/>
  <c r="E58" i="3" s="1"/>
  <c r="F58" i="3" s="1"/>
  <c r="T53" i="3"/>
  <c r="U53" i="3" s="1"/>
  <c r="G53" i="3" s="1"/>
  <c r="H53" i="3" s="1"/>
  <c r="O53" i="3"/>
  <c r="P53" i="3" s="1"/>
  <c r="E53" i="3" s="1"/>
  <c r="F53" i="3" s="1"/>
  <c r="T52" i="3"/>
  <c r="U52" i="3" s="1"/>
  <c r="G52" i="3" s="1"/>
  <c r="H52" i="3" s="1"/>
  <c r="O52" i="3"/>
  <c r="P52" i="3" s="1"/>
  <c r="E52" i="3" s="1"/>
  <c r="T48" i="3"/>
  <c r="U48" i="3" s="1"/>
  <c r="G48" i="3" s="1"/>
  <c r="H48" i="3" s="1"/>
  <c r="O48" i="3"/>
  <c r="P48" i="3" s="1"/>
  <c r="E48" i="3" s="1"/>
  <c r="F48" i="3" s="1"/>
  <c r="T46" i="3"/>
  <c r="U46" i="3" s="1"/>
  <c r="G46" i="3" s="1"/>
  <c r="H46" i="3" s="1"/>
  <c r="O46" i="3"/>
  <c r="P46" i="3" s="1"/>
  <c r="E46" i="3" s="1"/>
  <c r="F46" i="3" s="1"/>
  <c r="T45" i="3"/>
  <c r="U45" i="3" s="1"/>
  <c r="G45" i="3" s="1"/>
  <c r="H45" i="3" s="1"/>
  <c r="O45" i="3"/>
  <c r="P45" i="3" s="1"/>
  <c r="E45" i="3" s="1"/>
  <c r="T44" i="3"/>
  <c r="U44" i="3" s="1"/>
  <c r="G44" i="3" s="1"/>
  <c r="H44" i="3" s="1"/>
  <c r="O44" i="3"/>
  <c r="P44" i="3" s="1"/>
  <c r="E44" i="3" s="1"/>
  <c r="T43" i="3"/>
  <c r="U43" i="3" s="1"/>
  <c r="G43" i="3" s="1"/>
  <c r="H43" i="3" s="1"/>
  <c r="O43" i="3"/>
  <c r="P43" i="3" s="1"/>
  <c r="E43" i="3" s="1"/>
  <c r="F43" i="3" s="1"/>
  <c r="T41" i="3"/>
  <c r="U41" i="3" s="1"/>
  <c r="G41" i="3" s="1"/>
  <c r="H41" i="3" s="1"/>
  <c r="O41" i="3"/>
  <c r="P41" i="3" s="1"/>
  <c r="E41" i="3" s="1"/>
  <c r="T40" i="3"/>
  <c r="U40" i="3" s="1"/>
  <c r="G40" i="3" s="1"/>
  <c r="O40" i="3"/>
  <c r="P40" i="3" s="1"/>
  <c r="E40" i="3" s="1"/>
  <c r="F40" i="3" s="1"/>
  <c r="T38" i="3"/>
  <c r="U38" i="3" s="1"/>
  <c r="G38" i="3" s="1"/>
  <c r="H38" i="3" s="1"/>
  <c r="O38" i="3"/>
  <c r="P38" i="3" s="1"/>
  <c r="E38" i="3" s="1"/>
  <c r="T33" i="3"/>
  <c r="U33" i="3" s="1"/>
  <c r="G33" i="3" s="1"/>
  <c r="H33" i="3" s="1"/>
  <c r="O33" i="3"/>
  <c r="P33" i="3" s="1"/>
  <c r="E33" i="3" s="1"/>
  <c r="T32" i="3"/>
  <c r="U32" i="3" s="1"/>
  <c r="G32" i="3" s="1"/>
  <c r="H32" i="3" s="1"/>
  <c r="O32" i="3"/>
  <c r="P32" i="3" s="1"/>
  <c r="E32" i="3" s="1"/>
  <c r="T31" i="3"/>
  <c r="U31" i="3" s="1"/>
  <c r="G31" i="3" s="1"/>
  <c r="H31" i="3" s="1"/>
  <c r="O31" i="3"/>
  <c r="P31" i="3" s="1"/>
  <c r="E31" i="3" s="1"/>
  <c r="T29" i="3"/>
  <c r="U29" i="3" s="1"/>
  <c r="G29" i="3" s="1"/>
  <c r="H29" i="3" s="1"/>
  <c r="O29" i="3"/>
  <c r="P29" i="3" s="1"/>
  <c r="E29" i="3" s="1"/>
  <c r="T28" i="3"/>
  <c r="U28" i="3" s="1"/>
  <c r="G28" i="3" s="1"/>
  <c r="H28" i="3" s="1"/>
  <c r="O28" i="3"/>
  <c r="P28" i="3" s="1"/>
  <c r="E28" i="3" s="1"/>
  <c r="T27" i="3"/>
  <c r="U27" i="3" s="1"/>
  <c r="G27" i="3" s="1"/>
  <c r="H27" i="3" s="1"/>
  <c r="O27" i="3"/>
  <c r="P27" i="3" s="1"/>
  <c r="E27" i="3" s="1"/>
  <c r="T25" i="3"/>
  <c r="U25" i="3" s="1"/>
  <c r="G25" i="3" s="1"/>
  <c r="H25" i="3" s="1"/>
  <c r="O25" i="3"/>
  <c r="P25" i="3" s="1"/>
  <c r="E25" i="3" s="1"/>
  <c r="T24" i="3"/>
  <c r="U24" i="3" s="1"/>
  <c r="G24" i="3" s="1"/>
  <c r="H24" i="3" s="1"/>
  <c r="O24" i="3"/>
  <c r="P24" i="3" s="1"/>
  <c r="E24" i="3" s="1"/>
  <c r="T18" i="3"/>
  <c r="U18" i="3" s="1"/>
  <c r="G18" i="3" s="1"/>
  <c r="H18" i="3" s="1"/>
  <c r="O18" i="3"/>
  <c r="P18" i="3" s="1"/>
  <c r="E18" i="3" s="1"/>
  <c r="T17" i="3"/>
  <c r="U17" i="3" s="1"/>
  <c r="G17" i="3" s="1"/>
  <c r="H17" i="3" s="1"/>
  <c r="O17" i="3"/>
  <c r="P17" i="3" s="1"/>
  <c r="E17" i="3" s="1"/>
  <c r="T16" i="3"/>
  <c r="U16" i="3" s="1"/>
  <c r="G16" i="3" s="1"/>
  <c r="H16" i="3" s="1"/>
  <c r="O16" i="3"/>
  <c r="P16" i="3" s="1"/>
  <c r="E16" i="3" s="1"/>
  <c r="T12" i="3"/>
  <c r="U12" i="3" s="1"/>
  <c r="G12" i="3" s="1"/>
  <c r="H12" i="3" s="1"/>
  <c r="O12" i="3"/>
  <c r="P12" i="3" s="1"/>
  <c r="E12" i="3" s="1"/>
  <c r="T10" i="3"/>
  <c r="U10" i="3" s="1"/>
  <c r="G10" i="3" s="1"/>
  <c r="H10" i="3" s="1"/>
  <c r="O10" i="3"/>
  <c r="P10" i="3" s="1"/>
  <c r="E10" i="3" s="1"/>
  <c r="T9" i="3"/>
  <c r="U9" i="3" s="1"/>
  <c r="G9" i="3" s="1"/>
  <c r="H9" i="3" s="1"/>
  <c r="O9" i="3"/>
  <c r="P9" i="3" s="1"/>
  <c r="E9" i="3" s="1"/>
  <c r="T8" i="3"/>
  <c r="U8" i="3" s="1"/>
  <c r="G8" i="3" s="1"/>
  <c r="O8" i="3"/>
  <c r="P8" i="3" s="1"/>
  <c r="E8" i="3" s="1"/>
  <c r="T385" i="1"/>
  <c r="U385" i="1" s="1"/>
  <c r="G385" i="1" s="1"/>
  <c r="H385" i="1" s="1"/>
  <c r="O385" i="1"/>
  <c r="P385" i="1" s="1"/>
  <c r="E385" i="1" s="1"/>
  <c r="T383" i="1"/>
  <c r="U383" i="1" s="1"/>
  <c r="G383" i="1" s="1"/>
  <c r="H383" i="1" s="1"/>
  <c r="O383" i="1"/>
  <c r="P383" i="1" s="1"/>
  <c r="E383" i="1" s="1"/>
  <c r="T376" i="1"/>
  <c r="O376" i="1"/>
  <c r="P376" i="1" s="1"/>
  <c r="E376" i="1" s="1"/>
  <c r="T372" i="1"/>
  <c r="U372" i="1" s="1"/>
  <c r="G372" i="1" s="1"/>
  <c r="H372" i="1" s="1"/>
  <c r="O372" i="1"/>
  <c r="P372" i="1" s="1"/>
  <c r="E372" i="1" s="1"/>
  <c r="T371" i="1"/>
  <c r="U371" i="1" s="1"/>
  <c r="G371" i="1" s="1"/>
  <c r="H371" i="1" s="1"/>
  <c r="O371" i="1"/>
  <c r="E371" i="1" s="1"/>
  <c r="T370" i="1"/>
  <c r="U370" i="1" s="1"/>
  <c r="G370" i="1" s="1"/>
  <c r="H370" i="1" s="1"/>
  <c r="O370" i="1"/>
  <c r="P370" i="1" s="1"/>
  <c r="E370" i="1" s="1"/>
  <c r="T369" i="1"/>
  <c r="U369" i="1" s="1"/>
  <c r="G369" i="1" s="1"/>
  <c r="H369" i="1" s="1"/>
  <c r="O369" i="1"/>
  <c r="P369" i="1" s="1"/>
  <c r="E369" i="1" s="1"/>
  <c r="T368" i="1"/>
  <c r="U368" i="1" s="1"/>
  <c r="G368" i="1" s="1"/>
  <c r="H368" i="1" s="1"/>
  <c r="O368" i="1"/>
  <c r="P368" i="1" s="1"/>
  <c r="E368" i="1" s="1"/>
  <c r="T367" i="1"/>
  <c r="U367" i="1" s="1"/>
  <c r="G367" i="1" s="1"/>
  <c r="H367" i="1" s="1"/>
  <c r="O367" i="1"/>
  <c r="P367" i="1" s="1"/>
  <c r="E367" i="1" s="1"/>
  <c r="T366" i="1"/>
  <c r="U366" i="1" s="1"/>
  <c r="G366" i="1" s="1"/>
  <c r="H366" i="1" s="1"/>
  <c r="O366" i="1"/>
  <c r="P366" i="1" s="1"/>
  <c r="E366" i="1" s="1"/>
  <c r="T365" i="1"/>
  <c r="U365" i="1" s="1"/>
  <c r="G365" i="1" s="1"/>
  <c r="H365" i="1" s="1"/>
  <c r="O365" i="1"/>
  <c r="P365" i="1" s="1"/>
  <c r="E365" i="1" s="1"/>
  <c r="T364" i="1"/>
  <c r="U364" i="1" s="1"/>
  <c r="G364" i="1" s="1"/>
  <c r="H364" i="1" s="1"/>
  <c r="O364" i="1"/>
  <c r="P364" i="1" s="1"/>
  <c r="E364" i="1" s="1"/>
  <c r="T363" i="1"/>
  <c r="U363" i="1" s="1"/>
  <c r="G363" i="1" s="1"/>
  <c r="H363" i="1" s="1"/>
  <c r="O363" i="1"/>
  <c r="P363" i="1" s="1"/>
  <c r="E363" i="1" s="1"/>
  <c r="T362" i="1"/>
  <c r="U362" i="1" s="1"/>
  <c r="G362" i="1" s="1"/>
  <c r="H362" i="1" s="1"/>
  <c r="O362" i="1"/>
  <c r="P362" i="1" s="1"/>
  <c r="E362" i="1" s="1"/>
  <c r="T357" i="1"/>
  <c r="U357" i="1" s="1"/>
  <c r="G357" i="1" s="1"/>
  <c r="H357" i="1" s="1"/>
  <c r="O357" i="1"/>
  <c r="P357" i="1" s="1"/>
  <c r="E357" i="1" s="1"/>
  <c r="T356" i="1"/>
  <c r="U356" i="1" s="1"/>
  <c r="G356" i="1" s="1"/>
  <c r="H356" i="1" s="1"/>
  <c r="O356" i="1"/>
  <c r="P356" i="1" s="1"/>
  <c r="E356" i="1" s="1"/>
  <c r="T350" i="1"/>
  <c r="U350" i="1" s="1"/>
  <c r="G350" i="1" s="1"/>
  <c r="H350" i="1" s="1"/>
  <c r="O350" i="1"/>
  <c r="P350" i="1" s="1"/>
  <c r="E350" i="1" s="1"/>
  <c r="T349" i="1"/>
  <c r="U349" i="1" s="1"/>
  <c r="G349" i="1" s="1"/>
  <c r="H349" i="1" s="1"/>
  <c r="O349" i="1"/>
  <c r="P349" i="1" s="1"/>
  <c r="E349" i="1" s="1"/>
  <c r="T348" i="1"/>
  <c r="U348" i="1" s="1"/>
  <c r="G348" i="1" s="1"/>
  <c r="H348" i="1" s="1"/>
  <c r="O348" i="1"/>
  <c r="P348" i="1" s="1"/>
  <c r="E348" i="1" s="1"/>
  <c r="T346" i="1"/>
  <c r="U346" i="1" s="1"/>
  <c r="G346" i="1" s="1"/>
  <c r="H346" i="1" s="1"/>
  <c r="O346" i="1"/>
  <c r="P346" i="1" s="1"/>
  <c r="E346" i="1" s="1"/>
  <c r="T344" i="1"/>
  <c r="U344" i="1" s="1"/>
  <c r="G344" i="1" s="1"/>
  <c r="H344" i="1" s="1"/>
  <c r="O344" i="1"/>
  <c r="P344" i="1" s="1"/>
  <c r="E344" i="1" s="1"/>
  <c r="T342" i="1"/>
  <c r="U342" i="1" s="1"/>
  <c r="G342" i="1" s="1"/>
  <c r="H342" i="1" s="1"/>
  <c r="O342" i="1"/>
  <c r="P342" i="1" s="1"/>
  <c r="E342" i="1" s="1"/>
  <c r="T341" i="1"/>
  <c r="U341" i="1" s="1"/>
  <c r="G341" i="1" s="1"/>
  <c r="H341" i="1" s="1"/>
  <c r="O341" i="1"/>
  <c r="P341" i="1" s="1"/>
  <c r="E341" i="1" s="1"/>
  <c r="T339" i="1"/>
  <c r="U339" i="1" s="1"/>
  <c r="G339" i="1" s="1"/>
  <c r="H339" i="1" s="1"/>
  <c r="O339" i="1"/>
  <c r="P339" i="1" s="1"/>
  <c r="E339" i="1" s="1"/>
  <c r="T337" i="1"/>
  <c r="U337" i="1" s="1"/>
  <c r="G337" i="1" s="1"/>
  <c r="H337" i="1" s="1"/>
  <c r="O337" i="1"/>
  <c r="P337" i="1" s="1"/>
  <c r="E337" i="1" s="1"/>
  <c r="T335" i="1"/>
  <c r="U335" i="1" s="1"/>
  <c r="G335" i="1" s="1"/>
  <c r="H335" i="1" s="1"/>
  <c r="O335" i="1"/>
  <c r="P335" i="1" s="1"/>
  <c r="E335" i="1" s="1"/>
  <c r="T334" i="1"/>
  <c r="U334" i="1" s="1"/>
  <c r="G334" i="1" s="1"/>
  <c r="H334" i="1" s="1"/>
  <c r="O334" i="1"/>
  <c r="P334" i="1" s="1"/>
  <c r="E334" i="1" s="1"/>
  <c r="T333" i="1"/>
  <c r="U333" i="1" s="1"/>
  <c r="G333" i="1" s="1"/>
  <c r="H333" i="1" s="1"/>
  <c r="O333" i="1"/>
  <c r="P333" i="1" s="1"/>
  <c r="E333" i="1" s="1"/>
  <c r="T332" i="1"/>
  <c r="U332" i="1" s="1"/>
  <c r="G332" i="1" s="1"/>
  <c r="H332" i="1" s="1"/>
  <c r="O332" i="1"/>
  <c r="P332" i="1" s="1"/>
  <c r="E332" i="1" s="1"/>
  <c r="T326" i="1"/>
  <c r="U326" i="1" s="1"/>
  <c r="G326" i="1" s="1"/>
  <c r="H326" i="1" s="1"/>
  <c r="O326" i="1"/>
  <c r="P326" i="1" s="1"/>
  <c r="E326" i="1" s="1"/>
  <c r="T325" i="1"/>
  <c r="U325" i="1" s="1"/>
  <c r="G325" i="1" s="1"/>
  <c r="H325" i="1" s="1"/>
  <c r="O325" i="1"/>
  <c r="P325" i="1" s="1"/>
  <c r="E325" i="1" s="1"/>
  <c r="T324" i="1"/>
  <c r="U324" i="1" s="1"/>
  <c r="G324" i="1" s="1"/>
  <c r="H324" i="1" s="1"/>
  <c r="O324" i="1"/>
  <c r="P324" i="1" s="1"/>
  <c r="E324" i="1" s="1"/>
  <c r="T321" i="1"/>
  <c r="U321" i="1" s="1"/>
  <c r="G321" i="1" s="1"/>
  <c r="H321" i="1" s="1"/>
  <c r="O321" i="1"/>
  <c r="P321" i="1" s="1"/>
  <c r="E321" i="1" s="1"/>
  <c r="T320" i="1"/>
  <c r="U320" i="1" s="1"/>
  <c r="G320" i="1" s="1"/>
  <c r="H320" i="1" s="1"/>
  <c r="O320" i="1"/>
  <c r="P320" i="1" s="1"/>
  <c r="E320" i="1" s="1"/>
  <c r="T319" i="1"/>
  <c r="U319" i="1" s="1"/>
  <c r="G319" i="1" s="1"/>
  <c r="H319" i="1" s="1"/>
  <c r="O319" i="1"/>
  <c r="P319" i="1" s="1"/>
  <c r="E319" i="1" s="1"/>
  <c r="T318" i="1"/>
  <c r="U318" i="1" s="1"/>
  <c r="G318" i="1" s="1"/>
  <c r="H318" i="1" s="1"/>
  <c r="O318" i="1"/>
  <c r="P318" i="1" s="1"/>
  <c r="E318" i="1" s="1"/>
  <c r="T317" i="1"/>
  <c r="U317" i="1" s="1"/>
  <c r="G317" i="1" s="1"/>
  <c r="H317" i="1" s="1"/>
  <c r="O317" i="1"/>
  <c r="P317" i="1" s="1"/>
  <c r="E317" i="1" s="1"/>
  <c r="T316" i="1"/>
  <c r="U316" i="1" s="1"/>
  <c r="G316" i="1" s="1"/>
  <c r="H316" i="1" s="1"/>
  <c r="O316" i="1"/>
  <c r="P316" i="1" s="1"/>
  <c r="E316" i="1" s="1"/>
  <c r="T315" i="1"/>
  <c r="U315" i="1" s="1"/>
  <c r="G315" i="1" s="1"/>
  <c r="H315" i="1" s="1"/>
  <c r="O315" i="1"/>
  <c r="P315" i="1" s="1"/>
  <c r="E315" i="1" s="1"/>
  <c r="T314" i="1"/>
  <c r="U314" i="1" s="1"/>
  <c r="G314" i="1" s="1"/>
  <c r="H314" i="1" s="1"/>
  <c r="O314" i="1"/>
  <c r="P314" i="1" s="1"/>
  <c r="E314" i="1" s="1"/>
  <c r="T313" i="1"/>
  <c r="U313" i="1" s="1"/>
  <c r="G313" i="1" s="1"/>
  <c r="H313" i="1" s="1"/>
  <c r="O313" i="1"/>
  <c r="P313" i="1" s="1"/>
  <c r="E313" i="1" s="1"/>
  <c r="T311" i="1"/>
  <c r="U311" i="1" s="1"/>
  <c r="G311" i="1" s="1"/>
  <c r="H311" i="1" s="1"/>
  <c r="O311" i="1"/>
  <c r="P311" i="1" s="1"/>
  <c r="E311" i="1" s="1"/>
  <c r="T309" i="1"/>
  <c r="U309" i="1" s="1"/>
  <c r="G309" i="1" s="1"/>
  <c r="H309" i="1" s="1"/>
  <c r="O309" i="1"/>
  <c r="P309" i="1" s="1"/>
  <c r="E309" i="1" s="1"/>
  <c r="T308" i="1"/>
  <c r="U308" i="1" s="1"/>
  <c r="G308" i="1" s="1"/>
  <c r="H308" i="1" s="1"/>
  <c r="O308" i="1"/>
  <c r="P308" i="1" s="1"/>
  <c r="E308" i="1" s="1"/>
  <c r="T307" i="1"/>
  <c r="U307" i="1" s="1"/>
  <c r="G307" i="1" s="1"/>
  <c r="H307" i="1" s="1"/>
  <c r="O307" i="1"/>
  <c r="P307" i="1" s="1"/>
  <c r="E307" i="1" s="1"/>
  <c r="T305" i="1"/>
  <c r="U305" i="1" s="1"/>
  <c r="G305" i="1" s="1"/>
  <c r="H305" i="1" s="1"/>
  <c r="O305" i="1"/>
  <c r="P305" i="1" s="1"/>
  <c r="E305" i="1" s="1"/>
  <c r="T303" i="1"/>
  <c r="U303" i="1" s="1"/>
  <c r="G303" i="1" s="1"/>
  <c r="H303" i="1" s="1"/>
  <c r="O303" i="1"/>
  <c r="P303" i="1" s="1"/>
  <c r="E303" i="1" s="1"/>
  <c r="T300" i="1"/>
  <c r="U300" i="1" s="1"/>
  <c r="G300" i="1" s="1"/>
  <c r="H300" i="1" s="1"/>
  <c r="O300" i="1"/>
  <c r="P300" i="1" s="1"/>
  <c r="E300" i="1" s="1"/>
  <c r="T298" i="1"/>
  <c r="U298" i="1" s="1"/>
  <c r="G298" i="1" s="1"/>
  <c r="H298" i="1" s="1"/>
  <c r="O298" i="1"/>
  <c r="P298" i="1" s="1"/>
  <c r="E298" i="1" s="1"/>
  <c r="T297" i="1"/>
  <c r="U297" i="1" s="1"/>
  <c r="G297" i="1" s="1"/>
  <c r="H297" i="1" s="1"/>
  <c r="O297" i="1"/>
  <c r="P297" i="1" s="1"/>
  <c r="E297" i="1" s="1"/>
  <c r="T296" i="1"/>
  <c r="U296" i="1" s="1"/>
  <c r="G296" i="1" s="1"/>
  <c r="H296" i="1" s="1"/>
  <c r="O296" i="1"/>
  <c r="P296" i="1" s="1"/>
  <c r="E296" i="1" s="1"/>
  <c r="T277" i="1"/>
  <c r="U277" i="1" s="1"/>
  <c r="G277" i="1" s="1"/>
  <c r="H277" i="1" s="1"/>
  <c r="O277" i="1"/>
  <c r="P277" i="1" s="1"/>
  <c r="E277" i="1" s="1"/>
  <c r="F277" i="1" s="1"/>
  <c r="T276" i="1"/>
  <c r="U276" i="1" s="1"/>
  <c r="G276" i="1" s="1"/>
  <c r="H276" i="1" s="1"/>
  <c r="O276" i="1"/>
  <c r="P276" i="1" s="1"/>
  <c r="E276" i="1" s="1"/>
  <c r="F276" i="1" s="1"/>
  <c r="T274" i="1"/>
  <c r="U274" i="1" s="1"/>
  <c r="G274" i="1" s="1"/>
  <c r="H274" i="1" s="1"/>
  <c r="O274" i="1"/>
  <c r="P274" i="1" s="1"/>
  <c r="E274" i="1" s="1"/>
  <c r="T273" i="1"/>
  <c r="U273" i="1" s="1"/>
  <c r="G273" i="1" s="1"/>
  <c r="H273" i="1" s="1"/>
  <c r="O273" i="1"/>
  <c r="P273" i="1" s="1"/>
  <c r="E273" i="1" s="1"/>
  <c r="T271" i="1"/>
  <c r="U271" i="1" s="1"/>
  <c r="G271" i="1" s="1"/>
  <c r="H271" i="1" s="1"/>
  <c r="O271" i="1"/>
  <c r="P271" i="1" s="1"/>
  <c r="E271" i="1" s="1"/>
  <c r="T269" i="1"/>
  <c r="U269" i="1" s="1"/>
  <c r="G269" i="1" s="1"/>
  <c r="H269" i="1" s="1"/>
  <c r="O269" i="1"/>
  <c r="P269" i="1" s="1"/>
  <c r="E269" i="1" s="1"/>
  <c r="F269" i="1" s="1"/>
  <c r="T268" i="1"/>
  <c r="U268" i="1" s="1"/>
  <c r="G268" i="1" s="1"/>
  <c r="H268" i="1" s="1"/>
  <c r="O268" i="1"/>
  <c r="P268" i="1" s="1"/>
  <c r="E268" i="1" s="1"/>
  <c r="T267" i="1"/>
  <c r="U267" i="1" s="1"/>
  <c r="G267" i="1" s="1"/>
  <c r="H267" i="1" s="1"/>
  <c r="O267" i="1"/>
  <c r="P267" i="1" s="1"/>
  <c r="E267" i="1" s="1"/>
  <c r="T266" i="1"/>
  <c r="U266" i="1" s="1"/>
  <c r="G266" i="1" s="1"/>
  <c r="H266" i="1" s="1"/>
  <c r="O266" i="1"/>
  <c r="P266" i="1" s="1"/>
  <c r="E266" i="1" s="1"/>
  <c r="F266" i="1" s="1"/>
  <c r="T265" i="1"/>
  <c r="U265" i="1" s="1"/>
  <c r="G265" i="1" s="1"/>
  <c r="H265" i="1" s="1"/>
  <c r="O265" i="1"/>
  <c r="P265" i="1" s="1"/>
  <c r="E265" i="1" s="1"/>
  <c r="F265" i="1" s="1"/>
  <c r="T264" i="1"/>
  <c r="U264" i="1" s="1"/>
  <c r="G264" i="1" s="1"/>
  <c r="H264" i="1" s="1"/>
  <c r="O264" i="1"/>
  <c r="P264" i="1" s="1"/>
  <c r="E264" i="1" s="1"/>
  <c r="T263" i="1"/>
  <c r="U263" i="1" s="1"/>
  <c r="G263" i="1" s="1"/>
  <c r="H263" i="1" s="1"/>
  <c r="O263" i="1"/>
  <c r="P263" i="1" s="1"/>
  <c r="E263" i="1" s="1"/>
  <c r="T262" i="1"/>
  <c r="U262" i="1" s="1"/>
  <c r="G262" i="1" s="1"/>
  <c r="H262" i="1" s="1"/>
  <c r="O262" i="1"/>
  <c r="P262" i="1" s="1"/>
  <c r="E262" i="1" s="1"/>
  <c r="T261" i="1"/>
  <c r="U261" i="1" s="1"/>
  <c r="G261" i="1" s="1"/>
  <c r="H261" i="1" s="1"/>
  <c r="O261" i="1"/>
  <c r="P261" i="1" s="1"/>
  <c r="E261" i="1" s="1"/>
  <c r="F261" i="1" s="1"/>
  <c r="T259" i="1"/>
  <c r="U259" i="1" s="1"/>
  <c r="G259" i="1" s="1"/>
  <c r="H259" i="1" s="1"/>
  <c r="O259" i="1"/>
  <c r="P259" i="1" s="1"/>
  <c r="E259" i="1" s="1"/>
  <c r="T258" i="1"/>
  <c r="U258" i="1" s="1"/>
  <c r="G258" i="1" s="1"/>
  <c r="H258" i="1" s="1"/>
  <c r="O258" i="1"/>
  <c r="P258" i="1" s="1"/>
  <c r="E258" i="1" s="1"/>
  <c r="T255" i="1"/>
  <c r="U255" i="1" s="1"/>
  <c r="G255" i="1" s="1"/>
  <c r="H255" i="1" s="1"/>
  <c r="O255" i="1"/>
  <c r="P255" i="1" s="1"/>
  <c r="E255" i="1" s="1"/>
  <c r="T254" i="1"/>
  <c r="U254" i="1" s="1"/>
  <c r="G254" i="1" s="1"/>
  <c r="H254" i="1" s="1"/>
  <c r="O254" i="1"/>
  <c r="P254" i="1" s="1"/>
  <c r="E254" i="1" s="1"/>
  <c r="F254" i="1" s="1"/>
  <c r="T253" i="1"/>
  <c r="U253" i="1" s="1"/>
  <c r="G253" i="1" s="1"/>
  <c r="H253" i="1" s="1"/>
  <c r="O253" i="1"/>
  <c r="P253" i="1" s="1"/>
  <c r="E253" i="1" s="1"/>
  <c r="T245" i="1"/>
  <c r="U245" i="1" s="1"/>
  <c r="G245" i="1" s="1"/>
  <c r="H245" i="1" s="1"/>
  <c r="O245" i="1"/>
  <c r="P245" i="1" s="1"/>
  <c r="E245" i="1" s="1"/>
  <c r="T244" i="1"/>
  <c r="U244" i="1" s="1"/>
  <c r="G244" i="1" s="1"/>
  <c r="H244" i="1" s="1"/>
  <c r="O244" i="1"/>
  <c r="P244" i="1" s="1"/>
  <c r="E244" i="1" s="1"/>
  <c r="T243" i="1"/>
  <c r="U243" i="1" s="1"/>
  <c r="G243" i="1" s="1"/>
  <c r="H243" i="1" s="1"/>
  <c r="O243" i="1"/>
  <c r="P243" i="1" s="1"/>
  <c r="E243" i="1" s="1"/>
  <c r="F243" i="1" s="1"/>
  <c r="T242" i="1"/>
  <c r="U242" i="1" s="1"/>
  <c r="G242" i="1" s="1"/>
  <c r="H242" i="1" s="1"/>
  <c r="O242" i="1"/>
  <c r="P242" i="1" s="1"/>
  <c r="E242" i="1" s="1"/>
  <c r="T241" i="1"/>
  <c r="U241" i="1" s="1"/>
  <c r="G241" i="1" s="1"/>
  <c r="H241" i="1" s="1"/>
  <c r="O241" i="1"/>
  <c r="P241" i="1" s="1"/>
  <c r="E241" i="1" s="1"/>
  <c r="T238" i="1"/>
  <c r="U238" i="1" s="1"/>
  <c r="G238" i="1" s="1"/>
  <c r="H238" i="1" s="1"/>
  <c r="O238" i="1"/>
  <c r="P238" i="1" s="1"/>
  <c r="E238" i="1" s="1"/>
  <c r="T237" i="1"/>
  <c r="U237" i="1" s="1"/>
  <c r="G237" i="1" s="1"/>
  <c r="H237" i="1" s="1"/>
  <c r="O237" i="1"/>
  <c r="P237" i="1" s="1"/>
  <c r="E237" i="1" s="1"/>
  <c r="F237" i="1" s="1"/>
  <c r="T236" i="1"/>
  <c r="U236" i="1" s="1"/>
  <c r="G236" i="1" s="1"/>
  <c r="H236" i="1" s="1"/>
  <c r="O236" i="1"/>
  <c r="P236" i="1" s="1"/>
  <c r="E236" i="1" s="1"/>
  <c r="T235" i="1"/>
  <c r="U235" i="1" s="1"/>
  <c r="G235" i="1" s="1"/>
  <c r="H235" i="1" s="1"/>
  <c r="O235" i="1"/>
  <c r="P235" i="1" s="1"/>
  <c r="E235" i="1" s="1"/>
  <c r="T234" i="1"/>
  <c r="U234" i="1" s="1"/>
  <c r="G234" i="1" s="1"/>
  <c r="H234" i="1" s="1"/>
  <c r="O234" i="1"/>
  <c r="P234" i="1" s="1"/>
  <c r="E234" i="1" s="1"/>
  <c r="T233" i="1"/>
  <c r="U233" i="1" s="1"/>
  <c r="G233" i="1" s="1"/>
  <c r="O233" i="1"/>
  <c r="P233" i="1" s="1"/>
  <c r="E233" i="1" s="1"/>
  <c r="F233" i="1" s="1"/>
  <c r="T232" i="1"/>
  <c r="U232" i="1" s="1"/>
  <c r="G232" i="1" s="1"/>
  <c r="H232" i="1" s="1"/>
  <c r="O232" i="1"/>
  <c r="P232" i="1" s="1"/>
  <c r="E232" i="1" s="1"/>
  <c r="T225" i="1"/>
  <c r="U225" i="1" s="1"/>
  <c r="G225" i="1" s="1"/>
  <c r="H225" i="1" s="1"/>
  <c r="O225" i="1"/>
  <c r="P225" i="1" s="1"/>
  <c r="E225" i="1" s="1"/>
  <c r="T223" i="1"/>
  <c r="U223" i="1" s="1"/>
  <c r="G223" i="1" s="1"/>
  <c r="H223" i="1" s="1"/>
  <c r="O223" i="1"/>
  <c r="P223" i="1" s="1"/>
  <c r="E223" i="1" s="1"/>
  <c r="T221" i="1"/>
  <c r="U221" i="1" s="1"/>
  <c r="G221" i="1" s="1"/>
  <c r="O221" i="1"/>
  <c r="P221" i="1" s="1"/>
  <c r="E221" i="1" s="1"/>
  <c r="F221" i="1" s="1"/>
  <c r="T219" i="1"/>
  <c r="U219" i="1" s="1"/>
  <c r="G219" i="1" s="1"/>
  <c r="H219" i="1" s="1"/>
  <c r="O219" i="1"/>
  <c r="P219" i="1" s="1"/>
  <c r="E219" i="1" s="1"/>
  <c r="T217" i="1"/>
  <c r="U217" i="1" s="1"/>
  <c r="G217" i="1" s="1"/>
  <c r="H217" i="1" s="1"/>
  <c r="O217" i="1"/>
  <c r="P217" i="1" s="1"/>
  <c r="E217" i="1" s="1"/>
  <c r="T215" i="1"/>
  <c r="U215" i="1" s="1"/>
  <c r="G215" i="1" s="1"/>
  <c r="H215" i="1" s="1"/>
  <c r="O215" i="1"/>
  <c r="P215" i="1" s="1"/>
  <c r="E215" i="1" s="1"/>
  <c r="T214" i="1"/>
  <c r="U214" i="1" s="1"/>
  <c r="G214" i="1" s="1"/>
  <c r="H214" i="1" s="1"/>
  <c r="O214" i="1"/>
  <c r="P214" i="1" s="1"/>
  <c r="E214" i="1" s="1"/>
  <c r="F214" i="1" s="1"/>
  <c r="T213" i="1"/>
  <c r="U213" i="1" s="1"/>
  <c r="G213" i="1" s="1"/>
  <c r="H213" i="1" s="1"/>
  <c r="O213" i="1"/>
  <c r="P213" i="1" s="1"/>
  <c r="E213" i="1" s="1"/>
  <c r="T212" i="1"/>
  <c r="U212" i="1" s="1"/>
  <c r="G212" i="1" s="1"/>
  <c r="H212" i="1" s="1"/>
  <c r="O212" i="1"/>
  <c r="P212" i="1" s="1"/>
  <c r="E212" i="1" s="1"/>
  <c r="T211" i="1"/>
  <c r="U211" i="1" s="1"/>
  <c r="G211" i="1" s="1"/>
  <c r="H211" i="1" s="1"/>
  <c r="O211" i="1"/>
  <c r="P211" i="1" s="1"/>
  <c r="E211" i="1" s="1"/>
  <c r="T210" i="1"/>
  <c r="U210" i="1" s="1"/>
  <c r="G210" i="1" s="1"/>
  <c r="H210" i="1" s="1"/>
  <c r="O210" i="1"/>
  <c r="P210" i="1" s="1"/>
  <c r="E210" i="1" s="1"/>
  <c r="F210" i="1" s="1"/>
  <c r="T209" i="1"/>
  <c r="U209" i="1" s="1"/>
  <c r="G209" i="1" s="1"/>
  <c r="H209" i="1" s="1"/>
  <c r="O209" i="1"/>
  <c r="P209" i="1" s="1"/>
  <c r="E209" i="1" s="1"/>
  <c r="T208" i="1"/>
  <c r="U208" i="1" s="1"/>
  <c r="G208" i="1" s="1"/>
  <c r="H208" i="1" s="1"/>
  <c r="O208" i="1"/>
  <c r="P208" i="1" s="1"/>
  <c r="E208" i="1" s="1"/>
  <c r="T207" i="1"/>
  <c r="U207" i="1" s="1"/>
  <c r="G207" i="1" s="1"/>
  <c r="H207" i="1" s="1"/>
  <c r="O207" i="1"/>
  <c r="P207" i="1" s="1"/>
  <c r="E207" i="1" s="1"/>
  <c r="T206" i="1"/>
  <c r="U206" i="1" s="1"/>
  <c r="G206" i="1" s="1"/>
  <c r="H206" i="1" s="1"/>
  <c r="O206" i="1"/>
  <c r="P206" i="1" s="1"/>
  <c r="E206" i="1" s="1"/>
  <c r="T205" i="1"/>
  <c r="U205" i="1" s="1"/>
  <c r="G205" i="1" s="1"/>
  <c r="H205" i="1" s="1"/>
  <c r="O205" i="1"/>
  <c r="P205" i="1" s="1"/>
  <c r="E205" i="1" s="1"/>
  <c r="T204" i="1"/>
  <c r="U204" i="1" s="1"/>
  <c r="G204" i="1" s="1"/>
  <c r="H204" i="1" s="1"/>
  <c r="O204" i="1"/>
  <c r="P204" i="1" s="1"/>
  <c r="E204" i="1" s="1"/>
  <c r="T197" i="1"/>
  <c r="U197" i="1" s="1"/>
  <c r="G197" i="1" s="1"/>
  <c r="H197" i="1" s="1"/>
  <c r="O197" i="1"/>
  <c r="P197" i="1" s="1"/>
  <c r="E197" i="1" s="1"/>
  <c r="T191" i="1"/>
  <c r="U191" i="1" s="1"/>
  <c r="G191" i="1" s="1"/>
  <c r="O191" i="1"/>
  <c r="P191" i="1" s="1"/>
  <c r="E191" i="1" s="1"/>
  <c r="F191" i="1" s="1"/>
  <c r="T190" i="1"/>
  <c r="U190" i="1" s="1"/>
  <c r="G190" i="1" s="1"/>
  <c r="H190" i="1" s="1"/>
  <c r="O190" i="1"/>
  <c r="P190" i="1" s="1"/>
  <c r="E190" i="1" s="1"/>
  <c r="F190" i="1" s="1"/>
  <c r="T189" i="1"/>
  <c r="U189" i="1" s="1"/>
  <c r="G189" i="1" s="1"/>
  <c r="H189" i="1" s="1"/>
  <c r="O189" i="1"/>
  <c r="P189" i="1" s="1"/>
  <c r="E189" i="1" s="1"/>
  <c r="T185" i="1"/>
  <c r="U185" i="1" s="1"/>
  <c r="G185" i="1" s="1"/>
  <c r="H185" i="1" s="1"/>
  <c r="O185" i="1"/>
  <c r="P185" i="1" s="1"/>
  <c r="E185" i="1" s="1"/>
  <c r="T184" i="1"/>
  <c r="U184" i="1" s="1"/>
  <c r="G184" i="1" s="1"/>
  <c r="H184" i="1" s="1"/>
  <c r="O184" i="1"/>
  <c r="P184" i="1" s="1"/>
  <c r="E184" i="1" s="1"/>
  <c r="T183" i="1"/>
  <c r="U183" i="1" s="1"/>
  <c r="G183" i="1" s="1"/>
  <c r="O183" i="1"/>
  <c r="P183" i="1" s="1"/>
  <c r="E183" i="1" s="1"/>
  <c r="F183" i="1" s="1"/>
  <c r="T182" i="1"/>
  <c r="U182" i="1" s="1"/>
  <c r="G182" i="1" s="1"/>
  <c r="H182" i="1" s="1"/>
  <c r="O182" i="1"/>
  <c r="P182" i="1" s="1"/>
  <c r="E182" i="1" s="1"/>
  <c r="T180" i="1"/>
  <c r="U180" i="1" s="1"/>
  <c r="G180" i="1" s="1"/>
  <c r="H180" i="1" s="1"/>
  <c r="O180" i="1"/>
  <c r="P180" i="1" s="1"/>
  <c r="E180" i="1" s="1"/>
  <c r="T178" i="1"/>
  <c r="U178" i="1" s="1"/>
  <c r="G178" i="1" s="1"/>
  <c r="H178" i="1" s="1"/>
  <c r="O178" i="1"/>
  <c r="P178" i="1" s="1"/>
  <c r="E178" i="1" s="1"/>
  <c r="F178" i="1" s="1"/>
  <c r="T176" i="1"/>
  <c r="U176" i="1" s="1"/>
  <c r="G176" i="1" s="1"/>
  <c r="O176" i="1"/>
  <c r="P176" i="1" s="1"/>
  <c r="E176" i="1" s="1"/>
  <c r="F176" i="1" s="1"/>
  <c r="T175" i="1"/>
  <c r="U175" i="1" s="1"/>
  <c r="G175" i="1" s="1"/>
  <c r="H175" i="1" s="1"/>
  <c r="O175" i="1"/>
  <c r="P175" i="1" s="1"/>
  <c r="E175" i="1" s="1"/>
  <c r="T174" i="1"/>
  <c r="U174" i="1" s="1"/>
  <c r="G174" i="1" s="1"/>
  <c r="H174" i="1" s="1"/>
  <c r="O174" i="1"/>
  <c r="P174" i="1" s="1"/>
  <c r="E174" i="1" s="1"/>
  <c r="T172" i="1"/>
  <c r="U172" i="1" s="1"/>
  <c r="G172" i="1" s="1"/>
  <c r="O172" i="1"/>
  <c r="P172" i="1" s="1"/>
  <c r="E172" i="1" s="1"/>
  <c r="F172" i="1" s="1"/>
  <c r="T171" i="1"/>
  <c r="U171" i="1" s="1"/>
  <c r="G171" i="1" s="1"/>
  <c r="H171" i="1" s="1"/>
  <c r="O171" i="1"/>
  <c r="P171" i="1" s="1"/>
  <c r="E171" i="1" s="1"/>
  <c r="F171" i="1" s="1"/>
  <c r="T169" i="1"/>
  <c r="U169" i="1" s="1"/>
  <c r="G169" i="1" s="1"/>
  <c r="H169" i="1" s="1"/>
  <c r="O169" i="1"/>
  <c r="P169" i="1" s="1"/>
  <c r="E169" i="1" s="1"/>
  <c r="T167" i="1"/>
  <c r="U167" i="1" s="1"/>
  <c r="G167" i="1" s="1"/>
  <c r="H167" i="1" s="1"/>
  <c r="O167" i="1"/>
  <c r="P167" i="1" s="1"/>
  <c r="E167" i="1" s="1"/>
  <c r="T165" i="1"/>
  <c r="O165" i="1"/>
  <c r="P165" i="1" s="1"/>
  <c r="E165" i="1" s="1"/>
  <c r="T163" i="1"/>
  <c r="U163" i="1" s="1"/>
  <c r="G163" i="1" s="1"/>
  <c r="O163" i="1"/>
  <c r="P163" i="1" s="1"/>
  <c r="E163" i="1" s="1"/>
  <c r="F163" i="1" s="1"/>
  <c r="T161" i="1"/>
  <c r="U161" i="1" s="1"/>
  <c r="G161" i="1" s="1"/>
  <c r="H161" i="1" s="1"/>
  <c r="O161" i="1"/>
  <c r="P161" i="1" s="1"/>
  <c r="E161" i="1" s="1"/>
  <c r="T159" i="1"/>
  <c r="U159" i="1" s="1"/>
  <c r="G159" i="1" s="1"/>
  <c r="H159" i="1" s="1"/>
  <c r="O159" i="1"/>
  <c r="P159" i="1" s="1"/>
  <c r="E159" i="1" s="1"/>
  <c r="T157" i="1"/>
  <c r="U157" i="1" s="1"/>
  <c r="G157" i="1" s="1"/>
  <c r="H157" i="1" s="1"/>
  <c r="O157" i="1"/>
  <c r="P157" i="1" s="1"/>
  <c r="E157" i="1" s="1"/>
  <c r="T155" i="1"/>
  <c r="U155" i="1" s="1"/>
  <c r="G155" i="1" s="1"/>
  <c r="H155" i="1" s="1"/>
  <c r="O155" i="1"/>
  <c r="P155" i="1" s="1"/>
  <c r="E155" i="1" s="1"/>
  <c r="F155" i="1" s="1"/>
  <c r="T153" i="1"/>
  <c r="U153" i="1" s="1"/>
  <c r="G153" i="1" s="1"/>
  <c r="H153" i="1" s="1"/>
  <c r="O153" i="1"/>
  <c r="P153" i="1" s="1"/>
  <c r="E153" i="1" s="1"/>
  <c r="T151" i="1"/>
  <c r="U151" i="1" s="1"/>
  <c r="G151" i="1" s="1"/>
  <c r="H151" i="1" s="1"/>
  <c r="O151" i="1"/>
  <c r="P151" i="1" s="1"/>
  <c r="E151" i="1" s="1"/>
  <c r="T149" i="1"/>
  <c r="U149" i="1" s="1"/>
  <c r="G149" i="1" s="1"/>
  <c r="H149" i="1" s="1"/>
  <c r="O149" i="1"/>
  <c r="P149" i="1" s="1"/>
  <c r="E149" i="1" s="1"/>
  <c r="T148" i="1"/>
  <c r="U148" i="1" s="1"/>
  <c r="G148" i="1" s="1"/>
  <c r="H148" i="1" s="1"/>
  <c r="O148" i="1"/>
  <c r="P148" i="1" s="1"/>
  <c r="E148" i="1" s="1"/>
  <c r="F148" i="1" s="1"/>
  <c r="T146" i="1"/>
  <c r="U146" i="1" s="1"/>
  <c r="G146" i="1" s="1"/>
  <c r="H146" i="1" s="1"/>
  <c r="O146" i="1"/>
  <c r="P146" i="1" s="1"/>
  <c r="E146" i="1" s="1"/>
  <c r="T145" i="1"/>
  <c r="U145" i="1" s="1"/>
  <c r="G145" i="1" s="1"/>
  <c r="H145" i="1" s="1"/>
  <c r="O145" i="1"/>
  <c r="P145" i="1" s="1"/>
  <c r="E145" i="1" s="1"/>
  <c r="T144" i="1"/>
  <c r="U144" i="1" s="1"/>
  <c r="G144" i="1" s="1"/>
  <c r="H144" i="1" s="1"/>
  <c r="O144" i="1"/>
  <c r="P144" i="1" s="1"/>
  <c r="E144" i="1" s="1"/>
  <c r="T137" i="1"/>
  <c r="U137" i="1" s="1"/>
  <c r="G137" i="1" s="1"/>
  <c r="H137" i="1" s="1"/>
  <c r="O137" i="1"/>
  <c r="P137" i="1" s="1"/>
  <c r="E137" i="1" s="1"/>
  <c r="T136" i="1"/>
  <c r="U136" i="1" s="1"/>
  <c r="G136" i="1" s="1"/>
  <c r="H136" i="1" s="1"/>
  <c r="O136" i="1"/>
  <c r="P136" i="1" s="1"/>
  <c r="E136" i="1" s="1"/>
  <c r="T135" i="1"/>
  <c r="U135" i="1" s="1"/>
  <c r="G135" i="1" s="1"/>
  <c r="H135" i="1" s="1"/>
  <c r="O135" i="1"/>
  <c r="P135" i="1" s="1"/>
  <c r="E135" i="1" s="1"/>
  <c r="T134" i="1"/>
  <c r="U134" i="1" s="1"/>
  <c r="G134" i="1" s="1"/>
  <c r="H134" i="1" s="1"/>
  <c r="O134" i="1"/>
  <c r="P134" i="1" s="1"/>
  <c r="E134" i="1" s="1"/>
  <c r="T132" i="1"/>
  <c r="U132" i="1" s="1"/>
  <c r="G132" i="1" s="1"/>
  <c r="H132" i="1" s="1"/>
  <c r="O132" i="1"/>
  <c r="P132" i="1" s="1"/>
  <c r="E132" i="1" s="1"/>
  <c r="T130" i="1"/>
  <c r="U130" i="1" s="1"/>
  <c r="G130" i="1" s="1"/>
  <c r="H130" i="1" s="1"/>
  <c r="O130" i="1"/>
  <c r="P130" i="1" s="1"/>
  <c r="E130" i="1" s="1"/>
  <c r="T128" i="1"/>
  <c r="U128" i="1" s="1"/>
  <c r="G128" i="1" s="1"/>
  <c r="H128" i="1" s="1"/>
  <c r="O128" i="1"/>
  <c r="P128" i="1" s="1"/>
  <c r="E128" i="1" s="1"/>
  <c r="T127" i="1"/>
  <c r="U127" i="1" s="1"/>
  <c r="G127" i="1" s="1"/>
  <c r="H127" i="1" s="1"/>
  <c r="O127" i="1"/>
  <c r="P127" i="1" s="1"/>
  <c r="E127" i="1" s="1"/>
  <c r="T126" i="1"/>
  <c r="U126" i="1" s="1"/>
  <c r="G126" i="1" s="1"/>
  <c r="H126" i="1" s="1"/>
  <c r="O126" i="1"/>
  <c r="P126" i="1" s="1"/>
  <c r="E126" i="1" s="1"/>
  <c r="T125" i="1"/>
  <c r="U125" i="1" s="1"/>
  <c r="G125" i="1" s="1"/>
  <c r="H125" i="1" s="1"/>
  <c r="O125" i="1"/>
  <c r="P125" i="1" s="1"/>
  <c r="E125" i="1" s="1"/>
  <c r="T124" i="1"/>
  <c r="U124" i="1" s="1"/>
  <c r="G124" i="1" s="1"/>
  <c r="H124" i="1" s="1"/>
  <c r="O124" i="1"/>
  <c r="P124" i="1" s="1"/>
  <c r="E124" i="1" s="1"/>
  <c r="T123" i="1"/>
  <c r="U123" i="1" s="1"/>
  <c r="G123" i="1" s="1"/>
  <c r="H123" i="1" s="1"/>
  <c r="O123" i="1"/>
  <c r="P123" i="1" s="1"/>
  <c r="E123" i="1" s="1"/>
  <c r="T23" i="1"/>
  <c r="U23" i="1" s="1"/>
  <c r="G23" i="1" s="1"/>
  <c r="H23" i="1" s="1"/>
  <c r="O23" i="1"/>
  <c r="P23" i="1" s="1"/>
  <c r="E23" i="1" s="1"/>
  <c r="T22" i="1"/>
  <c r="U22" i="1" s="1"/>
  <c r="G22" i="1" s="1"/>
  <c r="H22" i="1" s="1"/>
  <c r="O22" i="1"/>
  <c r="P22" i="1" s="1"/>
  <c r="E22" i="1" s="1"/>
  <c r="T21" i="1"/>
  <c r="U21" i="1" s="1"/>
  <c r="G21" i="1" s="1"/>
  <c r="H21" i="1" s="1"/>
  <c r="O21" i="1"/>
  <c r="P21" i="1" s="1"/>
  <c r="E21" i="1" s="1"/>
  <c r="T20" i="1"/>
  <c r="U20" i="1" s="1"/>
  <c r="G20" i="1" s="1"/>
  <c r="H20" i="1" s="1"/>
  <c r="O20" i="1"/>
  <c r="P20" i="1" s="1"/>
  <c r="E20" i="1" s="1"/>
  <c r="T15" i="1"/>
  <c r="U15" i="1" s="1"/>
  <c r="G15" i="1" s="1"/>
  <c r="H15" i="1" s="1"/>
  <c r="O15" i="1"/>
  <c r="P15" i="1" s="1"/>
  <c r="E15" i="1" s="1"/>
  <c r="T14" i="1"/>
  <c r="U14" i="1" s="1"/>
  <c r="G14" i="1" s="1"/>
  <c r="H14" i="1" s="1"/>
  <c r="O14" i="1"/>
  <c r="P14" i="1" s="1"/>
  <c r="E14" i="1" s="1"/>
  <c r="T13" i="1"/>
  <c r="U13" i="1" s="1"/>
  <c r="G13" i="1" s="1"/>
  <c r="H13" i="1" s="1"/>
  <c r="O13" i="1"/>
  <c r="P13" i="1" s="1"/>
  <c r="E13" i="1" s="1"/>
  <c r="T12" i="1"/>
  <c r="U12" i="1" s="1"/>
  <c r="G12" i="1" s="1"/>
  <c r="H12" i="1" s="1"/>
  <c r="O12" i="1"/>
  <c r="P12" i="1" s="1"/>
  <c r="E12" i="1" s="1"/>
  <c r="T11" i="1"/>
  <c r="U11" i="1" s="1"/>
  <c r="G11" i="1" s="1"/>
  <c r="H11" i="1" s="1"/>
  <c r="O11" i="1"/>
  <c r="P11" i="1" s="1"/>
  <c r="E11" i="1" s="1"/>
  <c r="T10" i="1"/>
  <c r="U10" i="1" s="1"/>
  <c r="G10" i="1" s="1"/>
  <c r="H10" i="1" s="1"/>
  <c r="O10" i="1"/>
  <c r="P10" i="1" s="1"/>
  <c r="E10" i="1" s="1"/>
  <c r="O9" i="1"/>
  <c r="P9" i="1" s="1"/>
  <c r="E9" i="1" s="1"/>
  <c r="F9" i="1" s="1"/>
  <c r="T9" i="1"/>
  <c r="U9" i="1" s="1"/>
  <c r="G9" i="1" s="1"/>
  <c r="T8" i="1"/>
  <c r="O8" i="1"/>
  <c r="P8" i="1" s="1"/>
  <c r="N287" i="2" l="1"/>
  <c r="Q285" i="2"/>
  <c r="J153" i="3"/>
  <c r="J130" i="3"/>
  <c r="J146" i="3"/>
  <c r="I146" i="3"/>
  <c r="U165" i="1"/>
  <c r="G165" i="1" s="1"/>
  <c r="J105" i="3"/>
  <c r="L105" i="3" s="1"/>
  <c r="I176" i="1"/>
  <c r="J92" i="3"/>
  <c r="J76" i="3"/>
  <c r="L76" i="3" s="1"/>
  <c r="J67" i="3"/>
  <c r="L67" i="3" s="1"/>
  <c r="I53" i="3"/>
  <c r="J53" i="3"/>
  <c r="J254" i="1"/>
  <c r="J237" i="1"/>
  <c r="L237" i="1" s="1"/>
  <c r="H233" i="1"/>
  <c r="J233" i="1" s="1"/>
  <c r="L233" i="1" s="1"/>
  <c r="I233" i="1"/>
  <c r="H221" i="1"/>
  <c r="J221" i="1" s="1"/>
  <c r="I221" i="1"/>
  <c r="I183" i="1"/>
  <c r="H183" i="1"/>
  <c r="J183" i="1" s="1"/>
  <c r="I163" i="1"/>
  <c r="H163" i="1"/>
  <c r="J163" i="1" s="1"/>
  <c r="I206" i="1"/>
  <c r="H176" i="1"/>
  <c r="J176" i="1" s="1"/>
  <c r="I214" i="1"/>
  <c r="J276" i="1"/>
  <c r="J269" i="1"/>
  <c r="I148" i="1"/>
  <c r="I155" i="1"/>
  <c r="J243" i="1"/>
  <c r="L243" i="1" s="1"/>
  <c r="J265" i="1"/>
  <c r="I237" i="1"/>
  <c r="I84" i="4"/>
  <c r="F84" i="4"/>
  <c r="J84" i="4" s="1"/>
  <c r="F90" i="4"/>
  <c r="J90" i="4" s="1"/>
  <c r="I90" i="4"/>
  <c r="I100" i="4"/>
  <c r="F100" i="4"/>
  <c r="J100" i="4" s="1"/>
  <c r="F23" i="4"/>
  <c r="J23" i="4" s="1"/>
  <c r="I23" i="4"/>
  <c r="F29" i="4"/>
  <c r="J29" i="4" s="1"/>
  <c r="I29" i="4"/>
  <c r="I37" i="4"/>
  <c r="F37" i="4"/>
  <c r="J37" i="4" s="1"/>
  <c r="F42" i="4"/>
  <c r="J42" i="4" s="1"/>
  <c r="I42" i="4"/>
  <c r="F56" i="4"/>
  <c r="J56" i="4" s="1"/>
  <c r="I56" i="4"/>
  <c r="F58" i="4"/>
  <c r="J58" i="4" s="1"/>
  <c r="I58" i="4"/>
  <c r="I67" i="4"/>
  <c r="F67" i="4"/>
  <c r="J67" i="4" s="1"/>
  <c r="F79" i="4"/>
  <c r="J79" i="4" s="1"/>
  <c r="I79" i="4"/>
  <c r="I19" i="4"/>
  <c r="F19" i="4"/>
  <c r="J19" i="4" s="1"/>
  <c r="F31" i="4"/>
  <c r="J31" i="4" s="1"/>
  <c r="I31" i="4"/>
  <c r="F34" i="4"/>
  <c r="J34" i="4" s="1"/>
  <c r="I34" i="4"/>
  <c r="F86" i="4"/>
  <c r="J86" i="4" s="1"/>
  <c r="I86" i="4"/>
  <c r="F96" i="4"/>
  <c r="J96" i="4" s="1"/>
  <c r="I96" i="4"/>
  <c r="F102" i="4"/>
  <c r="J102" i="4" s="1"/>
  <c r="I102" i="4"/>
  <c r="F35" i="4"/>
  <c r="J35" i="4" s="1"/>
  <c r="I35" i="4"/>
  <c r="F20" i="4"/>
  <c r="J20" i="4" s="1"/>
  <c r="I20" i="4"/>
  <c r="I33" i="4"/>
  <c r="F33" i="4"/>
  <c r="J33" i="4" s="1"/>
  <c r="F46" i="4"/>
  <c r="J46" i="4" s="1"/>
  <c r="I46" i="4"/>
  <c r="F54" i="4"/>
  <c r="J54" i="4" s="1"/>
  <c r="I54" i="4"/>
  <c r="I61" i="4"/>
  <c r="F61" i="4"/>
  <c r="J61" i="4" s="1"/>
  <c r="F63" i="4"/>
  <c r="J63" i="4" s="1"/>
  <c r="I63" i="4"/>
  <c r="I83" i="4"/>
  <c r="F83" i="4"/>
  <c r="J83" i="4" s="1"/>
  <c r="I92" i="4"/>
  <c r="F92" i="4"/>
  <c r="J92" i="4" s="1"/>
  <c r="I98" i="4"/>
  <c r="F98" i="4"/>
  <c r="J98" i="4" s="1"/>
  <c r="I27" i="4"/>
  <c r="F27" i="4"/>
  <c r="J27" i="4" s="1"/>
  <c r="F30" i="4"/>
  <c r="J30" i="4" s="1"/>
  <c r="I30" i="4"/>
  <c r="F36" i="4"/>
  <c r="J36" i="4" s="1"/>
  <c r="I36" i="4"/>
  <c r="F39" i="4"/>
  <c r="J39" i="4" s="1"/>
  <c r="I39" i="4"/>
  <c r="I57" i="4"/>
  <c r="F57" i="4"/>
  <c r="J57" i="4" s="1"/>
  <c r="F59" i="4"/>
  <c r="J59" i="4" s="1"/>
  <c r="I59" i="4"/>
  <c r="F66" i="4"/>
  <c r="J66" i="4" s="1"/>
  <c r="I66" i="4"/>
  <c r="F78" i="4"/>
  <c r="J78" i="4" s="1"/>
  <c r="I78" i="4"/>
  <c r="F88" i="4"/>
  <c r="J88" i="4" s="1"/>
  <c r="I88" i="4"/>
  <c r="F94" i="4"/>
  <c r="J94" i="4" s="1"/>
  <c r="I94" i="4"/>
  <c r="F104" i="4"/>
  <c r="J104" i="4" s="1"/>
  <c r="I104" i="4"/>
  <c r="F21" i="4"/>
  <c r="J21" i="4" s="1"/>
  <c r="I21" i="4"/>
  <c r="I47" i="4"/>
  <c r="F47" i="4"/>
  <c r="J47" i="4" s="1"/>
  <c r="F55" i="4"/>
  <c r="J55" i="4" s="1"/>
  <c r="I55" i="4"/>
  <c r="I60" i="4"/>
  <c r="F60" i="4"/>
  <c r="J60" i="4" s="1"/>
  <c r="F52" i="4"/>
  <c r="J52" i="4" s="1"/>
  <c r="I52" i="4"/>
  <c r="F6" i="4"/>
  <c r="J6" i="4" s="1"/>
  <c r="I6" i="4"/>
  <c r="F7" i="4"/>
  <c r="J7" i="4" s="1"/>
  <c r="I7" i="4"/>
  <c r="F90" i="3"/>
  <c r="J90" i="3" s="1"/>
  <c r="I90" i="3"/>
  <c r="F17" i="3"/>
  <c r="J17" i="3" s="1"/>
  <c r="I17" i="3"/>
  <c r="I32" i="3"/>
  <c r="F32" i="3"/>
  <c r="J32" i="3" s="1"/>
  <c r="F72" i="3"/>
  <c r="J72" i="3" s="1"/>
  <c r="L72" i="3" s="1"/>
  <c r="I72" i="3"/>
  <c r="I156" i="3"/>
  <c r="F156" i="3"/>
  <c r="J156" i="3" s="1"/>
  <c r="F132" i="3"/>
  <c r="J132" i="3" s="1"/>
  <c r="I132" i="3"/>
  <c r="I9" i="3"/>
  <c r="F9" i="3"/>
  <c r="J9" i="3" s="1"/>
  <c r="L9" i="3" s="1"/>
  <c r="F27" i="3"/>
  <c r="J27" i="3" s="1"/>
  <c r="I27" i="3"/>
  <c r="H40" i="3"/>
  <c r="J40" i="3" s="1"/>
  <c r="I40" i="3"/>
  <c r="F44" i="3"/>
  <c r="J44" i="3" s="1"/>
  <c r="I44" i="3"/>
  <c r="F65" i="3"/>
  <c r="J65" i="3" s="1"/>
  <c r="L65" i="3" s="1"/>
  <c r="I65" i="3"/>
  <c r="I148" i="3"/>
  <c r="F148" i="3"/>
  <c r="J148" i="3" s="1"/>
  <c r="F10" i="3"/>
  <c r="J10" i="3" s="1"/>
  <c r="I10" i="3"/>
  <c r="F18" i="3"/>
  <c r="J18" i="3" s="1"/>
  <c r="I18" i="3"/>
  <c r="F28" i="3"/>
  <c r="J28" i="3" s="1"/>
  <c r="I28" i="3"/>
  <c r="F33" i="3"/>
  <c r="J33" i="3" s="1"/>
  <c r="I33" i="3"/>
  <c r="F41" i="3"/>
  <c r="J41" i="3" s="1"/>
  <c r="I41" i="3"/>
  <c r="F45" i="3"/>
  <c r="J45" i="3" s="1"/>
  <c r="I45" i="3"/>
  <c r="F60" i="3"/>
  <c r="J60" i="3" s="1"/>
  <c r="L60" i="3" s="1"/>
  <c r="I60" i="3"/>
  <c r="F96" i="3"/>
  <c r="J96" i="3" s="1"/>
  <c r="I96" i="3"/>
  <c r="F114" i="3"/>
  <c r="J114" i="3" s="1"/>
  <c r="I114" i="3"/>
  <c r="F52" i="3"/>
  <c r="J52" i="3" s="1"/>
  <c r="I52" i="3"/>
  <c r="F70" i="3"/>
  <c r="J70" i="3" s="1"/>
  <c r="L70" i="3" s="1"/>
  <c r="I70" i="3"/>
  <c r="F87" i="3"/>
  <c r="J87" i="3" s="1"/>
  <c r="I87" i="3"/>
  <c r="F103" i="3"/>
  <c r="J103" i="3" s="1"/>
  <c r="I103" i="3"/>
  <c r="I24" i="3"/>
  <c r="F24" i="3"/>
  <c r="J24" i="3" s="1"/>
  <c r="I12" i="3"/>
  <c r="F12" i="3"/>
  <c r="J12" i="3" s="1"/>
  <c r="I29" i="3"/>
  <c r="F29" i="3"/>
  <c r="J29" i="3" s="1"/>
  <c r="I38" i="3"/>
  <c r="F38" i="3"/>
  <c r="J38" i="3" s="1"/>
  <c r="F61" i="3"/>
  <c r="J61" i="3" s="1"/>
  <c r="L61" i="3" s="1"/>
  <c r="I61" i="3"/>
  <c r="F74" i="3"/>
  <c r="J74" i="3" s="1"/>
  <c r="L74" i="3" s="1"/>
  <c r="I74" i="3"/>
  <c r="F107" i="3"/>
  <c r="J107" i="3" s="1"/>
  <c r="L107" i="3" s="1"/>
  <c r="I107" i="3"/>
  <c r="F136" i="3"/>
  <c r="J136" i="3" s="1"/>
  <c r="I136" i="3"/>
  <c r="I16" i="3"/>
  <c r="F16" i="3"/>
  <c r="J16" i="3" s="1"/>
  <c r="I25" i="3"/>
  <c r="F25" i="3"/>
  <c r="J25" i="3" s="1"/>
  <c r="I31" i="3"/>
  <c r="F31" i="3"/>
  <c r="J31" i="3" s="1"/>
  <c r="F82" i="3"/>
  <c r="J82" i="3" s="1"/>
  <c r="I82" i="3"/>
  <c r="F126" i="3"/>
  <c r="J126" i="3" s="1"/>
  <c r="I126" i="3"/>
  <c r="I142" i="3"/>
  <c r="F142" i="3"/>
  <c r="J142" i="3" s="1"/>
  <c r="F101" i="3"/>
  <c r="J101" i="3" s="1"/>
  <c r="I101" i="3"/>
  <c r="I158" i="3"/>
  <c r="F158" i="3"/>
  <c r="J158" i="3" s="1"/>
  <c r="I58" i="3"/>
  <c r="I68" i="3"/>
  <c r="F68" i="3"/>
  <c r="J68" i="3" s="1"/>
  <c r="L68" i="3" s="1"/>
  <c r="I76" i="3"/>
  <c r="I94" i="3"/>
  <c r="F94" i="3"/>
  <c r="J94" i="3" s="1"/>
  <c r="I105" i="3"/>
  <c r="I131" i="3"/>
  <c r="F131" i="3"/>
  <c r="J131" i="3" s="1"/>
  <c r="I139" i="3"/>
  <c r="I48" i="3"/>
  <c r="F66" i="3"/>
  <c r="J66" i="3" s="1"/>
  <c r="L66" i="3" s="1"/>
  <c r="I66" i="3"/>
  <c r="F91" i="3"/>
  <c r="J91" i="3" s="1"/>
  <c r="I91" i="3"/>
  <c r="F128" i="3"/>
  <c r="J128" i="3" s="1"/>
  <c r="I128" i="3"/>
  <c r="J139" i="3"/>
  <c r="I144" i="3"/>
  <c r="F144" i="3"/>
  <c r="J144" i="3" s="1"/>
  <c r="I160" i="3"/>
  <c r="J48" i="3"/>
  <c r="J46" i="3"/>
  <c r="I64" i="3"/>
  <c r="F64" i="3"/>
  <c r="J64" i="3" s="1"/>
  <c r="L64" i="3" s="1"/>
  <c r="I89" i="3"/>
  <c r="F89" i="3"/>
  <c r="J89" i="3" s="1"/>
  <c r="I124" i="3"/>
  <c r="F124" i="3"/>
  <c r="J124" i="3" s="1"/>
  <c r="F155" i="3"/>
  <c r="J155" i="3" s="1"/>
  <c r="I155" i="3"/>
  <c r="J160" i="3"/>
  <c r="F147" i="3"/>
  <c r="J147" i="3" s="1"/>
  <c r="I147" i="3"/>
  <c r="J43" i="3"/>
  <c r="J59" i="3"/>
  <c r="L59" i="3" s="1"/>
  <c r="F85" i="3"/>
  <c r="J85" i="3" s="1"/>
  <c r="I85" i="3"/>
  <c r="F113" i="3"/>
  <c r="J113" i="3" s="1"/>
  <c r="I113" i="3"/>
  <c r="F100" i="3"/>
  <c r="J100" i="3" s="1"/>
  <c r="I100" i="3"/>
  <c r="I46" i="3"/>
  <c r="I67" i="3"/>
  <c r="I81" i="3"/>
  <c r="F81" i="3"/>
  <c r="J81" i="3" s="1"/>
  <c r="I92" i="3"/>
  <c r="I106" i="3"/>
  <c r="F106" i="3"/>
  <c r="J106" i="3" s="1"/>
  <c r="L106" i="3" s="1"/>
  <c r="I130" i="3"/>
  <c r="F140" i="3"/>
  <c r="J140" i="3" s="1"/>
  <c r="I140" i="3"/>
  <c r="I150" i="3"/>
  <c r="F150" i="3"/>
  <c r="J150" i="3" s="1"/>
  <c r="F71" i="3"/>
  <c r="J71" i="3" s="1"/>
  <c r="L71" i="3" s="1"/>
  <c r="I71" i="3"/>
  <c r="F134" i="3"/>
  <c r="J134" i="3" s="1"/>
  <c r="I134" i="3"/>
  <c r="I43" i="3"/>
  <c r="I59" i="3"/>
  <c r="F75" i="3"/>
  <c r="J75" i="3" s="1"/>
  <c r="L75" i="3" s="1"/>
  <c r="I75" i="3"/>
  <c r="F104" i="3"/>
  <c r="J104" i="3" s="1"/>
  <c r="L104" i="3" s="1"/>
  <c r="I104" i="3"/>
  <c r="F162" i="3"/>
  <c r="J162" i="3" s="1"/>
  <c r="I162" i="3"/>
  <c r="J58" i="3"/>
  <c r="L58" i="3" s="1"/>
  <c r="I73" i="3"/>
  <c r="F73" i="3"/>
  <c r="J73" i="3" s="1"/>
  <c r="L73" i="3" s="1"/>
  <c r="I102" i="3"/>
  <c r="F102" i="3"/>
  <c r="J102" i="3" s="1"/>
  <c r="I138" i="3"/>
  <c r="F138" i="3"/>
  <c r="J138" i="3" s="1"/>
  <c r="I153" i="3"/>
  <c r="F383" i="1"/>
  <c r="J383" i="1" s="1"/>
  <c r="I383" i="1"/>
  <c r="F385" i="1"/>
  <c r="J385" i="1" s="1"/>
  <c r="I385" i="1"/>
  <c r="F376" i="1"/>
  <c r="I365" i="1"/>
  <c r="F365" i="1"/>
  <c r="J365" i="1" s="1"/>
  <c r="L365" i="1" s="1"/>
  <c r="F369" i="1"/>
  <c r="J369" i="1" s="1"/>
  <c r="I369" i="1"/>
  <c r="I362" i="1"/>
  <c r="F362" i="1"/>
  <c r="J362" i="1" s="1"/>
  <c r="I366" i="1"/>
  <c r="F366" i="1"/>
  <c r="J366" i="1" s="1"/>
  <c r="I370" i="1"/>
  <c r="F370" i="1"/>
  <c r="J370" i="1" s="1"/>
  <c r="L370" i="1" s="1"/>
  <c r="F363" i="1"/>
  <c r="J363" i="1" s="1"/>
  <c r="I363" i="1"/>
  <c r="F367" i="1"/>
  <c r="J367" i="1" s="1"/>
  <c r="L367" i="1" s="1"/>
  <c r="I367" i="1"/>
  <c r="F371" i="1"/>
  <c r="J371" i="1" s="1"/>
  <c r="I371" i="1"/>
  <c r="F364" i="1"/>
  <c r="J364" i="1" s="1"/>
  <c r="I364" i="1"/>
  <c r="F368" i="1"/>
  <c r="J368" i="1" s="1"/>
  <c r="L368" i="1" s="1"/>
  <c r="I368" i="1"/>
  <c r="F372" i="1"/>
  <c r="I372" i="1"/>
  <c r="I298" i="1"/>
  <c r="F298" i="1"/>
  <c r="J298" i="1" s="1"/>
  <c r="I305" i="1"/>
  <c r="F305" i="1"/>
  <c r="J305" i="1" s="1"/>
  <c r="I315" i="1"/>
  <c r="F315" i="1"/>
  <c r="J315" i="1" s="1"/>
  <c r="F318" i="1"/>
  <c r="J318" i="1" s="1"/>
  <c r="I318" i="1"/>
  <c r="I321" i="1"/>
  <c r="F321" i="1"/>
  <c r="J321" i="1" s="1"/>
  <c r="I326" i="1"/>
  <c r="F326" i="1"/>
  <c r="J326" i="1" s="1"/>
  <c r="L326" i="1" s="1"/>
  <c r="F341" i="1"/>
  <c r="J341" i="1" s="1"/>
  <c r="I341" i="1"/>
  <c r="F346" i="1"/>
  <c r="J346" i="1" s="1"/>
  <c r="I346" i="1"/>
  <c r="I350" i="1"/>
  <c r="F350" i="1"/>
  <c r="J350" i="1" s="1"/>
  <c r="L350" i="1" s="1"/>
  <c r="F296" i="1"/>
  <c r="J296" i="1" s="1"/>
  <c r="I296" i="1"/>
  <c r="I307" i="1"/>
  <c r="F307" i="1"/>
  <c r="J307" i="1" s="1"/>
  <c r="F319" i="1"/>
  <c r="J319" i="1" s="1"/>
  <c r="I319" i="1"/>
  <c r="F324" i="1"/>
  <c r="J324" i="1" s="1"/>
  <c r="L324" i="1" s="1"/>
  <c r="I324" i="1"/>
  <c r="I332" i="1"/>
  <c r="F332" i="1"/>
  <c r="J332" i="1" s="1"/>
  <c r="I335" i="1"/>
  <c r="F335" i="1"/>
  <c r="J335" i="1" s="1"/>
  <c r="F348" i="1"/>
  <c r="J348" i="1" s="1"/>
  <c r="L348" i="1" s="1"/>
  <c r="I348" i="1"/>
  <c r="F356" i="1"/>
  <c r="J356" i="1" s="1"/>
  <c r="I356" i="1"/>
  <c r="I311" i="1"/>
  <c r="F311" i="1"/>
  <c r="J311" i="1" s="1"/>
  <c r="F300" i="1"/>
  <c r="J300" i="1" s="1"/>
  <c r="I300" i="1"/>
  <c r="F303" i="1"/>
  <c r="J303" i="1" s="1"/>
  <c r="I303" i="1"/>
  <c r="F308" i="1"/>
  <c r="J308" i="1" s="1"/>
  <c r="I308" i="1"/>
  <c r="I313" i="1"/>
  <c r="F313" i="1"/>
  <c r="J313" i="1" s="1"/>
  <c r="I316" i="1"/>
  <c r="F316" i="1"/>
  <c r="J316" i="1" s="1"/>
  <c r="I325" i="1"/>
  <c r="F325" i="1"/>
  <c r="J325" i="1" s="1"/>
  <c r="F333" i="1"/>
  <c r="J333" i="1" s="1"/>
  <c r="I333" i="1"/>
  <c r="I337" i="1"/>
  <c r="F337" i="1"/>
  <c r="J337" i="1" s="1"/>
  <c r="I342" i="1"/>
  <c r="F342" i="1"/>
  <c r="J342" i="1" s="1"/>
  <c r="I357" i="1"/>
  <c r="F357" i="1"/>
  <c r="J357" i="1" s="1"/>
  <c r="I297" i="1"/>
  <c r="F297" i="1"/>
  <c r="J297" i="1" s="1"/>
  <c r="F309" i="1"/>
  <c r="J309" i="1" s="1"/>
  <c r="I309" i="1"/>
  <c r="F314" i="1"/>
  <c r="J314" i="1" s="1"/>
  <c r="I314" i="1"/>
  <c r="I317" i="1"/>
  <c r="F317" i="1"/>
  <c r="J317" i="1" s="1"/>
  <c r="I320" i="1"/>
  <c r="F320" i="1"/>
  <c r="J320" i="1" s="1"/>
  <c r="F334" i="1"/>
  <c r="J334" i="1" s="1"/>
  <c r="I334" i="1"/>
  <c r="F339" i="1"/>
  <c r="J339" i="1" s="1"/>
  <c r="I339" i="1"/>
  <c r="I344" i="1"/>
  <c r="F344" i="1"/>
  <c r="J344" i="1" s="1"/>
  <c r="I349" i="1"/>
  <c r="F349" i="1"/>
  <c r="J349" i="1" s="1"/>
  <c r="L349" i="1" s="1"/>
  <c r="I208" i="1"/>
  <c r="F208" i="1"/>
  <c r="J208" i="1" s="1"/>
  <c r="I235" i="1"/>
  <c r="F235" i="1"/>
  <c r="J235" i="1" s="1"/>
  <c r="L235" i="1" s="1"/>
  <c r="F146" i="1"/>
  <c r="J146" i="1" s="1"/>
  <c r="I146" i="1"/>
  <c r="F153" i="1"/>
  <c r="J153" i="1" s="1"/>
  <c r="I153" i="1"/>
  <c r="H172" i="1"/>
  <c r="J172" i="1" s="1"/>
  <c r="I172" i="1"/>
  <c r="I184" i="1"/>
  <c r="I273" i="1"/>
  <c r="F273" i="1"/>
  <c r="J273" i="1" s="1"/>
  <c r="I258" i="1"/>
  <c r="F258" i="1"/>
  <c r="J258" i="1" s="1"/>
  <c r="I144" i="1"/>
  <c r="F144" i="1"/>
  <c r="J144" i="1" s="1"/>
  <c r="I149" i="1"/>
  <c r="F149" i="1"/>
  <c r="J149" i="1" s="1"/>
  <c r="I157" i="1"/>
  <c r="F157" i="1"/>
  <c r="J157" i="1" s="1"/>
  <c r="H191" i="1"/>
  <c r="J191" i="1" s="1"/>
  <c r="I191" i="1"/>
  <c r="I145" i="1"/>
  <c r="F145" i="1"/>
  <c r="J145" i="1" s="1"/>
  <c r="J148" i="1"/>
  <c r="I151" i="1"/>
  <c r="F151" i="1"/>
  <c r="J151" i="1" s="1"/>
  <c r="J155" i="1"/>
  <c r="I263" i="1"/>
  <c r="F263" i="1"/>
  <c r="J263" i="1" s="1"/>
  <c r="I175" i="1"/>
  <c r="F175" i="1"/>
  <c r="J175" i="1" s="1"/>
  <c r="I267" i="1"/>
  <c r="F267" i="1"/>
  <c r="J267" i="1" s="1"/>
  <c r="I159" i="1"/>
  <c r="F159" i="1"/>
  <c r="J159" i="1" s="1"/>
  <c r="F167" i="1"/>
  <c r="J167" i="1" s="1"/>
  <c r="I167" i="1"/>
  <c r="F180" i="1"/>
  <c r="J180" i="1" s="1"/>
  <c r="I180" i="1"/>
  <c r="I213" i="1"/>
  <c r="F213" i="1"/>
  <c r="J213" i="1" s="1"/>
  <c r="F197" i="1"/>
  <c r="J197" i="1" s="1"/>
  <c r="I197" i="1"/>
  <c r="F215" i="1"/>
  <c r="J215" i="1" s="1"/>
  <c r="I215" i="1"/>
  <c r="I259" i="1"/>
  <c r="F259" i="1"/>
  <c r="J259" i="1" s="1"/>
  <c r="J266" i="1"/>
  <c r="I268" i="1"/>
  <c r="F268" i="1"/>
  <c r="J268" i="1" s="1"/>
  <c r="I274" i="1"/>
  <c r="F274" i="1"/>
  <c r="J274" i="1" s="1"/>
  <c r="F174" i="1"/>
  <c r="J174" i="1" s="1"/>
  <c r="I174" i="1"/>
  <c r="I241" i="1"/>
  <c r="F241" i="1"/>
  <c r="J241" i="1" s="1"/>
  <c r="L241" i="1" s="1"/>
  <c r="I182" i="1"/>
  <c r="F182" i="1"/>
  <c r="J182" i="1" s="1"/>
  <c r="F185" i="1"/>
  <c r="J185" i="1" s="1"/>
  <c r="I185" i="1"/>
  <c r="F211" i="1"/>
  <c r="J211" i="1" s="1"/>
  <c r="I211" i="1"/>
  <c r="I225" i="1"/>
  <c r="F225" i="1"/>
  <c r="J225" i="1" s="1"/>
  <c r="I253" i="1"/>
  <c r="F253" i="1"/>
  <c r="J253" i="1" s="1"/>
  <c r="J277" i="1"/>
  <c r="I205" i="1"/>
  <c r="F205" i="1"/>
  <c r="J205" i="1" s="1"/>
  <c r="I161" i="1"/>
  <c r="F161" i="1"/>
  <c r="J161" i="1" s="1"/>
  <c r="F184" i="1"/>
  <c r="J184" i="1" s="1"/>
  <c r="I204" i="1"/>
  <c r="F204" i="1"/>
  <c r="J204" i="1" s="1"/>
  <c r="F206" i="1"/>
  <c r="J206" i="1" s="1"/>
  <c r="F207" i="1"/>
  <c r="J207" i="1" s="1"/>
  <c r="I207" i="1"/>
  <c r="I210" i="1"/>
  <c r="I217" i="1"/>
  <c r="F217" i="1"/>
  <c r="J217" i="1" s="1"/>
  <c r="I242" i="1"/>
  <c r="F242" i="1"/>
  <c r="J242" i="1" s="1"/>
  <c r="L242" i="1" s="1"/>
  <c r="F262" i="1"/>
  <c r="J262" i="1" s="1"/>
  <c r="I262" i="1"/>
  <c r="F234" i="1"/>
  <c r="J234" i="1" s="1"/>
  <c r="L234" i="1" s="1"/>
  <c r="I234" i="1"/>
  <c r="I209" i="1"/>
  <c r="F209" i="1"/>
  <c r="J209" i="1" s="1"/>
  <c r="F223" i="1"/>
  <c r="J223" i="1" s="1"/>
  <c r="I223" i="1"/>
  <c r="I264" i="1"/>
  <c r="F264" i="1"/>
  <c r="J264" i="1" s="1"/>
  <c r="F165" i="1"/>
  <c r="I190" i="1"/>
  <c r="I212" i="1"/>
  <c r="F212" i="1"/>
  <c r="J212" i="1" s="1"/>
  <c r="J214" i="1"/>
  <c r="I236" i="1"/>
  <c r="F236" i="1"/>
  <c r="J236" i="1" s="1"/>
  <c r="L236" i="1" s="1"/>
  <c r="F255" i="1"/>
  <c r="J255" i="1" s="1"/>
  <c r="I255" i="1"/>
  <c r="I261" i="1"/>
  <c r="I265" i="1"/>
  <c r="F271" i="1"/>
  <c r="J271" i="1" s="1"/>
  <c r="I271" i="1"/>
  <c r="I178" i="1"/>
  <c r="I171" i="1"/>
  <c r="J190" i="1"/>
  <c r="J210" i="1"/>
  <c r="I232" i="1"/>
  <c r="F232" i="1"/>
  <c r="J232" i="1" s="1"/>
  <c r="L232" i="1" s="1"/>
  <c r="F244" i="1"/>
  <c r="J244" i="1" s="1"/>
  <c r="L244" i="1" s="1"/>
  <c r="I244" i="1"/>
  <c r="I254" i="1"/>
  <c r="I269" i="1"/>
  <c r="I276" i="1"/>
  <c r="I189" i="1"/>
  <c r="F189" i="1"/>
  <c r="J189" i="1" s="1"/>
  <c r="I245" i="1"/>
  <c r="F245" i="1"/>
  <c r="J245" i="1" s="1"/>
  <c r="L245" i="1" s="1"/>
  <c r="I169" i="1"/>
  <c r="F169" i="1"/>
  <c r="J169" i="1" s="1"/>
  <c r="J171" i="1"/>
  <c r="J178" i="1"/>
  <c r="I219" i="1"/>
  <c r="F219" i="1"/>
  <c r="J219" i="1" s="1"/>
  <c r="F238" i="1"/>
  <c r="J238" i="1" s="1"/>
  <c r="L238" i="1" s="1"/>
  <c r="I238" i="1"/>
  <c r="I243" i="1"/>
  <c r="J261" i="1"/>
  <c r="I266" i="1"/>
  <c r="I277" i="1"/>
  <c r="F123" i="1"/>
  <c r="J123" i="1" s="1"/>
  <c r="I123" i="1"/>
  <c r="F126" i="1"/>
  <c r="J126" i="1" s="1"/>
  <c r="I126" i="1"/>
  <c r="F130" i="1"/>
  <c r="J130" i="1" s="1"/>
  <c r="I130" i="1"/>
  <c r="I135" i="1"/>
  <c r="F135" i="1"/>
  <c r="J135" i="1" s="1"/>
  <c r="I20" i="1"/>
  <c r="F20" i="1"/>
  <c r="J20" i="1" s="1"/>
  <c r="I128" i="1"/>
  <c r="F128" i="1"/>
  <c r="J128" i="1" s="1"/>
  <c r="F23" i="1"/>
  <c r="J23" i="1" s="1"/>
  <c r="I23" i="1"/>
  <c r="I21" i="1"/>
  <c r="F21" i="1"/>
  <c r="J21" i="1" s="1"/>
  <c r="I127" i="1"/>
  <c r="F127" i="1"/>
  <c r="J127" i="1" s="1"/>
  <c r="F132" i="1"/>
  <c r="J132" i="1" s="1"/>
  <c r="I132" i="1"/>
  <c r="F136" i="1"/>
  <c r="J136" i="1" s="1"/>
  <c r="I136" i="1"/>
  <c r="F125" i="1"/>
  <c r="J125" i="1" s="1"/>
  <c r="I125" i="1"/>
  <c r="F22" i="1"/>
  <c r="J22" i="1" s="1"/>
  <c r="I22" i="1"/>
  <c r="I124" i="1"/>
  <c r="F124" i="1"/>
  <c r="J124" i="1" s="1"/>
  <c r="I134" i="1"/>
  <c r="F134" i="1"/>
  <c r="J134" i="1" s="1"/>
  <c r="F137" i="1"/>
  <c r="J137" i="1" s="1"/>
  <c r="I137" i="1"/>
  <c r="I13" i="1"/>
  <c r="F13" i="1"/>
  <c r="J13" i="1" s="1"/>
  <c r="F10" i="1"/>
  <c r="I10" i="1"/>
  <c r="F11" i="1"/>
  <c r="J11" i="1" s="1"/>
  <c r="I11" i="1"/>
  <c r="F14" i="1"/>
  <c r="J14" i="1" s="1"/>
  <c r="I14" i="1"/>
  <c r="I12" i="1"/>
  <c r="F12" i="1"/>
  <c r="J12" i="1" s="1"/>
  <c r="F15" i="1"/>
  <c r="J15" i="1" s="1"/>
  <c r="I15" i="1"/>
  <c r="U8" i="1"/>
  <c r="L172" i="3" l="1"/>
  <c r="J372" i="1"/>
  <c r="H165" i="1"/>
  <c r="J165" i="1" s="1"/>
  <c r="I165" i="1"/>
  <c r="J10" i="1"/>
  <c r="B12" i="5" l="1"/>
  <c r="I72" i="4"/>
  <c r="J53" i="4"/>
  <c r="I53" i="4"/>
  <c r="H53" i="4"/>
  <c r="F53" i="4"/>
  <c r="I18" i="4"/>
  <c r="H18" i="4"/>
  <c r="F18" i="4"/>
  <c r="I5" i="4"/>
  <c r="H5" i="4"/>
  <c r="H10" i="4" s="1"/>
  <c r="F5" i="4"/>
  <c r="J68" i="4" l="1"/>
  <c r="F68" i="4"/>
  <c r="F8" i="4"/>
  <c r="H68" i="4"/>
  <c r="H105" i="4"/>
  <c r="H48" i="4"/>
  <c r="F105" i="4"/>
  <c r="F107" i="4"/>
  <c r="H80" i="4"/>
  <c r="H107" i="4"/>
  <c r="H73" i="4"/>
  <c r="J48" i="4"/>
  <c r="F72" i="4"/>
  <c r="J72" i="4" s="1"/>
  <c r="J5" i="4"/>
  <c r="H43" i="4"/>
  <c r="H8" i="4"/>
  <c r="F10" i="4"/>
  <c r="J18" i="4"/>
  <c r="F70" i="4"/>
  <c r="F48" i="4"/>
  <c r="F80" i="4"/>
  <c r="F43" i="4"/>
  <c r="H70" i="4"/>
  <c r="J105" i="4" l="1"/>
  <c r="J80" i="4"/>
  <c r="J107" i="4"/>
  <c r="F73" i="4"/>
  <c r="J8" i="4"/>
  <c r="J10" i="4"/>
  <c r="J43" i="4"/>
  <c r="J70" i="4"/>
  <c r="J73" i="4"/>
  <c r="J114" i="4" l="1"/>
  <c r="B7" i="5" s="1"/>
  <c r="I119" i="3"/>
  <c r="H115" i="3"/>
  <c r="F115" i="3"/>
  <c r="I8" i="3"/>
  <c r="H8" i="3"/>
  <c r="F8" i="3"/>
  <c r="J115" i="3" l="1"/>
  <c r="F77" i="3"/>
  <c r="F54" i="3"/>
  <c r="H163" i="3"/>
  <c r="F97" i="3"/>
  <c r="H120" i="3"/>
  <c r="H168" i="3" s="1"/>
  <c r="H54" i="3"/>
  <c r="H19" i="3"/>
  <c r="F34" i="3"/>
  <c r="H49" i="3"/>
  <c r="H77" i="3"/>
  <c r="J8" i="3"/>
  <c r="J119" i="3"/>
  <c r="H97" i="3"/>
  <c r="F19" i="3"/>
  <c r="J54" i="3"/>
  <c r="H108" i="3"/>
  <c r="F163" i="3"/>
  <c r="H34" i="3"/>
  <c r="F108" i="3"/>
  <c r="F13" i="3"/>
  <c r="F49" i="3"/>
  <c r="H13" i="3"/>
  <c r="F117" i="3"/>
  <c r="H117" i="3"/>
  <c r="J34" i="3" l="1"/>
  <c r="J19" i="3"/>
  <c r="J108" i="3"/>
  <c r="J77" i="3"/>
  <c r="J49" i="3"/>
  <c r="J13" i="3"/>
  <c r="F120" i="3"/>
  <c r="J97" i="3"/>
  <c r="J163" i="3"/>
  <c r="J117" i="3"/>
  <c r="J120" i="3"/>
  <c r="J168" i="3" l="1"/>
  <c r="R172" i="3" s="1"/>
  <c r="V172" i="3" s="1"/>
  <c r="B6" i="5" l="1"/>
  <c r="V170" i="3"/>
  <c r="H386" i="1"/>
  <c r="F358" i="1"/>
  <c r="I289" i="1"/>
  <c r="H289" i="1"/>
  <c r="F289" i="1"/>
  <c r="I288" i="1"/>
  <c r="H288" i="1"/>
  <c r="F288" i="1"/>
  <c r="I287" i="1"/>
  <c r="H287" i="1"/>
  <c r="F287" i="1"/>
  <c r="I286" i="1"/>
  <c r="H286" i="1"/>
  <c r="F286" i="1"/>
  <c r="I285" i="1"/>
  <c r="H285" i="1"/>
  <c r="F285" i="1"/>
  <c r="I284" i="1"/>
  <c r="H284" i="1"/>
  <c r="F284" i="1"/>
  <c r="F199" i="1"/>
  <c r="I9" i="1"/>
  <c r="H9" i="1"/>
  <c r="F193" i="1" l="1"/>
  <c r="J9" i="1"/>
  <c r="J16" i="1" s="1"/>
  <c r="J284" i="1"/>
  <c r="H247" i="1"/>
  <c r="F388" i="1"/>
  <c r="H358" i="1"/>
  <c r="F291" i="1"/>
  <c r="J287" i="1"/>
  <c r="F247" i="1"/>
  <c r="H193" i="1"/>
  <c r="H139" i="1"/>
  <c r="F279" i="1"/>
  <c r="H328" i="1"/>
  <c r="H279" i="1"/>
  <c r="J286" i="1"/>
  <c r="F328" i="1"/>
  <c r="H374" i="1"/>
  <c r="H227" i="1"/>
  <c r="J285" i="1"/>
  <c r="J289" i="1"/>
  <c r="H351" i="1"/>
  <c r="H291" i="1"/>
  <c r="J288" i="1"/>
  <c r="H388" i="1"/>
  <c r="H28" i="1"/>
  <c r="H24" i="1"/>
  <c r="F28" i="1"/>
  <c r="F24" i="1"/>
  <c r="F16" i="1"/>
  <c r="F26" i="1"/>
  <c r="H16" i="1"/>
  <c r="H26" i="1"/>
  <c r="J199" i="1"/>
  <c r="H199" i="1"/>
  <c r="F227" i="1"/>
  <c r="F386" i="1"/>
  <c r="F351" i="1"/>
  <c r="F139" i="1"/>
  <c r="M1" i="1" s="1"/>
  <c r="M2" i="1" s="1"/>
  <c r="M3" i="1" s="1"/>
  <c r="M4" i="1" s="1"/>
  <c r="M5" i="1" s="1"/>
  <c r="F374" i="1"/>
  <c r="M6" i="1" l="1"/>
  <c r="M7" i="1" s="1"/>
  <c r="J358" i="1"/>
  <c r="J193" i="1"/>
  <c r="J247" i="1"/>
  <c r="J351" i="1"/>
  <c r="J227" i="1"/>
  <c r="J139" i="1"/>
  <c r="J386" i="1"/>
  <c r="J388" i="1"/>
  <c r="J26" i="1"/>
  <c r="J279" i="1"/>
  <c r="J28" i="1"/>
  <c r="J24" i="1"/>
  <c r="J291" i="1"/>
  <c r="J328" i="1"/>
  <c r="J374" i="1" l="1"/>
  <c r="S376" i="1" s="1"/>
  <c r="V376" i="1" s="1"/>
  <c r="V390" i="1" s="1"/>
  <c r="R393" i="1" s="1"/>
  <c r="F377" i="1"/>
  <c r="U376" i="1" l="1"/>
  <c r="G376" i="1" s="1"/>
  <c r="H376" i="1" s="1"/>
  <c r="J376" i="1" s="1"/>
  <c r="L376" i="1" s="1"/>
  <c r="L394" i="1" s="1"/>
  <c r="G9" i="5" s="1"/>
  <c r="H377" i="1"/>
  <c r="I376" i="1" l="1"/>
  <c r="J377" i="1"/>
  <c r="J393" i="1" s="1"/>
  <c r="S394" i="1" l="1"/>
  <c r="W394" i="1" s="1"/>
  <c r="V393" i="1"/>
  <c r="B4" i="5"/>
  <c r="B9" i="5" s="1"/>
  <c r="B26" i="5" s="1"/>
  <c r="E27" i="5" s="1"/>
  <c r="E9" i="5" l="1"/>
  <c r="F9" i="5" s="1"/>
  <c r="I9" i="5" l="1"/>
  <c r="J9" i="5" s="1"/>
</calcChain>
</file>

<file path=xl/sharedStrings.xml><?xml version="1.0" encoding="utf-8"?>
<sst xmlns="http://schemas.openxmlformats.org/spreadsheetml/2006/main" count="3135" uniqueCount="1104">
  <si>
    <t>ČESKÝ TĚŠÍN - PRODEJNA PRO DŮM A ZAHRADU</t>
  </si>
  <si>
    <t>Tady měnit procenta</t>
  </si>
  <si>
    <t>D.1.4.4 Zařízení silnoproudé elektrotechniky</t>
  </si>
  <si>
    <t>D.1.4.5 Zařízení slaboproudé elektrotechniky</t>
  </si>
  <si>
    <t>D.10, SO44 - Areálové rozvody NN a VO</t>
  </si>
  <si>
    <t>D.11 SO45 - Přípojka VN</t>
  </si>
  <si>
    <t>Nákladová cena</t>
  </si>
  <si>
    <t>% zisk</t>
  </si>
  <si>
    <t>zisk úspory</t>
  </si>
  <si>
    <t>Zisk celkem</t>
  </si>
  <si>
    <t>vyjádřeno v procentech</t>
  </si>
  <si>
    <t>celkem bez DPH</t>
  </si>
  <si>
    <t>MaR</t>
  </si>
  <si>
    <t xml:space="preserve">V otevřených částech Prodejny (tam, kde není podhled) použít závěsný lankový systém např. Skygrip/Walraven. Prosím o jeho poptání a zapracování do CN. </t>
  </si>
  <si>
    <t>Jiří Chovančík</t>
  </si>
  <si>
    <t>j.chovancik@skygrip.cz</t>
  </si>
  <si>
    <t>Název</t>
  </si>
  <si>
    <t>Mj</t>
  </si>
  <si>
    <t>Počet</t>
  </si>
  <si>
    <t>Materiál</t>
  </si>
  <si>
    <t>Materiál celkem</t>
  </si>
  <si>
    <t>Montáž</t>
  </si>
  <si>
    <t>Montáž celkem</t>
  </si>
  <si>
    <t>Cena</t>
  </si>
  <si>
    <t>Cena celkem</t>
  </si>
  <si>
    <t>Poznámka</t>
  </si>
  <si>
    <t/>
  </si>
  <si>
    <t>Dodávka "A"</t>
  </si>
  <si>
    <t>Koeficient</t>
  </si>
  <si>
    <t>Dodávka "C"</t>
  </si>
  <si>
    <t>Montáž "A"</t>
  </si>
  <si>
    <t>Montáž "C"</t>
  </si>
  <si>
    <t>Dodávky</t>
  </si>
  <si>
    <t>Svítidla</t>
  </si>
  <si>
    <t>POZNÁMKA: POČET SVÍTIDEL, CENA,  BUDE UPŘESNĚN FIRMOU THOME</t>
  </si>
  <si>
    <t>B - THOME Lighting s.r.o. CIR0014 CirkLED 24W 2200lm IP44 4K</t>
  </si>
  <si>
    <t>ks</t>
  </si>
  <si>
    <t>B1 - THOME Lighting s.r.o. CIR0013 CirkLED 18W 1600lm IP44 4K</t>
  </si>
  <si>
    <t>D1 - THOME Lighting s.r.o. XED046 XEDO LED PANEL 3600lm 36W IP40 4K 600x600 UGR DALI</t>
  </si>
  <si>
    <t>F8 - THOME lighting s.r.o. SIN0054 ACQUEX °8000lm 55W IP66 4K ATEX 1,5m</t>
  </si>
  <si>
    <t>CH1 (H1) - THOME Lighting s.r.o. MOD0007_280W_840_60° MODY 42000lm 280W IP66 4K 60°</t>
  </si>
  <si>
    <t>V - THOME Lighting s.r.o. TIT2012_69 TITANIA 2G 7800lm 57W IP65 4K třmen</t>
  </si>
  <si>
    <t xml:space="preserve"> SL002 Poplatek za recyklaci svítidla</t>
  </si>
  <si>
    <t>Svítidla - celkem</t>
  </si>
  <si>
    <t>Nouzová svítidla</t>
  </si>
  <si>
    <t>P1 - TMT P1_TMT0066 ONTEC G E1B 101 M/AT/Grey_exit</t>
  </si>
  <si>
    <t>N8 - TMT N8_TMT0003 ITECH M2 302 M/AT/White_zapuštěné</t>
  </si>
  <si>
    <t>N20 - VYRTYCH a.s. BASET-Em-LED-350-4K, 1h Emergency lighting</t>
  </si>
  <si>
    <t>Nouzová svítidla - celkem</t>
  </si>
  <si>
    <t>Dodávky - celkem</t>
  </si>
  <si>
    <t>Elektromontáže</t>
  </si>
  <si>
    <t>D.1.4.4 - Zařízení silnoproudé elektrotechniky</t>
  </si>
  <si>
    <t>Rozváděč RH1</t>
  </si>
  <si>
    <t>Rozváděč volně stojící 3x800x2000x400+100podstavec, IP65/20, dle výkresu č. D.1.4.4.11</t>
  </si>
  <si>
    <t>3VA125-1AA32-0AA0 Jistič</t>
  </si>
  <si>
    <t>Ks</t>
  </si>
  <si>
    <t>3VA9988-0BL33 Vypínací cívka</t>
  </si>
  <si>
    <t>RCD510 Proudový chránič</t>
  </si>
  <si>
    <t>3NP1124-1CA20 Pojistkový odpínač</t>
  </si>
  <si>
    <t>PNA000 80A gG Pojistková vložka</t>
  </si>
  <si>
    <t>PNA000 100A gG Pojistková vložka</t>
  </si>
  <si>
    <t>OPVP14-3 Pojistkový odpínač</t>
  </si>
  <si>
    <t>PV14 63A gG Pojistková vložka</t>
  </si>
  <si>
    <t>SVBC-12,5-3N-MZ Kombinovaný svodič bleskových proudů a přepětí</t>
  </si>
  <si>
    <t>3VA2010-5HL-46-0AA0 Jistič</t>
  </si>
  <si>
    <t>200/5A,5VA,1%</t>
  </si>
  <si>
    <t>LTN-2B-1 Jistič</t>
  </si>
  <si>
    <t>LTE-4B-1 Jistič</t>
  </si>
  <si>
    <t>LTN-6B-1 Jistič</t>
  </si>
  <si>
    <t>LTN-16C-1 Jistič</t>
  </si>
  <si>
    <t>LTN-6B-1N Jistič</t>
  </si>
  <si>
    <t>LTN-10B-1N Jistič</t>
  </si>
  <si>
    <t>LTN-16B-1N Jistič</t>
  </si>
  <si>
    <t>LTN-32B-3 Jistič</t>
  </si>
  <si>
    <t>LTN-16C-3 Jistič</t>
  </si>
  <si>
    <t>LTN-16B-3N Jistič</t>
  </si>
  <si>
    <t>LTN-25C-3N Jistič</t>
  </si>
  <si>
    <t>LTN-32B-3N Jistič</t>
  </si>
  <si>
    <t>LTN-10C-3N Jistič</t>
  </si>
  <si>
    <t>LTN-10B-3N Jistič</t>
  </si>
  <si>
    <t>OLI-10B-1N-030A Proudový chránič s nadproudovou ochranou</t>
  </si>
  <si>
    <t>LFN-40-4-030A Proudový chránič</t>
  </si>
  <si>
    <t>LFN-25-4-030A Proudový chránič</t>
  </si>
  <si>
    <t>RSI-20-10-A230 Instalační stykač</t>
  </si>
  <si>
    <t>RSI-20-20-A230 Instalační stykač</t>
  </si>
  <si>
    <t>RSI-40-04-A230 Instalační stykač</t>
  </si>
  <si>
    <t>RSI-25-40-A230 Instalační stykač</t>
  </si>
  <si>
    <t>PS-RSI-1100 Pomocný spínač</t>
  </si>
  <si>
    <t>MIG-20-10-A230 Impulzní relé</t>
  </si>
  <si>
    <t>MIG-20-20-A230 Impulzní relé</t>
  </si>
  <si>
    <t>UNZ-10T-X024 Napájecí zdroj</t>
  </si>
  <si>
    <t>MSK-001-102 Kolébkový přepínač</t>
  </si>
  <si>
    <t>MSK-10 Kolébkový spínač</t>
  </si>
  <si>
    <t>PT570524-- Relé PT 4P/6A, 24VAC</t>
  </si>
  <si>
    <t>RSP4 Řadová svornice pojistková</t>
  </si>
  <si>
    <t>Svorkovnice, dráty, lišty, průchodky, příslušenství rozváděče</t>
  </si>
  <si>
    <t>klp</t>
  </si>
  <si>
    <t>Rozváděč RH1 - celkem</t>
  </si>
  <si>
    <t>Rozváděč R1</t>
  </si>
  <si>
    <t>Rozváděč volně stojící 1x800x2000x400+100podstavec. IP54/20, dle výkresu č. D.1.4.4.12</t>
  </si>
  <si>
    <t>MSN-125-3 Vypínač</t>
  </si>
  <si>
    <t>SV-LT-X400 Napěťová spoušť</t>
  </si>
  <si>
    <t>LTN-1,6B-1 Jistič</t>
  </si>
  <si>
    <t>LTN-4B-1 Jistič</t>
  </si>
  <si>
    <t>LTN-10B-1 Jistič</t>
  </si>
  <si>
    <t>LTN-16B-1 Jistič</t>
  </si>
  <si>
    <t>LTN-16B-3 Jistič</t>
  </si>
  <si>
    <t>LTN-20B-3 Jistič</t>
  </si>
  <si>
    <t>LTN-25B-3 Jistič</t>
  </si>
  <si>
    <t>LFN-16-2-010AC Proudový chránič</t>
  </si>
  <si>
    <t>OLI-16B-1N-030A Proudový chránič s nadproudovou ochranou</t>
  </si>
  <si>
    <t>SHT-3 /230 1-kanál, 100 programů, automaticky letní/zimní čas, výstup 1x16A, cívka AC 230 V</t>
  </si>
  <si>
    <t>Rozváděč R1 - celkem</t>
  </si>
  <si>
    <t>Elektrické vytápění</t>
  </si>
  <si>
    <t>Elektrický konvektor</t>
  </si>
  <si>
    <t xml:space="preserve"> ECOFLEX TAC 15, 1500W</t>
  </si>
  <si>
    <t xml:space="preserve"> ECOFLEX TAC 10, 1000W</t>
  </si>
  <si>
    <t xml:space="preserve"> ECOFLEX TAC 05, 500W</t>
  </si>
  <si>
    <t xml:space="preserve"> ECOFLEX TAC 07, 750W</t>
  </si>
  <si>
    <t>Topný žebřík KD-E 900/1680 (v=1680mm), včetně topné patrony a termostatem</t>
  </si>
  <si>
    <t xml:space="preserve"> Sada úchytů K(D)-E</t>
  </si>
  <si>
    <t>Elektrický konvektor, EX</t>
  </si>
  <si>
    <t>Sálavý topný panel, ECOSUN, IN-2</t>
  </si>
  <si>
    <t>Regulátor teploty</t>
  </si>
  <si>
    <t xml:space="preserve"> Regulátor teploty, FENIX  TFT</t>
  </si>
  <si>
    <t>Elektrická topná rohož</t>
  </si>
  <si>
    <t xml:space="preserve"> LDTS80/0,8, příkon 60W</t>
  </si>
  <si>
    <t xml:space="preserve"> LDTS100/2,2, příkon 220W</t>
  </si>
  <si>
    <t xml:space="preserve"> LDTS100/2,9, příkon 290W</t>
  </si>
  <si>
    <t xml:space="preserve"> LDTS160/2,1, příkon 340W</t>
  </si>
  <si>
    <t>Elektrické vytápění - celkem</t>
  </si>
  <si>
    <t>Zásuvky, spínače, krabice</t>
  </si>
  <si>
    <t>PODLAHOVÉ KRABICE, ZÁSUVKY, PŘÍSLUŠENSTVÍ</t>
  </si>
  <si>
    <t xml:space="preserve"> Podlahová zásuvka 18 modulová, šedý plast, 9 násobná, včetně příslušenství, LEGRAND, včetně krabice</t>
  </si>
  <si>
    <t xml:space="preserve"> Zásuvka 45x45, s ochranným kolíkem; řazení 2P+PE; d. Profil 45</t>
  </si>
  <si>
    <t xml:space="preserve"> Zásuvka 45x45 s ochranným kolíkem, s clonkami, s ochranou před přepětím, s optickou signalizací poruchy; řazení 2P+PE; d. Profil 45</t>
  </si>
  <si>
    <t>ZÁSUVKA KOMPLETNÍ, S RÁMEČKEM, TANGO, IP20, BARVA BÍLÁ</t>
  </si>
  <si>
    <t xml:space="preserve"> Zásuvka jednonásobná, s ochranným kolíkem; řazení 2P+PE</t>
  </si>
  <si>
    <t xml:space="preserve"> Zásuvka dvojnásobná, s ochranným kolíkem, řazení 2P+PE</t>
  </si>
  <si>
    <t>ZÁSUVKA KOMPLETNÍ, S RÁMEČKEM, FUTURE LINEAR, IP20, BARVA BÍLÁ</t>
  </si>
  <si>
    <t>ZÁSUVKA ZAPUŠTĚNÁ, KOMPLETNÍ ,TANGO, IP44, BARVA BÍLÁ</t>
  </si>
  <si>
    <t xml:space="preserve"> Zásuvka jednonásobná, s ochranným kolíkem; řazení 2P+PE, s víčkem</t>
  </si>
  <si>
    <t>ZÁSUVKA PRŮMYSLOVÁ NÁSTĚNNÁ, IP67</t>
  </si>
  <si>
    <t>IZG1653 16A,400V,3p+N+PE</t>
  </si>
  <si>
    <t>ZÁSUVKOVÉ SKŘÍNĚ</t>
  </si>
  <si>
    <t>Zásuvková rozvodnice jištěná jističi a proudovým chráničem, zásuvka, krytí IP66. Osazené zásuvky: 1x 400V/32A/5p, 1x 400V/16A/5p, 2x 230V/16A, jištění: 1x C25/3, 1x C16/3, 1x B16/1 +FI40/4/003</t>
  </si>
  <si>
    <t>SPÍNAČ BACO,16A,IP20  v krytu IP65</t>
  </si>
  <si>
    <t>VSN16  2 patra, 4 kontakty, AC3</t>
  </si>
  <si>
    <t>SPÍNAČ BACO,63A, V KRYTU IP65</t>
  </si>
  <si>
    <t>VSN63  2 patra, 4 kontakty, AC3</t>
  </si>
  <si>
    <t>SPÍNAČ VENKOVNÍ V Al IP66</t>
  </si>
  <si>
    <t>3558-05750 sériový přepínač</t>
  </si>
  <si>
    <t>STOP TLAČÍTKO PROSKLENNÉ, (CENTRAL/TOTAL STOP), IP55, BARVA ČERVENÁ</t>
  </si>
  <si>
    <t xml:space="preserve"> GW42201 Požární tlačítko 120x120x50 IP55 se 2 kontakty Gewiss</t>
  </si>
  <si>
    <t>STMÍVAČ KOMPLETNÍ, S RÁMEČKEM, FUTURE LINEAR, IP20, BARVA ANTRACITOVÁ</t>
  </si>
  <si>
    <t xml:space="preserve"> Výkonový stmívač, ovládání potenciomerem, spínání tlačítky, DALI, typ strojku: 6599-0-2988</t>
  </si>
  <si>
    <t>POHYBOVÝ SPÍNAČ AUTOMATICKÝ, KOMPLETNÍ, IP20, ABB, BARVA BÍLÁ</t>
  </si>
  <si>
    <t xml:space="preserve"> Spínací prvek relé, ABB 3299-22103</t>
  </si>
  <si>
    <t>SPÍNAČ ŽALUZIOVÝ, IP20, BARVA BÍLÁ, např systém SOMFY</t>
  </si>
  <si>
    <t xml:space="preserve"> Spínač žaluziový s centrální jednotkou, snímačem větru a deště</t>
  </si>
  <si>
    <t>nutné upřesnit</t>
  </si>
  <si>
    <t xml:space="preserve"> Spínač žaluziový spojený s centální jednotkou ovládající žaluzie</t>
  </si>
  <si>
    <t>SPÍNAČ, PŘEPÍNAČ KOMPLETNÍ S RÁMEČKEM, TANGO, IP20, BARVA BÍLÁ</t>
  </si>
  <si>
    <t xml:space="preserve"> Spínač jednopolový, kompletní</t>
  </si>
  <si>
    <t xml:space="preserve"> Spínač dvojpolový, kompletní</t>
  </si>
  <si>
    <t xml:space="preserve"> Vypínač s doutnavkou (1S,1So)</t>
  </si>
  <si>
    <t>SPÍNAČ, PŘEPÍNAČ KOMPLETNÍ S RÁMEČKEM, TANGO, IP44, BARVA BÍLÁ</t>
  </si>
  <si>
    <t xml:space="preserve"> Střídavý přepínač</t>
  </si>
  <si>
    <t>SPORÁKOVA PŘÍPOJKA  3-PÓLOVÁ ZAPUŠTĚNÁ</t>
  </si>
  <si>
    <t xml:space="preserve"> 3425A-0344 B</t>
  </si>
  <si>
    <t>SADA PRO NOUZOVOU SIGNALIZACI, ABB, IP20, BARVA ALPSKÁ BÍLÁ</t>
  </si>
  <si>
    <t xml:space="preserve"> Sada pro nouzovou signalizaci, TYP: 3280B-C10001 B</t>
  </si>
  <si>
    <t>KP 68/2 KRABICE PŘÍSTROJOVÁ</t>
  </si>
  <si>
    <t>KU 68-1902 KRABICE ODBOČNÁ s víčkem</t>
  </si>
  <si>
    <t>KR 97 KRABICE ROZVODNÁ</t>
  </si>
  <si>
    <t>DK-KABELOVÉ KRABICOVÉ ROZVODKY IP 65</t>
  </si>
  <si>
    <t>BEZ KABELOVÝCH VSTUPŮ /plné stěny/</t>
  </si>
  <si>
    <t>VE DNĚ A STĚNÁCH KRABICOVÉ ROZVODKY</t>
  </si>
  <si>
    <t>DK 0202 GZ Nová rozvodnice v krytí IP 66</t>
  </si>
  <si>
    <t>Svorkovnice krabicová, 4x1-2,5mm2</t>
  </si>
  <si>
    <t>Svorkovnice krabicová, 5x1-2,5mm2</t>
  </si>
  <si>
    <t>Zásuvky, spínače, krabice - celkem</t>
  </si>
  <si>
    <t>Ovládací skříně</t>
  </si>
  <si>
    <t>Ovládací skříňka dvoutlačítková, 2 líc., 1Z +1 V - bílé, 1Z + 1V - černé, IP65</t>
  </si>
  <si>
    <t>Ovládací skříně - celkem</t>
  </si>
  <si>
    <t>Kabely</t>
  </si>
  <si>
    <t>KABEL SILOVÝ,IZOLACE PVC</t>
  </si>
  <si>
    <t>CYKY-J 3x1.5</t>
  </si>
  <si>
    <t>m</t>
  </si>
  <si>
    <t>CYKY-J 3x2.5</t>
  </si>
  <si>
    <t>CYKY-J 4x4</t>
  </si>
  <si>
    <t>CYKY-J 5x1.5</t>
  </si>
  <si>
    <t>CYKY-J 5x2.5</t>
  </si>
  <si>
    <t>CYKY-J 5x4</t>
  </si>
  <si>
    <t>CYKY-J 5x6</t>
  </si>
  <si>
    <t>CYKY-J 5x10</t>
  </si>
  <si>
    <t>CYKY-J 5x16</t>
  </si>
  <si>
    <t>CYKY-J 5x50</t>
  </si>
  <si>
    <t>CYKY-J 5x25</t>
  </si>
  <si>
    <t>CYKY-J 12x1.5</t>
  </si>
  <si>
    <t>CYKY-O 5x1.5</t>
  </si>
  <si>
    <t>KABEL SE SNÍŽENOU HOŘLAVOSTÍ, S FUNKČNÍ SCHOPNOSTÍ PŘI POŽÁRU, TŘÍDA REAKCE NA OHEŇ - B2 ca, s1, d0</t>
  </si>
  <si>
    <t>1-CXKH-V-J 4x1.5</t>
  </si>
  <si>
    <t>SDĚLOVACÍ KABEL</t>
  </si>
  <si>
    <t>J-Y(St)Y 2x2x0,8 - žaluzie</t>
  </si>
  <si>
    <t>ŠŇŮRA LEHKÁ,IZOLACE KAUČUK (CGLG)</t>
  </si>
  <si>
    <t>H05RR-F-G 4x1- motory žaluzie</t>
  </si>
  <si>
    <t>KABEL STÍNĚNÝ</t>
  </si>
  <si>
    <t>JYTY-J 7x1 mm</t>
  </si>
  <si>
    <t>Kabely - celkem</t>
  </si>
  <si>
    <t>Ukončení vodičů</t>
  </si>
  <si>
    <t>Ukončení vodičů izolovaných s označením a zapojením na svorkovnici s otevřením a uzavřením krytu</t>
  </si>
  <si>
    <t xml:space="preserve"> do 2,5 mm2</t>
  </si>
  <si>
    <t xml:space="preserve"> 4 mm2</t>
  </si>
  <si>
    <t xml:space="preserve"> 6 mm2</t>
  </si>
  <si>
    <t xml:space="preserve"> 10 mm2</t>
  </si>
  <si>
    <t xml:space="preserve"> 16 mm2</t>
  </si>
  <si>
    <t xml:space="preserve"> 25 mm2</t>
  </si>
  <si>
    <t xml:space="preserve"> 50 mm2</t>
  </si>
  <si>
    <t>UKONČENÍ KABELŮ SMRŠŤOVACÍ</t>
  </si>
  <si>
    <t>ZÁKLOPKOU DO</t>
  </si>
  <si>
    <t xml:space="preserve"> 4x10  mm2</t>
  </si>
  <si>
    <t xml:space="preserve"> 4x16  mm3</t>
  </si>
  <si>
    <t xml:space="preserve"> 4x50  mm2</t>
  </si>
  <si>
    <t xml:space="preserve"> 4x25  mm2</t>
  </si>
  <si>
    <t>Štítky, označení kabelů, stahovací pásky a ostatní</t>
  </si>
  <si>
    <t>Ukončení vodičů - celkem</t>
  </si>
  <si>
    <t>Kabelové trasy, nosné konstrukce</t>
  </si>
  <si>
    <t>KABELOVÝ ŽLAB DRÁTĚNÝ</t>
  </si>
  <si>
    <t>DÉLKA   2,5 M</t>
  </si>
  <si>
    <t>150/50 drátěný žlab</t>
  </si>
  <si>
    <t>150/100 drátěný žlab</t>
  </si>
  <si>
    <t>250/100 drátěný žlab</t>
  </si>
  <si>
    <t>PŘÍSLUŠENSTVÍ  KABELOVÝCH</t>
  </si>
  <si>
    <t>ŽLABŮ DRÁTĚNÝCH</t>
  </si>
  <si>
    <t>TU M8 trapézový úchyt M8</t>
  </si>
  <si>
    <t>Dž 100 závěs</t>
  </si>
  <si>
    <t>TRUBKA OCELOVÁ  ŽÁROVĚ ZINKOVANÁ</t>
  </si>
  <si>
    <t>6016E ZN d 16 mm</t>
  </si>
  <si>
    <t>6025 ZN d 25 mm</t>
  </si>
  <si>
    <t>6040 ZN d 40 mm</t>
  </si>
  <si>
    <t>SB 6.3X45 ŠROUB DO BETONU</t>
  </si>
  <si>
    <t>5225 PŘÍCHYTKA TYP OMEGA, pro požární kabelové trasy</t>
  </si>
  <si>
    <t>1423/1 TRUBKA OHEBNÁ - MONOFLEX</t>
  </si>
  <si>
    <t>1436/1 TRUBKA OHEBNÁ - MONOFLEX</t>
  </si>
  <si>
    <t>1532 TRUBKA TUHÁ PVC 320N délka 3 m barva světle šedá</t>
  </si>
  <si>
    <t>5332 PŘÍCHYTKY TRUBEK  8032</t>
  </si>
  <si>
    <t>ÚHELNIK ROVNORAMENNÝ-11373</t>
  </si>
  <si>
    <t>L 30x30x3mm (1,36 kg/m)</t>
  </si>
  <si>
    <t>kg</t>
  </si>
  <si>
    <t>OCEL.NOSNÉ KONSTR.PRO PŘÍSTR.</t>
  </si>
  <si>
    <t xml:space="preserve">do 5kg </t>
  </si>
  <si>
    <t xml:space="preserve">do 10kg </t>
  </si>
  <si>
    <t>PRŮRAZ CIHLOVÝM ZDIVEM</t>
  </si>
  <si>
    <t xml:space="preserve"> O tloušťce 15cm</t>
  </si>
  <si>
    <t xml:space="preserve"> O tloušťce 30cm</t>
  </si>
  <si>
    <t>Kabelové trasy, nosné konstrukce - celkem</t>
  </si>
  <si>
    <t>Protipožární zabezpečení</t>
  </si>
  <si>
    <t>PROTIPOŽÁRNÍ PŘEPÁŽKY</t>
  </si>
  <si>
    <t xml:space="preserve"> Protip.průchod stropem t 20cm</t>
  </si>
  <si>
    <t>m2</t>
  </si>
  <si>
    <t xml:space="preserve"> Protip.průchod stěnou t 15cm</t>
  </si>
  <si>
    <t xml:space="preserve"> Protip.průchod stěnou t 30cm</t>
  </si>
  <si>
    <t>CP 673 Protipožární nátěr 6kg</t>
  </si>
  <si>
    <t>Minerální vata</t>
  </si>
  <si>
    <t>Montáž a vyplnění štítku požár. uzávěru</t>
  </si>
  <si>
    <t>Protipožární zabezpečení - celkem</t>
  </si>
  <si>
    <t>Hromosvod a uzemnění</t>
  </si>
  <si>
    <t>OCELOVÝ PÁSEK POZINKOVANÝ</t>
  </si>
  <si>
    <t>Páska 30x4 páska 30x4 (0,95 kg/m)</t>
  </si>
  <si>
    <t>Nátěr zemnícího pásku, asfalt</t>
  </si>
  <si>
    <t xml:space="preserve"> Vodič AlMgSi Rd 8 polotvrdý</t>
  </si>
  <si>
    <t>PODPĚRA VEDENÍ</t>
  </si>
  <si>
    <t>PV21c na ploché střechy, plast se štěrkovou výplní ø 144mm</t>
  </si>
  <si>
    <t>ZINKOVANÉ PROVEDENÍ</t>
  </si>
  <si>
    <t>OCELOVÝ DRÁT POZINKOVANÝ</t>
  </si>
  <si>
    <t>Drát 10 drát o 10mm(0,62kg/m)</t>
  </si>
  <si>
    <t xml:space="preserve"> Nátěr svodového vodiče, asfalt</t>
  </si>
  <si>
    <t>JÍMACÍ TYČ A OCHRANNÁ TRUBKA, VČETNĚ PŘÍSLUŠENSTVÍ</t>
  </si>
  <si>
    <t>JR 1,0 AlMgSi s rovným koncem, L 1000mm</t>
  </si>
  <si>
    <t>JR 2,0 AlMgSi s rovným koncem, L 2000mm</t>
  </si>
  <si>
    <t>Betonový podstavec PB19 pro jímač do 2m s podložkou</t>
  </si>
  <si>
    <t>ODDÁLENÝ HROMOSVOD</t>
  </si>
  <si>
    <t>DOHT 6 držák oddáleného hromosvodu na trubku 2"</t>
  </si>
  <si>
    <t>SVORKA HROMOSVODNÍ,UZEMŇOVACÍ</t>
  </si>
  <si>
    <t>SZ zkušební</t>
  </si>
  <si>
    <t>SOa na okapové žlaby</t>
  </si>
  <si>
    <t>SJ k jímací tyči</t>
  </si>
  <si>
    <t>SS spojovací</t>
  </si>
  <si>
    <t>SP připojovací</t>
  </si>
  <si>
    <t>SK křížová</t>
  </si>
  <si>
    <t>SR 3 svorka páska-drát</t>
  </si>
  <si>
    <t>Štítek uzemnění</t>
  </si>
  <si>
    <t>552 030 Průchodka plast</t>
  </si>
  <si>
    <t>MONTÁŽNÍ PRÁCE</t>
  </si>
  <si>
    <t>Tvarování mont.dílu</t>
  </si>
  <si>
    <t>Napojení svárem délky 10cm</t>
  </si>
  <si>
    <t>Měření zemních odporů, zemnící sítě délky pásu přes 500 do 1000m</t>
  </si>
  <si>
    <t>Hromosvod a uzemnění - celkem</t>
  </si>
  <si>
    <t>Uzemnění pospojování</t>
  </si>
  <si>
    <t>VODIČ JEDNOŽILOVÝ, IZOLACE PVC</t>
  </si>
  <si>
    <t>H07V-K 4</t>
  </si>
  <si>
    <t>H07V-K 6</t>
  </si>
  <si>
    <t>H07V-K 16</t>
  </si>
  <si>
    <t>H07V-K 50</t>
  </si>
  <si>
    <t>FeZn-D10 (0,62kg/m)</t>
  </si>
  <si>
    <t>SVORKA HROMOSVODNÍ, UZEMŇOVACÍ</t>
  </si>
  <si>
    <t>SPb připojovací</t>
  </si>
  <si>
    <t>ZEMNÍCÍ SVORKA</t>
  </si>
  <si>
    <t>ZSA16 zemnicí svorka na potrubí</t>
  </si>
  <si>
    <t>Cu pás.ZSA16 Pásek uzemňovací Cu, 0.5m</t>
  </si>
  <si>
    <t>EKVIPOTENCIONÁLNÍ SVORKOVNICE</t>
  </si>
  <si>
    <t>EPS2 EPS 2 s krytem</t>
  </si>
  <si>
    <t>Ukončení vodičů izolovaných s označením a zapojením v rozváděči nebo na přístroji</t>
  </si>
  <si>
    <t>UKONČENÍ VODIČŮ NA SVORKOVNICI</t>
  </si>
  <si>
    <t xml:space="preserve"> Do  6 mm2</t>
  </si>
  <si>
    <t xml:space="preserve"> Do  16 mm2</t>
  </si>
  <si>
    <t xml:space="preserve"> Do  50 mm2</t>
  </si>
  <si>
    <t>Uzemnění pospojování - celkem</t>
  </si>
  <si>
    <t>Revize</t>
  </si>
  <si>
    <t>PROVEDENI REVIZNICH ZKOUSEK</t>
  </si>
  <si>
    <t>DLE CSN 331500</t>
  </si>
  <si>
    <t xml:space="preserve"> Revizni technik</t>
  </si>
  <si>
    <t>hod</t>
  </si>
  <si>
    <t xml:space="preserve"> Spoluprace s reviz.technikem</t>
  </si>
  <si>
    <t>Revize - celkem</t>
  </si>
  <si>
    <t>Ostatní</t>
  </si>
  <si>
    <t>HODINOVE ZUCTOVACI SAZBY</t>
  </si>
  <si>
    <t>Ekologická likvidace odpadu</t>
  </si>
  <si>
    <t>sada</t>
  </si>
  <si>
    <t>Napojení spotřebičů a vývodů</t>
  </si>
  <si>
    <t>Ochranné pomůcky do rozvoden</t>
  </si>
  <si>
    <t>kpl</t>
  </si>
  <si>
    <t>Koordinace s dodavatelem stavby</t>
  </si>
  <si>
    <t>Lešení a plošiny montážní práce ve výšce 10m</t>
  </si>
  <si>
    <t>dní</t>
  </si>
  <si>
    <t>Podíl prací jiných profesí</t>
  </si>
  <si>
    <t>Nepředvídatelné okolnosti v průběhu realizace akce</t>
  </si>
  <si>
    <t>Dokumentace skutečného provedení</t>
  </si>
  <si>
    <t>hod.</t>
  </si>
  <si>
    <t>Uvedení do provozu</t>
  </si>
  <si>
    <t>Protokol měření intenzity osvětlení</t>
  </si>
  <si>
    <t>Ostatní - celkem</t>
  </si>
  <si>
    <t>D.1.4.4 - Zařízení silnoproudé elektrotechniky_x000D_
 - celkem</t>
  </si>
  <si>
    <t>Podružný materiál</t>
  </si>
  <si>
    <t>Elektromontáže - celkem</t>
  </si>
  <si>
    <t>Zemní práce</t>
  </si>
  <si>
    <t>Výkopy pro uzemnění</t>
  </si>
  <si>
    <t>HLOUBENÍ KABELOVÉ RÝHY</t>
  </si>
  <si>
    <t xml:space="preserve"> Zemina třídy 3, šíře 600mm,hloubka 1000mm</t>
  </si>
  <si>
    <t>ZÁHOZ KABELOVÉ RÝHY</t>
  </si>
  <si>
    <t>Výkopy pro uzemnění - celkem</t>
  </si>
  <si>
    <t>Zemní práce - celkem</t>
  </si>
  <si>
    <t>doprava, přesun</t>
  </si>
  <si>
    <t>náklad materiál</t>
  </si>
  <si>
    <t>náklad montáž</t>
  </si>
  <si>
    <t>CELKEM bez DPH</t>
  </si>
  <si>
    <t>hrubý zisk</t>
  </si>
  <si>
    <t>možná</t>
  </si>
  <si>
    <t>rozdíla C-A</t>
  </si>
  <si>
    <t>úspora</t>
  </si>
  <si>
    <t>Příprava kabelových tras, montáž + dodávka</t>
  </si>
  <si>
    <t>No.</t>
  </si>
  <si>
    <t>Číslo položky</t>
  </si>
  <si>
    <t>Popis položky</t>
  </si>
  <si>
    <t>Jedn. cena</t>
  </si>
  <si>
    <t>Celkem</t>
  </si>
  <si>
    <t>220 111761</t>
  </si>
  <si>
    <t>Svorka uzemňovací (mont. vč. materiálu)</t>
  </si>
  <si>
    <t>220 111765</t>
  </si>
  <si>
    <t>Změření zemního odporu</t>
  </si>
  <si>
    <t>KEV.000.8940</t>
  </si>
  <si>
    <t>CY 6 ZZ</t>
  </si>
  <si>
    <t>220 270329</t>
  </si>
  <si>
    <t>Vodič v trubkovodu CY 6</t>
  </si>
  <si>
    <t>220 260021</t>
  </si>
  <si>
    <t>Krabice KO 68 pod omítku vč. vysekání lůžka  (mont. vč. materiálu)</t>
  </si>
  <si>
    <t xml:space="preserve"> </t>
  </si>
  <si>
    <t>220 260024</t>
  </si>
  <si>
    <t>Krabice KO 97 pod omítku vč. vysekání lůžka (mont. vč. materiálu)</t>
  </si>
  <si>
    <t>220 260027</t>
  </si>
  <si>
    <t>Krabice KO 125 pod omítku vč. vysekání lůžka (mont. vč. materiálu)</t>
  </si>
  <si>
    <t>220 260028</t>
  </si>
  <si>
    <t>Krabice KT 250 pod omítku vč. vysekání lůžka (mont. vč. materiálu)</t>
  </si>
  <si>
    <t>220 260103</t>
  </si>
  <si>
    <t>Krabice instalační IP66  (mont. vč. materiálu)</t>
  </si>
  <si>
    <t>220 260106</t>
  </si>
  <si>
    <t>Vyhledání vývodu, krabice</t>
  </si>
  <si>
    <t>220 260111</t>
  </si>
  <si>
    <t>Odvíčkování a zavíčkování krabice na závit</t>
  </si>
  <si>
    <t>220 260113</t>
  </si>
  <si>
    <t>Odvíčkování a zavíčkování krabice na 4 šrouby</t>
  </si>
  <si>
    <t>220 260552</t>
  </si>
  <si>
    <t>Trubka plastová ohebná pod omítkou nebo v podlaze 23 mm (mont. vč. materiálu)</t>
  </si>
  <si>
    <t>220 260554</t>
  </si>
  <si>
    <t>Trubka plastová ohebná pod omítkou nebo v podlaze 36 mm (mont. vč. materiálu)</t>
  </si>
  <si>
    <t>220 260542</t>
  </si>
  <si>
    <t>Trubka  plastová pevná na povrchu 23 mm (mont. vč. materiálu)</t>
  </si>
  <si>
    <t>220 260544</t>
  </si>
  <si>
    <t>Trubka  plastová pevná na povrchu 36 mm (mont. vč. materiálu)</t>
  </si>
  <si>
    <t>KEV.050.0400</t>
  </si>
  <si>
    <t>AY 2,5 B</t>
  </si>
  <si>
    <t>220 261661</t>
  </si>
  <si>
    <t>Značení trasy vedení</t>
  </si>
  <si>
    <t>220 270301</t>
  </si>
  <si>
    <t>Vodič v trubkovodu AY 2,5</t>
  </si>
  <si>
    <t>Žlab MARS 62/50 mm  (mont. vč. základního i instalačního materiálu)</t>
  </si>
  <si>
    <t>220 260722</t>
  </si>
  <si>
    <t>Žlab MARS 125/ 50 mm  (mont. vč. základního i instalačního materiálu)</t>
  </si>
  <si>
    <t>220 260725</t>
  </si>
  <si>
    <t>Žlab MARS 250/50 mm  (mont. vč. základního i instalačního materiálu)</t>
  </si>
  <si>
    <t>220 260924</t>
  </si>
  <si>
    <t>Kabelový rošt šíře 40cm  (mont. vč. základního i instalačního materiálu)</t>
  </si>
  <si>
    <t>220 261101</t>
  </si>
  <si>
    <t>Konstrukce ocelová do 5 kg na m (mont. vč. materiálu)</t>
  </si>
  <si>
    <t>220 261102</t>
  </si>
  <si>
    <t>Konstrukce ocelová do 10 kg na m (mont. vč. materiálu)</t>
  </si>
  <si>
    <t>220 261653</t>
  </si>
  <si>
    <t>Uchycení ocelové konstrukce beton</t>
  </si>
  <si>
    <t>220 261641</t>
  </si>
  <si>
    <t>Osazení hmoždinky 6 mm beton (mont. vč. materiálu)</t>
  </si>
  <si>
    <t>220 261642</t>
  </si>
  <si>
    <t>Osazení hmoždinky 8 mm beton (mont. vč. materiálu)</t>
  </si>
  <si>
    <t>220 261643</t>
  </si>
  <si>
    <t>Osazení hmoždinky 10 mm beton (mont. vč. materiálu)</t>
  </si>
  <si>
    <t>220 261644</t>
  </si>
  <si>
    <t>Osazení hmoždinky 12 mm beton (mont. vč. materiálu)</t>
  </si>
  <si>
    <t>220 730032</t>
  </si>
  <si>
    <t>Vyzvednutí stožáru na plochou střechu</t>
  </si>
  <si>
    <t>220 730033</t>
  </si>
  <si>
    <t>Vyzvednutí soupravy beton. bloků AT</t>
  </si>
  <si>
    <t>220 730051</t>
  </si>
  <si>
    <t>Stožár AT 1 do kotevní konstrukce (mont. vč. materiálu)</t>
  </si>
  <si>
    <t>220 730075</t>
  </si>
  <si>
    <t>Kotvení AT 3 do zdi-beton rovná střecha (mont. vč. materiálu)</t>
  </si>
  <si>
    <t>210 020922</t>
  </si>
  <si>
    <t>Protipož.ucpávka průch.stěnou  t= do 30 cm (mont. vč. materiálu)</t>
  </si>
  <si>
    <t>Koordinace zařízení v zárubních či dveřích</t>
  </si>
  <si>
    <t>Značení kabeláží, tras a rozvaděčů</t>
  </si>
  <si>
    <t>Pomocné montážní práce</t>
  </si>
  <si>
    <t>Nezměřitelné pracovní výkony</t>
  </si>
  <si>
    <t>Drobný elektroinstalační materiál (montáž vč. mat.)</t>
  </si>
  <si>
    <t>Koordinace podlahových krabic (podl.krabice dodávkou NN)</t>
  </si>
  <si>
    <t>Povrchová úprava prvku do daného odstínu - podrobnisti viz.tech.zpráva</t>
  </si>
  <si>
    <t>Zemní práce při montážích, montáž + dodávka</t>
  </si>
  <si>
    <t>460 010024</t>
  </si>
  <si>
    <t>Vytyčení trati kabel.ved.v zast.prostoru</t>
  </si>
  <si>
    <t>km</t>
  </si>
  <si>
    <t>460 080001</t>
  </si>
  <si>
    <t>Betonový základ do rostlé zeminy bez bednění</t>
  </si>
  <si>
    <t>m3</t>
  </si>
  <si>
    <t>460 120061</t>
  </si>
  <si>
    <t>Odvoz zeminy</t>
  </si>
  <si>
    <t>460 120082</t>
  </si>
  <si>
    <t>Skladování zeminy do 14 dnů</t>
  </si>
  <si>
    <t>460 300006</t>
  </si>
  <si>
    <t>Hutnění zeminy,vrstva zeminy do 20 cm</t>
  </si>
  <si>
    <t>460 200164</t>
  </si>
  <si>
    <t>Hloubení kabelové rýhy 35cm šir.,80cm hlub.,zem.tř.4</t>
  </si>
  <si>
    <t>460 420372</t>
  </si>
  <si>
    <t>Zř.kab.lože,kop.pís.,tl.zás.vrst.10cm,cih.napříč,š.35cm</t>
  </si>
  <si>
    <t>460 420501</t>
  </si>
  <si>
    <t>Křižovatka se silovým kabelem</t>
  </si>
  <si>
    <t>460 490012</t>
  </si>
  <si>
    <t>Krytí kab.fólie výstražné z PVC, šířka 33 cm</t>
  </si>
  <si>
    <t>220 060391</t>
  </si>
  <si>
    <t>Zaslepení neobsazeného otvoru kabelovodu</t>
  </si>
  <si>
    <t>220 060411</t>
  </si>
  <si>
    <t>Tlakové utěsnění konce- kabelovod z plastu</t>
  </si>
  <si>
    <t>460 560164</t>
  </si>
  <si>
    <t>Ruční zához kab.rýhy,šíř.35cm,hloub.80cm,zemina třídy 4</t>
  </si>
  <si>
    <t>460 620014</t>
  </si>
  <si>
    <t>Provizorní úprava terénu v přírodní zemině, zem.třídy 4</t>
  </si>
  <si>
    <t>460 200534</t>
  </si>
  <si>
    <t>Hloubení kabelové rýhy 60cm šir.,120cm hlub.,zem.tř.4</t>
  </si>
  <si>
    <t>460 560534</t>
  </si>
  <si>
    <t>Ruční zához kab.rýhy,šíř.60cm,hloub.120cm,zem.třídy 4</t>
  </si>
  <si>
    <t>460 510021</t>
  </si>
  <si>
    <t>Kabelový prostup z KOPOFLEX rour, světlost do 150mm</t>
  </si>
  <si>
    <t>Rozvod univ.kabelové sítě - montáž</t>
  </si>
  <si>
    <t>Montáž 19" panelu do 24 portů RJ 45 - nestín.</t>
  </si>
  <si>
    <t>Montáž 19" panelu do 48 portů RJ 45 - nestín.</t>
  </si>
  <si>
    <t>Montáž 19" pomocného panelu do 4U</t>
  </si>
  <si>
    <t>Uložení kabelu 5.-6.kat. nestín. do trubky, žlabu, na rošt</t>
  </si>
  <si>
    <t>Ukončení - forma na kabelu 5.-6.kat. nestín.</t>
  </si>
  <si>
    <t>Měření 1 segmentu kabelu 5.-6.kat. nestín.</t>
  </si>
  <si>
    <t>Sestavení a montáž zásuvky do 2 modulů RJ 45</t>
  </si>
  <si>
    <t>Montáž modulu zásuvky RJ 45 - nestín.</t>
  </si>
  <si>
    <t>Údaj do měř. protokolu pro 1 segment sítě 5.-6. kat. nestín.</t>
  </si>
  <si>
    <t>Kompletace a vyhotovení měřícího protokolu</t>
  </si>
  <si>
    <t>PC0066660</t>
  </si>
  <si>
    <t>Montáž stojanové 19" skříně (RACKu) nad 40U</t>
  </si>
  <si>
    <t>Montáž 19" police pro nestandardní komponenty</t>
  </si>
  <si>
    <t>PC0066600</t>
  </si>
  <si>
    <t>Montáž kompletního panelu přívodu NN</t>
  </si>
  <si>
    <t>PC0066610</t>
  </si>
  <si>
    <t>Montáž ventilační jednotky do RACKu</t>
  </si>
  <si>
    <t>220 110643</t>
  </si>
  <si>
    <t>Závěrečné práce ve skříni RACK</t>
  </si>
  <si>
    <t>KEV.000.8730</t>
  </si>
  <si>
    <t>CY 4 H</t>
  </si>
  <si>
    <t>220 111876</t>
  </si>
  <si>
    <t>Uzem.rozvaděče (mont. vč. materiálu)</t>
  </si>
  <si>
    <t>220 270324</t>
  </si>
  <si>
    <t>Vodič v trubkovodu CY 4</t>
  </si>
  <si>
    <t>220 061805</t>
  </si>
  <si>
    <t>Zatažení svetlovod.kabelu 2-8vl. ručně - vlákna MM</t>
  </si>
  <si>
    <t>220 061831</t>
  </si>
  <si>
    <t>Svaření 1 vl. svetlovod.kabelu  - vlákna MM</t>
  </si>
  <si>
    <t>220 061835</t>
  </si>
  <si>
    <t>Příprava svetlovod.kab. k ukonč., spojk.  2-8vl.  - vlákna MM</t>
  </si>
  <si>
    <t>220 061845</t>
  </si>
  <si>
    <t>Uložení konce (spoj) svetlovod kab. 2-8vl. v kab. rozv.  - vlákna MM</t>
  </si>
  <si>
    <t>220 061910</t>
  </si>
  <si>
    <t>Montáž panelu 19" pro ukončení opt.kab. do 24 portů prázdný</t>
  </si>
  <si>
    <t>220 062330</t>
  </si>
  <si>
    <t>Montáž adaptéru dvojitého (MT-RJ, SC, ST)  pro vlákna MM</t>
  </si>
  <si>
    <t>220 062370</t>
  </si>
  <si>
    <t>Montáž pigtailu pro vlákna MM</t>
  </si>
  <si>
    <t>220 062450</t>
  </si>
  <si>
    <t>Montáž kazety pro sváry na kabelu  - vlákna MM</t>
  </si>
  <si>
    <t>220 062470</t>
  </si>
  <si>
    <t>Ochrana sváru vlákna MM</t>
  </si>
  <si>
    <t>220 062510</t>
  </si>
  <si>
    <t>Uložení délkové rezervy opt.kabelu do 50m  - vlákna MM</t>
  </si>
  <si>
    <t>220 062700</t>
  </si>
  <si>
    <t>Měření na jednom vlákně MM opt.kabelu</t>
  </si>
  <si>
    <t>Montáž nástěnné 19" skříně (RACKu) nad 15U</t>
  </si>
  <si>
    <t>Montáž modulu vyhřívání s termostatem</t>
  </si>
  <si>
    <t>Rozvod univ.kabelové sítě - dodávka</t>
  </si>
  <si>
    <t>39.A0360</t>
  </si>
  <si>
    <r>
      <rPr>
        <b/>
        <sz val="9"/>
        <color rgb="FFFF0000"/>
        <rFont val="Arial CE"/>
        <charset val="238"/>
      </rPr>
      <t xml:space="preserve">Kabel datový SOLARIX </t>
    </r>
    <r>
      <rPr>
        <sz val="9"/>
        <color rgb="FFFF0000"/>
        <rFont val="Arial CE"/>
      </rPr>
      <t>^ SXKD-6-UTP-PVC, CAT6, UTP, PVC, Eca, 305m, šedý</t>
    </r>
  </si>
  <si>
    <t>5014A-B1018</t>
  </si>
  <si>
    <t>ABB,maska nosná pro 2 moduly RJ45 Tango®, Future® linear</t>
  </si>
  <si>
    <t>RJ45C5U</t>
  </si>
  <si>
    <r>
      <rPr>
        <b/>
        <sz val="9"/>
        <color rgb="FFFF0000"/>
        <rFont val="Arial CE"/>
        <charset val="238"/>
      </rPr>
      <t>Keystone datový SOLARIX</t>
    </r>
    <r>
      <rPr>
        <sz val="9"/>
        <color rgb="FFFF0000"/>
        <rFont val="Arial CE"/>
      </rPr>
      <t xml:space="preserve"> ^ SXKJ-6-UTP-BK-SA, CAT6, UTP, RJ45, černý, samořezný</t>
    </r>
  </si>
  <si>
    <t>2CKA001724A2761</t>
  </si>
  <si>
    <t>ABB,zryt zásuvky komunikační, datové Future® linear-bílá</t>
  </si>
  <si>
    <t>2CKA001724A4253</t>
  </si>
  <si>
    <t>ABB,kryt zásuvky komunikační, datové Future® linear-antracit</t>
  </si>
  <si>
    <t>5014A-A100 B</t>
  </si>
  <si>
    <t>ABB,kryt zásuvky komunikační, datové Tango®-bílá</t>
  </si>
  <si>
    <t xml:space="preserve"> 2CKA001754A4235 </t>
  </si>
  <si>
    <t>ABB,rámeček jednonásobný Future® linear-bílá</t>
  </si>
  <si>
    <t>2CKA001754A4240</t>
  </si>
  <si>
    <t>ABB,rámeček jednonásobný Future® linear-antracit</t>
  </si>
  <si>
    <t>3901A-B10 B</t>
  </si>
  <si>
    <t>ABB,rámeček jednonásobný Tango®-bílá</t>
  </si>
  <si>
    <t>136811-1</t>
  </si>
  <si>
    <t>ABB,modul zásuvkový, 22,5x45, Profil 45</t>
  </si>
  <si>
    <t>PID-00058</t>
  </si>
  <si>
    <r>
      <rPr>
        <b/>
        <sz val="9"/>
        <color rgb="FFFF0000"/>
        <rFont val="Arial CE"/>
        <charset val="238"/>
      </rPr>
      <t>Patch panel SOLARIX</t>
    </r>
    <r>
      <rPr>
        <sz val="9"/>
        <color rgb="FFFF0000"/>
        <rFont val="Arial CE"/>
      </rPr>
      <t xml:space="preserve"> SX24L-6-UTP-BK-N, 19", CAT6, UTP, 24x RJ45, 1U, vyvazovací lišta, černý</t>
    </r>
  </si>
  <si>
    <t>PID-00059</t>
  </si>
  <si>
    <r>
      <rPr>
        <b/>
        <sz val="9"/>
        <color rgb="FFFF0000"/>
        <rFont val="Arial CE"/>
        <charset val="238"/>
      </rPr>
      <t>Patch panel SOLARIX</t>
    </r>
    <r>
      <rPr>
        <sz val="9"/>
        <color rgb="FFFF0000"/>
        <rFont val="Arial CE"/>
      </rPr>
      <t xml:space="preserve"> SX48-6-UTP-BK, 19", CAT6 UTP, 48x RJ45, 2U, černý</t>
    </r>
  </si>
  <si>
    <t>25.B013G</t>
  </si>
  <si>
    <r>
      <rPr>
        <b/>
        <sz val="9"/>
        <color rgb="FFFF0000"/>
        <rFont val="Arial CE"/>
        <charset val="238"/>
      </rPr>
      <t>Panel vyvazovací SOLARIX</t>
    </r>
    <r>
      <rPr>
        <sz val="9"/>
        <color rgb="FFFF0000"/>
        <rFont val="Arial CE"/>
      </rPr>
      <t xml:space="preserve"> VP-05-2-OO-B, 19", 2U, jednostranný, ocel, černý</t>
    </r>
  </si>
  <si>
    <t>PC0094580</t>
  </si>
  <si>
    <r>
      <rPr>
        <b/>
        <sz val="9"/>
        <color rgb="FFFF0000"/>
        <rFont val="Arial CE"/>
        <charset val="238"/>
      </rPr>
      <t>Police do rozvaděče SOLARIX</t>
    </r>
    <r>
      <rPr>
        <sz val="9"/>
        <color rgb="FFFF0000"/>
        <rFont val="Arial CE"/>
      </rPr>
      <t xml:space="preserve"> UP-14-B, 19", 1U, úchyt na přední i zadní lišty, 450mm, černá</t>
    </r>
  </si>
  <si>
    <t>PC0094300</t>
  </si>
  <si>
    <r>
      <rPr>
        <b/>
        <sz val="9"/>
        <color rgb="FFFF0000"/>
        <rFont val="Arial CE"/>
        <charset val="238"/>
      </rPr>
      <t>Jednotka ventilační SOLARIX</t>
    </r>
    <r>
      <rPr>
        <sz val="9"/>
        <color rgb="FFFF0000"/>
        <rFont val="Arial CE"/>
      </rPr>
      <t xml:space="preserve"> VJ-R6-T-G, 19", 1U, 6 ventilace s termostatem, univerzální, šedá</t>
    </r>
  </si>
  <si>
    <t>PC0094340</t>
  </si>
  <si>
    <r>
      <rPr>
        <b/>
        <sz val="9"/>
        <color rgb="FFFF0000"/>
        <rFont val="Arial CE"/>
        <charset val="238"/>
      </rPr>
      <t>Panel napájecí SOLARIX</t>
    </r>
    <r>
      <rPr>
        <sz val="9"/>
        <color rgb="FFFF0000"/>
        <rFont val="Arial CE"/>
      </rPr>
      <t xml:space="preserve"> ^ ACAR-S8-FA, 19", 1U, 8x 230V, přepěťová ochrana, držák, do 19" lišt, 3m</t>
    </r>
  </si>
  <si>
    <r>
      <rPr>
        <b/>
        <sz val="9"/>
        <color rgb="FFFF0000"/>
        <rFont val="Arial CE"/>
        <charset val="238"/>
      </rPr>
      <t>Rozvaděč stojanový SOLARIX</t>
    </r>
    <r>
      <rPr>
        <sz val="9"/>
        <color rgb="FFFF0000"/>
        <rFont val="Arial CE"/>
      </rPr>
      <t xml:space="preserve"> LC-50-33-6060-19AA-G, 19", 33U, RAL 7035, 600x600mm, skleněné dveře</t>
    </r>
  </si>
  <si>
    <r>
      <rPr>
        <b/>
        <sz val="9"/>
        <color rgb="FFFF0000"/>
        <rFont val="Arial CE"/>
        <charset val="238"/>
      </rPr>
      <t>Rozvaděč nástěnný SOLARIX</t>
    </r>
    <r>
      <rPr>
        <sz val="9"/>
        <color rgb="FFFF0000"/>
        <rFont val="Arial CE"/>
      </rPr>
      <t xml:space="preserve"> LC-20-18U-66-22-G, 19", 18U, 600x600mm, plechové dveře, zámek, venkovní</t>
    </r>
  </si>
  <si>
    <r>
      <rPr>
        <b/>
        <sz val="9"/>
        <color rgb="FFFF0000"/>
        <rFont val="Arial CE"/>
        <charset val="238"/>
      </rPr>
      <t>Kabel optický SOLARIX</t>
    </r>
    <r>
      <rPr>
        <sz val="9"/>
        <color rgb="FFFF0000"/>
        <rFont val="Arial CE"/>
      </rPr>
      <t xml:space="preserve"> SXKO-CLT-8-OM3-LSOH, 8vl, CLT, Multimode, 50//125, OM3, LSOH, Eca, 1m</t>
    </r>
  </si>
  <si>
    <t>RFR-00100</t>
  </si>
  <si>
    <r>
      <rPr>
        <b/>
        <sz val="9"/>
        <color rgb="FFFF0000"/>
        <rFont val="Arial CE"/>
        <charset val="238"/>
      </rPr>
      <t>Vana optická SOLARIX</t>
    </r>
    <r>
      <rPr>
        <sz val="9"/>
        <color rgb="FFFF0000"/>
        <rFont val="Arial CE"/>
      </rPr>
      <t xml:space="preserve"> FOS2-1U-B, 19", 1U, výsuvný šuplík bez čela, černá</t>
    </r>
  </si>
  <si>
    <t>RFR-00101</t>
  </si>
  <si>
    <r>
      <rPr>
        <b/>
        <sz val="9"/>
        <color rgb="FFFF0000"/>
        <rFont val="Arial CE"/>
        <charset val="238"/>
      </rPr>
      <t>Čelo optické vany SOLARIX</t>
    </r>
    <r>
      <rPr>
        <sz val="9"/>
        <color rgb="FFFF0000"/>
        <rFont val="Arial CE"/>
      </rPr>
      <t xml:space="preserve"> FP2-1U-12SCD-B, 1U, 12 SC, Duplex, montážní otvory v2, černé</t>
    </r>
  </si>
  <si>
    <t>AFR-00203</t>
  </si>
  <si>
    <r>
      <rPr>
        <b/>
        <sz val="9"/>
        <color rgb="FFFF0000"/>
        <rFont val="Arial CE"/>
        <charset val="238"/>
      </rPr>
      <t>Spojka optická SOLARIX</t>
    </r>
    <r>
      <rPr>
        <sz val="9"/>
        <color rgb="FFFF0000"/>
        <rFont val="Arial CE"/>
      </rPr>
      <t xml:space="preserve"> SXAD-SC-PC-OM3-D, SC//UPC, Multimode, OM3, Duplex, modrá</t>
    </r>
  </si>
  <si>
    <t>AFR-00174</t>
  </si>
  <si>
    <r>
      <rPr>
        <b/>
        <sz val="9"/>
        <color rgb="FFFF0000"/>
        <rFont val="Arial CE"/>
        <charset val="238"/>
      </rPr>
      <t>Pigtail optický SOLARIX</t>
    </r>
    <r>
      <rPr>
        <sz val="9"/>
        <color rgb="FFFF0000"/>
        <rFont val="Arial CE"/>
      </rPr>
      <t xml:space="preserve"> SXPI-SC-UPC-OM3-1,5M, SC//UPC, Multimode, 50//125, OM3, 1,5m</t>
    </r>
  </si>
  <si>
    <r>
      <rPr>
        <b/>
        <sz val="9"/>
        <color rgb="FFFF0000"/>
        <rFont val="Arial CE"/>
        <charset val="238"/>
      </rPr>
      <t xml:space="preserve">Záslepka optická SOLARIX </t>
    </r>
    <r>
      <rPr>
        <sz val="9"/>
        <color rgb="FFFF0000"/>
        <rFont val="Arial CE"/>
      </rPr>
      <t>SXZ-SC-D, SC Simplex, optická vana, Duplex, černá</t>
    </r>
  </si>
  <si>
    <r>
      <rPr>
        <b/>
        <sz val="9"/>
        <color rgb="FFFF0000"/>
        <rFont val="Arial CE"/>
        <charset val="238"/>
      </rPr>
      <t>Patch kabel SOLARIX</t>
    </r>
    <r>
      <rPr>
        <sz val="9"/>
        <color rgb="FFFF0000"/>
        <rFont val="Arial CE"/>
      </rPr>
      <t xml:space="preserve"> SXPC-SC//SC-UPC-OM3-1M-D, SC//UPC-SC//UPC, Multimode, 50//125, OM3, Duplex, 1m</t>
    </r>
  </si>
  <si>
    <t>VOS60</t>
  </si>
  <si>
    <t>Teplem smrštitelná ochrana svaru 60mm</t>
  </si>
  <si>
    <t>VKAM12</t>
  </si>
  <si>
    <t>Optická kazeta na 12 svárů</t>
  </si>
  <si>
    <t>VKAV</t>
  </si>
  <si>
    <t>Víčko optické kazety VKAM 12</t>
  </si>
  <si>
    <t>VDR6</t>
  </si>
  <si>
    <t>Držák svárů pro 6 vláken do kazety VKAM 12</t>
  </si>
  <si>
    <r>
      <t>!!! Jednotka elektrického vytápění pro LC-07 a LC-07+ RAL 7035 80871010 + '</t>
    </r>
    <r>
      <rPr>
        <b/>
        <sz val="9"/>
        <color rgb="FFFF0000"/>
        <rFont val="Arial CE"/>
        <charset val="238"/>
      </rPr>
      <t>Jednotka termostatická SOLARIX</t>
    </r>
    <r>
      <rPr>
        <sz val="9"/>
        <color rgb="FFFF0000"/>
        <rFont val="Arial CE"/>
      </rPr>
      <t xml:space="preserve"> BTR-10-H-G, 19", 1U, RAL 7035, bimetalová pro topení, šedá</t>
    </r>
  </si>
  <si>
    <t>Rozvod uzavř.televizního okruhu - montáž</t>
  </si>
  <si>
    <t>220 731004</t>
  </si>
  <si>
    <t>Montáž konzole na zeď do 3 m/15 kg</t>
  </si>
  <si>
    <t>220 731022</t>
  </si>
  <si>
    <t>Montáž kamery v krytu</t>
  </si>
  <si>
    <t>220 731061</t>
  </si>
  <si>
    <t>Zprovoznění kamery v krytu</t>
  </si>
  <si>
    <t>220 731041</t>
  </si>
  <si>
    <t>Nastavení kamery v krytu</t>
  </si>
  <si>
    <t>220 731146</t>
  </si>
  <si>
    <t>Montáž  objektivu ke kameře</t>
  </si>
  <si>
    <t>220 731161</t>
  </si>
  <si>
    <t>Montáž videoústředny digitální + nastavení</t>
  </si>
  <si>
    <t>220 731126</t>
  </si>
  <si>
    <t>Nastavení systému</t>
  </si>
  <si>
    <t>Instalace SOFTWARE (kompletní)</t>
  </si>
  <si>
    <t>Instalace drobného materiálu</t>
  </si>
  <si>
    <t>PC0066820</t>
  </si>
  <si>
    <t>MONTÁŽ UPS DO 1000VA DO RACKU</t>
  </si>
  <si>
    <t>PC0066790</t>
  </si>
  <si>
    <t>MONTAZ SWITCHE 100/1000Mbps + nastavení</t>
  </si>
  <si>
    <t>KUS</t>
  </si>
  <si>
    <t>Rozvod uzavř.televizního okruhu - dodávka</t>
  </si>
  <si>
    <t>DS-2CD4125FWD-IZ</t>
  </si>
  <si>
    <t xml:space="preserve">Vnitřní IP dome kamera, TD/N, HD 1080p, 2MP, MZVF, f=2.8-12mm, WDR 140dB, IR 30m </t>
  </si>
  <si>
    <t xml:space="preserve">DS-2CD2625FWD-IZS(2.8-12mm) </t>
  </si>
  <si>
    <t xml:space="preserve">IP bullet kamera, 2MP, MZVF 2.8-12mm, WDR 120dB, IR 30m, H.265, VA, IP67 </t>
  </si>
  <si>
    <t>DS-2CD2655FWD-IZS</t>
  </si>
  <si>
    <t xml:space="preserve">IP bullet kamera, 5MP, MZVF 2.8-12mm, WDR 120dB, IR 30m, H.265, VA, IP67 </t>
  </si>
  <si>
    <t>WD40PURX</t>
  </si>
  <si>
    <t>Přídavný HDD k rekordérům, 4TB</t>
  </si>
  <si>
    <t>DS-9664NI-I8</t>
  </si>
  <si>
    <t xml:space="preserve">HIKVISION/DS-9664NI-I8 - NVR pro 64 IP kamer, až 12MP, H.264 a H265, bez HDD </t>
  </si>
  <si>
    <t>SMT-2231P</t>
  </si>
  <si>
    <t>LCD TFT monitor, 22", HD 1920x1080, 2xBNC, 1x VGA, 1xHDMI, PIP, 230V</t>
  </si>
  <si>
    <t>DS-3E1526P-SI</t>
  </si>
  <si>
    <t>Switch 24x 10/100Mbps (PoE/PoE+), 2x SFP Gigabit, 370W, kov, web/smart managed</t>
  </si>
  <si>
    <t>Propojovací kabel UTP kat.6, 2 metry, barva šedá</t>
  </si>
  <si>
    <t>Propojovací kabel UTP kat.5E, 1 metr, barva šedá</t>
  </si>
  <si>
    <t>SUA750RMI1U</t>
  </si>
  <si>
    <t>APC Smart-UPS 750I RM 1U black/USB</t>
  </si>
  <si>
    <t>Modul MiniGBIC/ SFP 1000BaseSX MM (LC) s DS-3E1526P-SI kompatibilní</t>
  </si>
  <si>
    <t>SC450RMI1U</t>
  </si>
  <si>
    <t>APC Smart-UPS SC450RMI1U</t>
  </si>
  <si>
    <t>Rozvod e.zabezpečovací signalizace - montáž</t>
  </si>
  <si>
    <t>220 321703/S1</t>
  </si>
  <si>
    <t>Montáž kompletní ústředny EZS</t>
  </si>
  <si>
    <t>220 330723</t>
  </si>
  <si>
    <t>Montáž jednoduchého modulu do ústředny EZS</t>
  </si>
  <si>
    <t>220 330722</t>
  </si>
  <si>
    <t>Montáž systémového modulu vně ústředny EZS</t>
  </si>
  <si>
    <t>220 410533</t>
  </si>
  <si>
    <t>Montáž akumulátoru do ústředny EZS</t>
  </si>
  <si>
    <t>Měření akumulátoru pro ústřednu EZS</t>
  </si>
  <si>
    <t>220 330731</t>
  </si>
  <si>
    <t>Uvedení ústředny EZS vč.ost.stav.prvků do provozu (funkční odzkoušení)</t>
  </si>
  <si>
    <t>220 330342</t>
  </si>
  <si>
    <t>Naprogramování systému EZS do 96 hlásičů</t>
  </si>
  <si>
    <t>Montáž ovládací klávesnice s LCD displejem</t>
  </si>
  <si>
    <t>220 321711/S1</t>
  </si>
  <si>
    <t>Montáž koncentrátoru nebo jiného adresného modulu na sběrnici</t>
  </si>
  <si>
    <t>220 410166</t>
  </si>
  <si>
    <t>Montáž zálohovaného napaječe</t>
  </si>
  <si>
    <t>Montáž akumulátoru do externího napaječe</t>
  </si>
  <si>
    <t>Měření akumulátoru pro externí napaječ</t>
  </si>
  <si>
    <t>Montáž duálního čidla - stropní</t>
  </si>
  <si>
    <t>220 321751</t>
  </si>
  <si>
    <t>Montáž infrapasivního čidla - nástěnný</t>
  </si>
  <si>
    <t>Montáž infrapasivního čidla do venkovního prostředí</t>
  </si>
  <si>
    <t>220 321736</t>
  </si>
  <si>
    <t>Montáž držáku infrapasivního nebo duálního čidla</t>
  </si>
  <si>
    <t>220 320722</t>
  </si>
  <si>
    <t>Montáž dveřního kontaktu závrtného (okna, dveře)</t>
  </si>
  <si>
    <t>Koordinace montáže záp.magnetu při výrobě oken či dveří</t>
  </si>
  <si>
    <t>Pancéřovaná plastová hadice vč. koncovek pro kab. k mag.kontaktům (montáž+dod.)</t>
  </si>
  <si>
    <t>Montáž infrazávory (kompletní) venkovní + nastavení</t>
  </si>
  <si>
    <t>Montáž sloupku pro infrazávoru vč. Patky</t>
  </si>
  <si>
    <t>Montáž přijímače bezdrátového</t>
  </si>
  <si>
    <t>Měření pro určení vhodné polohy přijímače bezdr.tísňového hlásiče</t>
  </si>
  <si>
    <t>220 330206</t>
  </si>
  <si>
    <t>Kontrola funkce čidla</t>
  </si>
  <si>
    <t>220 330741</t>
  </si>
  <si>
    <t>Uvedení čidla do trvalého provozu</t>
  </si>
  <si>
    <t>220 330791</t>
  </si>
  <si>
    <t>Programování zobrazovaného textu pro čidlo</t>
  </si>
  <si>
    <t>220 330121</t>
  </si>
  <si>
    <t>Popis čidla štítkem</t>
  </si>
  <si>
    <t>220 330166</t>
  </si>
  <si>
    <t>Montáž vnitřní nezálohované sirény</t>
  </si>
  <si>
    <t>Montáž venkovní zálohované sirény vč. akku</t>
  </si>
  <si>
    <t>Montáž optické signalizace s LED diodou</t>
  </si>
  <si>
    <t>220 111431</t>
  </si>
  <si>
    <t>Stejnosměrná měření na míst.kabelu</t>
  </si>
  <si>
    <t>pa</t>
  </si>
  <si>
    <t>220 330191</t>
  </si>
  <si>
    <t>Měření kontin.,izol.,odporu 1 úseku smyčky</t>
  </si>
  <si>
    <t>220 300913</t>
  </si>
  <si>
    <t>Svorkovnice se šrouby bakelitová 10 dílná (montáž vč. dodávky)</t>
  </si>
  <si>
    <t>220 300924</t>
  </si>
  <si>
    <t>Svorkovnice do krabic svorka 4 pólová (montáž vč. dodávky)</t>
  </si>
  <si>
    <t>220 300911</t>
  </si>
  <si>
    <t>Montáž svorkovnic zařezových 10x2</t>
  </si>
  <si>
    <t>220 111502</t>
  </si>
  <si>
    <t>Číslování svorek v rozvaděči</t>
  </si>
  <si>
    <t>220 111501</t>
  </si>
  <si>
    <t>Číslování rozvodné skříně, krabice</t>
  </si>
  <si>
    <t>Montáž povrchové propojovací krabice do 24 svorek - plastové (montáž + dodávka)</t>
  </si>
  <si>
    <t>Montáž tamper kontaktu</t>
  </si>
  <si>
    <t>220 280221</t>
  </si>
  <si>
    <t>Kabel SYKFY do 5x2x0,5 (nebo podob.)  v trubkách, žlabech, lištách</t>
  </si>
  <si>
    <t>220 280222</t>
  </si>
  <si>
    <t>Kabel datový pro sběrnici systému v trubce, žlabu, na roštu</t>
  </si>
  <si>
    <t>220 281303</t>
  </si>
  <si>
    <t>Kabel 1až 2,5 mm v trubkách, žlabech, na roštu do 4 žil</t>
  </si>
  <si>
    <t>220 300601</t>
  </si>
  <si>
    <t>Ukončení kabelů návěstních do 5x1 až 2.5</t>
  </si>
  <si>
    <t>220 300001</t>
  </si>
  <si>
    <t>Forma kabelová do délky 0,5 m na kabelu do 5x2</t>
  </si>
  <si>
    <t>220 300002</t>
  </si>
  <si>
    <t>Forma kabelová do délky 0,5 m na kabelu datovém</t>
  </si>
  <si>
    <t>210 800109</t>
  </si>
  <si>
    <t>CYKY 750V 2 x 2.5 uložený v zemi, kotvený pevně na stěně</t>
  </si>
  <si>
    <t>210 100503</t>
  </si>
  <si>
    <t>Ukončení CYKY kabelu  2 x 2.5 mm2</t>
  </si>
  <si>
    <t>Zaškolení obsluhy</t>
  </si>
  <si>
    <t>Zkušební provoz s dohledem</t>
  </si>
  <si>
    <t>den</t>
  </si>
  <si>
    <t>Výchozí revize</t>
  </si>
  <si>
    <t>Montáž rozhraní přenosu na PCO</t>
  </si>
  <si>
    <t>220 060301</t>
  </si>
  <si>
    <t>Přistavení a příprava kabel.bubnu do 100 žil</t>
  </si>
  <si>
    <t>220 060312</t>
  </si>
  <si>
    <t>Přeměření izolačního stavu kabel závlačný 20žil</t>
  </si>
  <si>
    <t>220 061151</t>
  </si>
  <si>
    <t>Kabel volně uložený v zemi, kotvený pevně na stěně</t>
  </si>
  <si>
    <t>220 110341</t>
  </si>
  <si>
    <t>Objímka kabelová značkovací</t>
  </si>
  <si>
    <t>220 110346</t>
  </si>
  <si>
    <t>Štítek kabelový</t>
  </si>
  <si>
    <t>Rozvod e.zabezpečovací signalizace - dodávka</t>
  </si>
  <si>
    <t>GALAXYGD-520</t>
  </si>
  <si>
    <t>Ústředna až 520 zón a 32 grup v krytu bez klávesnice s komunikátorem a zdrojem</t>
  </si>
  <si>
    <t>UT12180</t>
  </si>
  <si>
    <t>Akumulátor 12V / 18Ah</t>
  </si>
  <si>
    <t>E080</t>
  </si>
  <si>
    <t>Systémový Ethernet (TCP/IP) komunikátor bez krytu</t>
  </si>
  <si>
    <t>G8P</t>
  </si>
  <si>
    <t>Koncentrátor v plastovém krytu pro 8 zón a 4 PGM výstupy</t>
  </si>
  <si>
    <t>GRM4</t>
  </si>
  <si>
    <t>Reléový modul se 4-mi relé</t>
  </si>
  <si>
    <t>GVM16P</t>
  </si>
  <si>
    <t xml:space="preserve">Výstupní modul v krytu s 16-ti tranzistorovými PGM výstupy </t>
  </si>
  <si>
    <t>OS365</t>
  </si>
  <si>
    <t>Zálohovaná plastová siréna venkovní 110dB/1m s majákem a akumulátorem</t>
  </si>
  <si>
    <t>SA913</t>
  </si>
  <si>
    <t>Nezálohovaná plastová vnitřní siréna 110dB/1m</t>
  </si>
  <si>
    <t>Prestige QD</t>
  </si>
  <si>
    <t>Vnitřní digitální "Quad" infradetektor pohybu</t>
  </si>
  <si>
    <t>Konzole pro montáž detektoru-Prestige</t>
  </si>
  <si>
    <t>JS25 COMBO</t>
  </si>
  <si>
    <t>Kombinace PIR detektoru s dosahem 12m a detektoru tříštění skla s dosahem 9m</t>
  </si>
  <si>
    <t>LX402</t>
  </si>
  <si>
    <t>Venkovní PIR detektor, IP54, det. char. 12 m / 120°, mont. výška 2,5 m / 1,2 - 1,5 m</t>
  </si>
  <si>
    <t xml:space="preserve">AX-100TF (BE) </t>
  </si>
  <si>
    <t xml:space="preserve">2-paprsková IR závora, dosah 30 m, synchronizace - 4 kanály </t>
  </si>
  <si>
    <t xml:space="preserve">SL-350QDP  </t>
  </si>
  <si>
    <t xml:space="preserve">4-paprsková IR závora, dosah 100 m, synchronizace - 4 kanály </t>
  </si>
  <si>
    <t xml:space="preserve">SL-650QDP  </t>
  </si>
  <si>
    <t xml:space="preserve">4-paprsková IR závora, dosah 200 m, synchronizace - 4 kanály </t>
  </si>
  <si>
    <t>BC-1</t>
  </si>
  <si>
    <t>Sada zadních krytů (pár) pro IR závory AX-TF a AX-DH MkIII</t>
  </si>
  <si>
    <t>BC-4</t>
  </si>
  <si>
    <t xml:space="preserve">Sada zadních krytů (pár) pro IR závory SL-QN/QDP/QDM/QNR/QFR </t>
  </si>
  <si>
    <t>HU-3</t>
  </si>
  <si>
    <t xml:space="preserve">Sada vyhřívacích jednotek (pár) pro IR závory AX-TN/TF(BE) a SL-QN/QDP/QDM </t>
  </si>
  <si>
    <t xml:space="preserve">TAS150 </t>
  </si>
  <si>
    <t>Jednostranný sloup pro IR závory Optex &amp; Takex, montáž na patku, výška 1,5 m</t>
  </si>
  <si>
    <t>Patka betonová typová pro sloupek</t>
  </si>
  <si>
    <t>TAW150</t>
  </si>
  <si>
    <t xml:space="preserve">Jednostranný sloup pro IR závory Optex &amp; Takex, montáž na zeď, výška 1,5 m  </t>
  </si>
  <si>
    <t>KSK 100</t>
  </si>
  <si>
    <t>krabice v uzavřeném provedení (plastová) s IP krytím 66</t>
  </si>
  <si>
    <t>Kabelové průchodky do krabice IP66</t>
  </si>
  <si>
    <t>J24</t>
  </si>
  <si>
    <t>Plastová nízká propojovací krabice, 24+1 šroubovací svorka</t>
  </si>
  <si>
    <t>MAS333</t>
  </si>
  <si>
    <t>Mag. kontakt závrtný čtyřdrátový s pracovní mezerou 16 mm</t>
  </si>
  <si>
    <t>AXSP K40/24-3A</t>
  </si>
  <si>
    <t>Spínaný zálohovaný zdroj v krytu 27,6V/3A</t>
  </si>
  <si>
    <t>UNIPOWER MINI/K</t>
  </si>
  <si>
    <t>Spínaný zdroj v kovovém krytu 13,8 Vss / 3A s výstupy a odpojovačem</t>
  </si>
  <si>
    <t>MICROSWITCH</t>
  </si>
  <si>
    <t>Mechanický mikrospínač jako tamper kontakt</t>
  </si>
  <si>
    <t>PC0097360</t>
  </si>
  <si>
    <t>SYKFY (3x2x0,5 )</t>
  </si>
  <si>
    <t>KEV.050.9530</t>
  </si>
  <si>
    <t>JYTY 4BX1,0</t>
  </si>
  <si>
    <t>Kabel FTP, PowerCat kat.5E, PVC plášť šedý, 4 páry, krabice 305m</t>
  </si>
  <si>
    <t>KAD.080.0020</t>
  </si>
  <si>
    <t>TCEPKPFLE - 3 x 4 x 0,8</t>
  </si>
  <si>
    <t>reálně</t>
  </si>
  <si>
    <t>KEV.000.1150</t>
  </si>
  <si>
    <t>CYKY 2AX2,5</t>
  </si>
  <si>
    <t>Univerzální bezdrátový přijímač v krytu se třemi výstupy</t>
  </si>
  <si>
    <t>Bezdrátová ovládací klíčenka se dvěmi tlačítky</t>
  </si>
  <si>
    <t xml:space="preserve">Plastový box IP66 s kabel.průchodkami pro přijímač a diody </t>
  </si>
  <si>
    <t>Signalizační velká LED dioda v krytu barva červená</t>
  </si>
  <si>
    <t>Signalizační velká LED dioda v krytu barva zelená</t>
  </si>
  <si>
    <t>CP045-00</t>
  </si>
  <si>
    <t xml:space="preserve">Klávesnice s dotykovým displejem, zápustná montáž, pokročilé uživatelské menu </t>
  </si>
  <si>
    <t>Už nejsou k dispozici (nahrazeno pomocí MK8 LCD klávesnice )</t>
  </si>
  <si>
    <t>A045</t>
  </si>
  <si>
    <t>Plastová krabice na povrchovou montáž klávesnic CP045/CP046</t>
  </si>
  <si>
    <t>TDW-S-4C-BOX</t>
  </si>
  <si>
    <t>Průmyslový digitální optopřevodník - sběrnice 2xRS485 nebo 1xRS422</t>
  </si>
  <si>
    <t>RDW-S-4C-BOX</t>
  </si>
  <si>
    <t>SC/LC-SC patchcord 50/125 dvojitý</t>
  </si>
  <si>
    <t>náklad celkem</t>
  </si>
  <si>
    <t>možná úspora</t>
  </si>
  <si>
    <t>D.1.13 - SO 44 Přípojka NN, Areálové rozvody NN a VO</t>
  </si>
  <si>
    <t>Rozváděč (pilíř) nabíjecí stanice</t>
  </si>
  <si>
    <t>Skříň PR2S, Elpalst Rokycany</t>
  </si>
  <si>
    <t>Zámek čtyřhran</t>
  </si>
  <si>
    <t>Montážní panel 2M</t>
  </si>
  <si>
    <t>ŘADOVÁ SVORKOVNICE</t>
  </si>
  <si>
    <t>RSA25</t>
  </si>
  <si>
    <t>Rozváděč (pilíř) nabíjecí stanice - celkem</t>
  </si>
  <si>
    <t>CHA1 (H1) - THOME Lighting s.r.o. MOD0007_280W_840_60° MODY, 42000lm,280W,IP66,4K,60°,</t>
  </si>
  <si>
    <t>V1 - THOME Lighting s.r.o. TIT2010_69 TITANIA 2G,7800lm, 57W, IP65, 4K, ASTRODIM+CLO</t>
  </si>
  <si>
    <t>Sloupy VO</t>
  </si>
  <si>
    <t>OSVĚTLOVACÍ STOŽÁR BEZPATICOVÝ</t>
  </si>
  <si>
    <t>METALIZOVANÝ</t>
  </si>
  <si>
    <t>JBUD14 DD, jmenovitá výška nad zemí 14m. stožár silniční, bezpaticový, dvoudílný</t>
  </si>
  <si>
    <t>JBUD9 9m, jmenovitá výška nad zemí 9m. stožár silniční, bezpaticový</t>
  </si>
  <si>
    <t>VÝLOŽNÍK</t>
  </si>
  <si>
    <t>Držák reflektorů, typ TR2-1500-PL (AMAKO) pro dva reflektory</t>
  </si>
  <si>
    <t>Držák reflektorů, typ TR3-1500-PL (AMAKO) pro tři reflektory</t>
  </si>
  <si>
    <t>UD 1/89-1000, výložník rovný pro stožáry typu JB, JBUD, LPH, J</t>
  </si>
  <si>
    <t>STOŽÁROVÁ VÝZBROJ</t>
  </si>
  <si>
    <t>SV 6.16.4</t>
  </si>
  <si>
    <t>SV 6.16.4/2</t>
  </si>
  <si>
    <t>SV 6.16.4/3</t>
  </si>
  <si>
    <t>Sloupy VO - celkem</t>
  </si>
  <si>
    <t>KABEL SILOVÝ,IZOLACE PVC,1kV</t>
  </si>
  <si>
    <t>AYKY-J 3x120+70</t>
  </si>
  <si>
    <t>CYKY-O 4x1.5</t>
  </si>
  <si>
    <t>CYKY-J 3x 4</t>
  </si>
  <si>
    <t>CYKY-J 4x16</t>
  </si>
  <si>
    <t>CYKY-J 4x25</t>
  </si>
  <si>
    <t>KF 09160 TRUBKA KOPOFLEX 160</t>
  </si>
  <si>
    <t xml:space="preserve"> Zatažení kabelu do trubky do váhy do 9 kg/m</t>
  </si>
  <si>
    <t>KABELOVÁ KONCOVKA DO 1KV</t>
  </si>
  <si>
    <t>KSCZ4X 6-25</t>
  </si>
  <si>
    <t>KSCZ4X 16-50</t>
  </si>
  <si>
    <t>KSCZ4X 95-150</t>
  </si>
  <si>
    <t>KKT 23/8, kabelová čepička</t>
  </si>
  <si>
    <t xml:space="preserve"> 5x6   mm2</t>
  </si>
  <si>
    <t xml:space="preserve"> 4x120 mm2</t>
  </si>
  <si>
    <t>UKONČENÍ  VODIČŮ V ROZVADĚČÍCH</t>
  </si>
  <si>
    <t xml:space="preserve"> Do   2,5 mm2</t>
  </si>
  <si>
    <t xml:space="preserve"> Do   4 mm2</t>
  </si>
  <si>
    <t xml:space="preserve"> Do  10   mm2</t>
  </si>
  <si>
    <t xml:space="preserve"> Do  16   mm2</t>
  </si>
  <si>
    <t xml:space="preserve"> Do  25   mm2</t>
  </si>
  <si>
    <t xml:space="preserve"> Do  70   mm2</t>
  </si>
  <si>
    <t xml:space="preserve"> Do 120   mm2</t>
  </si>
  <si>
    <t>Uzemnění</t>
  </si>
  <si>
    <t xml:space="preserve"> Nátěr zemnícího pásku</t>
  </si>
  <si>
    <t xml:space="preserve"> tvarování mont.dílu</t>
  </si>
  <si>
    <t>Měření zemních odporů, zemnící sítě délky pásu</t>
  </si>
  <si>
    <t xml:space="preserve"> přes 500 do 1000m</t>
  </si>
  <si>
    <t>Uzemnění - celkem</t>
  </si>
  <si>
    <t>Vytýčení trati, Venkovní vedení nn v přehledném terénu</t>
  </si>
  <si>
    <t>Geodetická činnost</t>
  </si>
  <si>
    <t>tkc</t>
  </si>
  <si>
    <t>Pracovní plošina osazení a nastavení svítidel</t>
  </si>
  <si>
    <t>Cena dopravy pracovní plošiny (cena bude upřesněna montážní firmou)</t>
  </si>
  <si>
    <t>Nafázování NN kabelu</t>
  </si>
  <si>
    <t>Příprava ke komplexní zkoušce</t>
  </si>
  <si>
    <t>Zkušební provoz</t>
  </si>
  <si>
    <t>Zabezpečení pracoviště</t>
  </si>
  <si>
    <t>D.1.13 - SO 44 Přípojka NN, Areálové rozvody NN a VO - celkem</t>
  </si>
  <si>
    <t>VYTÝČENÍ TRATI</t>
  </si>
  <si>
    <t xml:space="preserve"> Venkovní vedení nn v přehledném terénu</t>
  </si>
  <si>
    <t>SEJMUTÍ ORNICE</t>
  </si>
  <si>
    <t xml:space="preserve"> Vrstva pres 15cm,zemina tř.2</t>
  </si>
  <si>
    <t>SEJMUTÍ DRNU</t>
  </si>
  <si>
    <t xml:space="preserve"> Nářez drnu,naložení,odvoz</t>
  </si>
  <si>
    <t xml:space="preserve"> Zemina třídy 3, šíře 500mm,hloubka 800mm</t>
  </si>
  <si>
    <t xml:space="preserve"> Zemina třídy 3, šíře 500mm,hloubka 1200mm</t>
  </si>
  <si>
    <t xml:space="preserve"> Zemina třídy 3, šíře 800mm,hloubka 800mm</t>
  </si>
  <si>
    <t>ZŘÍZENÍ KABELOVÉHO LOŽE</t>
  </si>
  <si>
    <t xml:space="preserve"> Z kopaného písku, bez zakrytí, šíře do 65cm,tloušťka 10cm</t>
  </si>
  <si>
    <t>FOLIE VÝSTRAŽNÁ Z PVC</t>
  </si>
  <si>
    <t xml:space="preserve"> Do šířky 20cm</t>
  </si>
  <si>
    <t>ODVOZ ZEMINY</t>
  </si>
  <si>
    <t xml:space="preserve"> Do vzdálenosti 1 km</t>
  </si>
  <si>
    <t>ÚPRAVA POVRCHU</t>
  </si>
  <si>
    <t xml:space="preserve"> Provizorní úprava terénu v zemina třídy 3</t>
  </si>
  <si>
    <t>JÁMA PRO STOŽÁRY VER.OSVĚTLENÍ</t>
  </si>
  <si>
    <t xml:space="preserve"> Zemina třídy 3,ručně</t>
  </si>
  <si>
    <t>Pouzdro pro silniční stožár 9m</t>
  </si>
  <si>
    <t>Pouzdro pro silniční stožár 14m</t>
  </si>
  <si>
    <t>ZÁKLAD Z PROSTÉHO BETONU</t>
  </si>
  <si>
    <t xml:space="preserve"> Do rostlé zeminy bez bednění</t>
  </si>
  <si>
    <t>ZÁHOZ JÁMY,UPĚCHOVÁNÍ,ÚPRAVA</t>
  </si>
  <si>
    <t>POVRCHU</t>
  </si>
  <si>
    <t xml:space="preserve"> V zemine třídy 3-4</t>
  </si>
  <si>
    <t>KABELOVÝ PROSTUP Z PVC TRUBKY</t>
  </si>
  <si>
    <t xml:space="preserve"> Světlost do 10,5 cm</t>
  </si>
  <si>
    <t>Utěsnění prostupu do budovy</t>
  </si>
  <si>
    <t>KŘIŽOVATKA SE SILOVÝM KABELEM</t>
  </si>
  <si>
    <t xml:space="preserve"> Položení bet.žlabu vč.zakrytí</t>
  </si>
  <si>
    <t>VÝKOP JÁMY PRO ROZVÁDĚČ</t>
  </si>
  <si>
    <t xml:space="preserve"> Zemina třídy 3-4,ručně</t>
  </si>
  <si>
    <t>ZEMNÍ ZNAČKY PRO KAB.VEDENÍ</t>
  </si>
  <si>
    <t xml:space="preserve"> Kabelový označník</t>
  </si>
  <si>
    <t>vedlejší náklady</t>
  </si>
  <si>
    <t>PPV</t>
  </si>
  <si>
    <t>Trafostanice</t>
  </si>
  <si>
    <t>Trafostanice, specifikace dle výkresu č. D.1.14.15.03</t>
  </si>
  <si>
    <t>Výstražné a informační tabulky</t>
  </si>
  <si>
    <t>Ochranné pracovní pomůcky</t>
  </si>
  <si>
    <t>Trafostanice - celkem</t>
  </si>
  <si>
    <t>D.1.14 - SO45 Přípojka VN, D.1.15 - SO 46 Trafostanice</t>
  </si>
  <si>
    <t>Přípojka VN</t>
  </si>
  <si>
    <t>KABEL SILOVÝ,IZOLACE PE,35kV</t>
  </si>
  <si>
    <t>35-AXEKVCEY 1x120/16 - Přípojka VN</t>
  </si>
  <si>
    <t>Svazkování 1-žilových vodičů ve výkopu, do 3-úhelníku</t>
  </si>
  <si>
    <t>Příplatek za protahování kabelů do chrániček - VN</t>
  </si>
  <si>
    <t>FXKVS 200/6M BK 450N/5cm, -25až60°C, PE-HD, včetně spojky, pevná, černa, 6m</t>
  </si>
  <si>
    <t>T- ADAPTÉR, SADA 3ks</t>
  </si>
  <si>
    <t>RSES-6452 - izolovaný T-adaptér pro 35kV kabel</t>
  </si>
  <si>
    <t>KONCOVKA VENKOVNÍ PRO JEDNOŽIL</t>
  </si>
  <si>
    <t>JEDNOPLÁŠŤ.KAB. 35kV S PLAST.</t>
  </si>
  <si>
    <t>IZOLACÍ,SADA3ks</t>
  </si>
  <si>
    <t>POLT-42D/1XO-ML-2-13</t>
  </si>
  <si>
    <t>UKONČENÍ VN KABELŮ DO</t>
  </si>
  <si>
    <t xml:space="preserve"> 1x120 mm2</t>
  </si>
  <si>
    <t>Magnetický označník kabelu MARKER</t>
  </si>
  <si>
    <t>Utěsnění prostupu do budovy, těsnící průchodky RDSS100</t>
  </si>
  <si>
    <t>Nafázování VN kabelu</t>
  </si>
  <si>
    <t>Zkušebni provoz</t>
  </si>
  <si>
    <t>Vysokonapěťové zkoušky</t>
  </si>
  <si>
    <t>KOORDINACE POSTUPU PRACI</t>
  </si>
  <si>
    <t>S ostatnimi profesemi (ČEZ)</t>
  </si>
  <si>
    <t>PROVEDENI REVIZNÍCH ZKOUŠEK</t>
  </si>
  <si>
    <t>Revizní technik</t>
  </si>
  <si>
    <t>Přípojka VN - celkem</t>
  </si>
  <si>
    <t>Konstrukce na sloup</t>
  </si>
  <si>
    <t>Nosná konstrukce na příhradový sloup pro ochranu VN kabelů, výz výkresová dokumentace</t>
  </si>
  <si>
    <t>Montážní plošina, osazení nosné konstrukce</t>
  </si>
  <si>
    <t>Konstrukce na sloup - celkem</t>
  </si>
  <si>
    <t>Kabelové vedení VN v přehledném terénu</t>
  </si>
  <si>
    <t>Nafázování VN kabelu 3x jednožílový kabel</t>
  </si>
  <si>
    <t>Vyhledání připojovacího místa</t>
  </si>
  <si>
    <t>Jeřáb, dle místa složení</t>
  </si>
  <si>
    <t>Montáž trafostanice</t>
  </si>
  <si>
    <t>Digitální zaměření kabelových tras spínací stanice a trafostanice</t>
  </si>
  <si>
    <t>D.1.14 - SO45 Přípojka VN, D.1.15 - SO 46 Trafostanice - celkem</t>
  </si>
  <si>
    <t>Výkop jámy pro trafostanici, odvoz zeminy, uložení zeminy, štěrkové podloží, zához jámy, úprava terénu po uložení TS</t>
  </si>
  <si>
    <t>Vnější uzemnění z pásku FeZn 30/4 mm, vč. ekvipotenciálníh prahů u dveří TS, propojení na vnitřní uzeměnní TS</t>
  </si>
  <si>
    <t>Neřízený zemní protlak hloubky do 10 m vnějšího průměru do 160 mm v hornině tř 1 až 4, včetně startovacích jám, s osazením trubky HDPE</t>
  </si>
  <si>
    <t>Doprava na místo potlaku- cena bude upřesněna realizační firmou</t>
  </si>
  <si>
    <t xml:space="preserve"> Z kopaného písku vrstvy 10cm se zakrytím kabelu cihlami-šíře 45cm</t>
  </si>
  <si>
    <t>ODDĚLENÍ KABELŮ VE VÝKOPU</t>
  </si>
  <si>
    <t xml:space="preserve"> Cihlou</t>
  </si>
  <si>
    <t>DPS</t>
  </si>
  <si>
    <t>REV1
příp./odp.</t>
  </si>
  <si>
    <t>MN.</t>
  </si>
  <si>
    <t>jedn. cena</t>
  </si>
  <si>
    <t>celkem</t>
  </si>
  <si>
    <t>Zatažení svetlovod.kabelu 4-12vl. ručně - vlákna MM/SM</t>
  </si>
  <si>
    <t>Svaření 1 vl. svetlovod.kabelu  - vlákna MM/SM</t>
  </si>
  <si>
    <t>Příprava svetlovod.kab. k ukonč., spojk.  4-12vl.  - vlákna MM/SM</t>
  </si>
  <si>
    <t>Uložení konce (spoj) svetlovod kab. 4-12vl. v kab. rozv.  - vlákna MM/SM</t>
  </si>
  <si>
    <t>Montáž adaptéru dvojitého (MT-RJ, SC, ST)  pro vlákna MM/SM</t>
  </si>
  <si>
    <t>Montáž pigtailu pro vlákna MM/SM</t>
  </si>
  <si>
    <t>Montáž kazety pro sváry na kabelu  - vlákna MM/SM</t>
  </si>
  <si>
    <t>Ochrana sváru vlákna MM/SM</t>
  </si>
  <si>
    <t>Uložení délkové rezervy opt.kabelu do 50m  - vlákna MM/SM</t>
  </si>
  <si>
    <t>Měření na jednom vlákně MM/SM opt.kabelu</t>
  </si>
  <si>
    <t>220 060810</t>
  </si>
  <si>
    <t>Mikrotrubička do pr. 15mm volně uložená / zatažená</t>
  </si>
  <si>
    <t>220 060840</t>
  </si>
  <si>
    <t>Tlaková zkouška mikrotrubičky do pr. 12mm, vč. protokolu</t>
  </si>
  <si>
    <t>Kabel UTP, PowerCat kat.5E, PVC plášť šedý, 4 páry, krabice 305m</t>
  </si>
  <si>
    <t>ABB,zásuvka datová RJ45-8 Cat. 5e/u (keystone), noname</t>
  </si>
  <si>
    <t>PowerCat patch panel 1U, 24xRJ45, UTP kat.5E, 568B</t>
  </si>
  <si>
    <t>PowerCat patch panel 2U, 48xRJ45, UTP kat.5E, 568B</t>
  </si>
  <si>
    <t>19" jumper ring panel 2U, 5 úchytů hlubokých 64 mm, šedý</t>
  </si>
  <si>
    <t>POL 400 (hloubka 400mm, výška 2U )</t>
  </si>
  <si>
    <t>Ventilace 6x21 W pro 19" rozv.</t>
  </si>
  <si>
    <t>PAN EL (8xzás., dvoj. jistič, šňůra  s přepěťovou ochranou)</t>
  </si>
  <si>
    <t>RACK 19" stojanový, 600x600mm, 32U, kovový, skleněná čelní strana</t>
  </si>
  <si>
    <t>RACK 19" nástěnný 18U 600x600mm, kovový, krytí IP54 (55)</t>
  </si>
  <si>
    <t>Univerzální optický kabel 50/125um, OM3 8 vláken, LSOH</t>
  </si>
  <si>
    <t>Vana výsuvného panelu FMP 3, určená pro osazeni čely FMP 3</t>
  </si>
  <si>
    <t>Čelo panelu FMP 3 pro osazení 12xDST nebo 12xDSC, neosazený</t>
  </si>
  <si>
    <t>SC-SC duplex adaptér MM s montážnímí otvory</t>
  </si>
  <si>
    <t>Duplex SC/ST záslepka, sada 3ks</t>
  </si>
  <si>
    <t>Pigtail 1m, 50/125 OM3</t>
  </si>
  <si>
    <t>SC-SC patchcord 50/125 dvojitý</t>
  </si>
  <si>
    <t>Vyhřívání s termostatem do 19" nástěnného rozvaděče</t>
  </si>
  <si>
    <t>Hager 454202</t>
  </si>
  <si>
    <t>Nosná deska s černým uložením, 2xRJ pro modulární konektory Jack</t>
  </si>
  <si>
    <t>Hager 5310118989</t>
  </si>
  <si>
    <t>Rámeček, 1-násobný, S.1, bílá lesk</t>
  </si>
  <si>
    <t>Hager 11818989</t>
  </si>
  <si>
    <t>Centrální díl pro nosnou desku 2-nás., s krytkami, S.1/B.x, bílá l.</t>
  </si>
  <si>
    <t>Hager 	10116099</t>
  </si>
  <si>
    <t>Rámeček 1-násobný, Berker Q.3, bílá, sametová</t>
  </si>
  <si>
    <t>Hager 11816089</t>
  </si>
  <si>
    <t>Centrální díl pro nosnou desku 2-nás., s krytkami, Q.x, bílá sam.</t>
  </si>
  <si>
    <t>Hager 10116096</t>
  </si>
  <si>
    <t>Rámeček 1-násobný, Berker Q.3, antracit, sametová</t>
  </si>
  <si>
    <t>Hager 11816086</t>
  </si>
  <si>
    <t>Centrální díl pro nosnou desku 2-nás., s krytkami, Q.x, antr. sam.</t>
  </si>
  <si>
    <t>7035 EH-400W-G</t>
  </si>
  <si>
    <t>Jednotka elektrického vytápění pro LC-07 RAL 7035</t>
  </si>
  <si>
    <t>BTR-10-C-G</t>
  </si>
  <si>
    <t xml:space="preserve">Termostatická jednotka 1U pro chlazení </t>
  </si>
  <si>
    <t xml:space="preserve">BTR-10-H-G </t>
  </si>
  <si>
    <t xml:space="preserve">Termostatická jednotka 1U pro topení </t>
  </si>
  <si>
    <t>LC-07-24U-76-25002-02-G</t>
  </si>
  <si>
    <t>Rozvaděč termoizolovaný LC-07 24U 700x600 RAL7035 ventilace v obou bočnicích</t>
  </si>
  <si>
    <t>LC-50</t>
  </si>
  <si>
    <t>19" rozvaděč 600x600 RAL 7035, skleněné dveře</t>
  </si>
  <si>
    <t>VJ19-3-T-B</t>
  </si>
  <si>
    <t xml:space="preserve">Chladící jednotka 19" 1U 3 ventilátory s bimetalovým termostatem BK </t>
  </si>
  <si>
    <t>Panel podstavce s kartáčovou lištou 600, výška 100mm, RAL7035</t>
  </si>
  <si>
    <t>Univerzální sada rohů podstavců výšky 100MM/SM vč. montážní sady RAL7035</t>
  </si>
  <si>
    <t xml:space="preserve"> LU-LED-ALU</t>
  </si>
  <si>
    <t>Osvětlovací jednotka LED diodová</t>
  </si>
  <si>
    <t>ACAR-S8-FA</t>
  </si>
  <si>
    <t>Napajeci panel + přep.ochrana, 3m 8 pozic BK včetně držáků do 19" lišt</t>
  </si>
  <si>
    <t>UP-14-B</t>
  </si>
  <si>
    <t>Police 19" 1U 450MM/SM pevná BK</t>
  </si>
  <si>
    <t>RAB-VP-R01-A
(Triton)</t>
  </si>
  <si>
    <t>Police do 19" rozvaděče pro uložení kabelové rezervy, h. 440MM/SM, černá</t>
  </si>
  <si>
    <t>DURA-LINE</t>
  </si>
  <si>
    <t>Mikrotrubička HDPE zemní tlustostěnná 12/8mm, modrá, pro přímou pokládku do země, vnitřní lubrikační vrstva SILICORE</t>
  </si>
  <si>
    <t>BK FOS2-1U-B</t>
  </si>
  <si>
    <t>Optická vana s výsuvnou policí uzavíratelná klapkami 1U</t>
  </si>
  <si>
    <t>FP2-1U-12SCS-B</t>
  </si>
  <si>
    <t>Čelo optické vany 1U pro 12 SC simplex/LC duplex/E2000 BK s montážními otvory v2</t>
  </si>
  <si>
    <t>SXOS-60</t>
  </si>
  <si>
    <t>Ochrana sváru Solarix 2.2 x 60mm</t>
  </si>
  <si>
    <t>SXOK-24</t>
  </si>
  <si>
    <t>Optická kazeta pro 24 svárů</t>
  </si>
  <si>
    <t>SXAD-LC-PC-OS-D</t>
  </si>
  <si>
    <t>Adaptér LC SM OS duplex</t>
  </si>
  <si>
    <t>SXPI-LC-UPC-OS-1,5M</t>
  </si>
  <si>
    <t>Pigtail 9/125 LCupc SM OS 1,5m</t>
  </si>
  <si>
    <t>SXPC-LC/LC-UPC-OS-1M-D</t>
  </si>
  <si>
    <t>Patch kabel 9/125 LCupc/LCupc SM OS 1m duplex</t>
  </si>
  <si>
    <t>SXPC-LC/LC-UPC-OS-2M-D</t>
  </si>
  <si>
    <t>Patch kabel 9/125 LCupc/LCupc SM OS 2m duplex</t>
  </si>
  <si>
    <t>SXKO-MINI-12-OS-HDPE</t>
  </si>
  <si>
    <t xml:space="preserve">Zafukovací kabel 12vl 9/125 </t>
  </si>
  <si>
    <t>SXKJ-6-UTP-BK-NA</t>
  </si>
  <si>
    <t>Rychlozařezávací keystone CAT6 UTP Component Level a 4PPoE certifikace</t>
  </si>
  <si>
    <t>SX24-6-UTP-BK</t>
  </si>
  <si>
    <t>19" patch panel Solarix 24 x RJ45 CAT6 UTP 350 MHz černý 1U</t>
  </si>
  <si>
    <t>VP-08-1-00-B</t>
  </si>
  <si>
    <t>Solarix:  Vyvazovací panel 19" 1U BK ocelový</t>
  </si>
  <si>
    <t>SXKD-6-UTP-PVC</t>
  </si>
  <si>
    <t>Instalační kabel Solarix CAT6 UTP PVC 450MHz</t>
  </si>
  <si>
    <t>C6-114GY-0,5MB</t>
  </si>
  <si>
    <t>Patch kabel CAT6 UTP PVC 0,5m šedý snag-proof</t>
  </si>
  <si>
    <t>DS-2CD3646G2-IZS</t>
  </si>
  <si>
    <t>IP bullet kamera, 4MP, WDR, VCA, IR 80m, IP66</t>
  </si>
  <si>
    <t>DS-2CD3686G2-IZS</t>
  </si>
  <si>
    <t xml:space="preserve">
IP bullet kamera, 8MP, WDR, VCA, IR 60m, IP67</t>
  </si>
  <si>
    <t>DS-9664NI-M8</t>
  </si>
  <si>
    <t>NVR pro 64 IP kamer, až 32MP, HDMI, bez HDD, podpora RAID, redundantní PSU</t>
  </si>
  <si>
    <t>HPE JL684B</t>
  </si>
  <si>
    <t>HPE Networking Instant On Switch 24p Gigabit CL4 PoE 4p SFP+ 370W 1930, web management</t>
  </si>
  <si>
    <t>HPE JL681A</t>
  </si>
  <si>
    <t>HPE Aruba Instant On 1930 Smart 8G 2SFP PoE+ 124W Switch</t>
  </si>
  <si>
    <t>Modul SFP 1000Base-LX kompatibilní kompatibilní</t>
  </si>
  <si>
    <t>Už se nevyrábí, nahrazeno MK8 LCD</t>
  </si>
  <si>
    <t>SL-200QDP</t>
  </si>
  <si>
    <t>4-paprsková IR závora, dosah 60 m, synchronizace - 4 kanály</t>
  </si>
  <si>
    <t>TAKH</t>
  </si>
  <si>
    <t>Sada držáků (2 ks) pro montáž IR závor řady SL do sloupů MB/PB/TAx</t>
  </si>
  <si>
    <t>TAD150</t>
  </si>
  <si>
    <t>Oboustranný sloup pro IR závory Optex &amp; Takex, montáž na patku, výška 1,5 m</t>
  </si>
  <si>
    <t>TAS-150</t>
  </si>
  <si>
    <t>TWH24V</t>
  </si>
  <si>
    <t>Vyhřívací prvek pro sloupy TAS / TAW / TAD</t>
  </si>
  <si>
    <t>PTS</t>
  </si>
  <si>
    <t>Termostat pro řízení vyhřívacích prvků PTH24V, TWH24V a MAH24V</t>
  </si>
  <si>
    <t>AWZG2-24V3A-C</t>
  </si>
  <si>
    <t>Lineární napájecí zdroj 27,6 V ss / max. 3 A v krytu, aku max. 2 x 17 Ah</t>
  </si>
  <si>
    <t>PS12170 VdS</t>
  </si>
  <si>
    <t>Akumulátor 12V/17Ah se šroubovými svorkami M5 a životností až 5 let, VdS</t>
  </si>
  <si>
    <t>G2405NU</t>
  </si>
  <si>
    <t>Modul spínaného zdroje 27,6 V ss / 5+0,5 A, indikační LED, bez sign. výstupů</t>
  </si>
  <si>
    <t>J241</t>
  </si>
  <si>
    <t>Plastová propojovací krabice, 24+2 šroubovací svorky, s větší výškou</t>
  </si>
  <si>
    <t>E080-10</t>
  </si>
  <si>
    <t>TCP/IP komunikátor bez krytu pro GALAXYGD, verze dle EN norem. ISOM protokol</t>
  </si>
  <si>
    <t>AKC-0001</t>
  </si>
  <si>
    <t>Capture Q20 - PIR detektor, Quad pyroelement, dosah 20m, PET odolnost</t>
  </si>
  <si>
    <t>PRESTIGE DRZAK</t>
  </si>
  <si>
    <t>Kombinovaný kloubový držák na strop nebo na stěnu, balení 10ks</t>
  </si>
  <si>
    <t>ART1490CR</t>
  </si>
  <si>
    <t>Signalizační velká LED dioda bez bzučáku v krytu barva červená</t>
  </si>
  <si>
    <t>ART1490CG</t>
  </si>
  <si>
    <t>Signalizační velká LED dioda bez bzučáku v krytu barva zelená</t>
  </si>
  <si>
    <t>Dodatečné náklad</t>
  </si>
  <si>
    <t>plošiny</t>
  </si>
  <si>
    <t>Buňkoviště</t>
  </si>
  <si>
    <t>požadovaná cena za Litvínov + Mimoň je:</t>
  </si>
  <si>
    <t>cena za Litvínov je:</t>
  </si>
  <si>
    <t>Upravené množství</t>
  </si>
  <si>
    <t>údajně na svítidla</t>
  </si>
  <si>
    <t>původní</t>
  </si>
  <si>
    <t>nově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</si>
</sst>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Kč&quot;_-;\-* #,##0.00\ &quot;Kč&quot;_-;_-* &quot;-&quot;??\ &quot;Kč&quot;_-;_-@_-"/>
    <numFmt numFmtId="43" formatCode="_-* #,##0.00_-;\-* #,##0.00_-;_-* &quot;-&quot;??_-;_-@_-"/>
    <numFmt numFmtId="164" formatCode="#,##0\ &quot;Kč&quot;"/>
    <numFmt numFmtId="165" formatCode="_-* #,##0.0\ &quot;Kč&quot;_-;\-* #,##0.0\ &quot;Kč&quot;_-;_-* &quot;-&quot;??\ &quot;Kč&quot;_-;_-@_-"/>
    <numFmt numFmtId="166" formatCode="_-* #,##0.00\ _K_č_-;\-* #,##0.00\ _K_č_-;_-* &quot;-&quot;??\ _K_č_-;_-@_-"/>
    <numFmt numFmtId="167" formatCode="_-* #,##0.0\ &quot;Kč&quot;_-;\-* #,##0.0\ &quot;Kč&quot;_-;_-* &quot;-&quot;?\ &quot;Kč&quot;_-;_-@_-"/>
    <numFmt numFmtId="168" formatCode="#,##0.00\ &quot;Kč&quot;"/>
    <numFmt numFmtId="169" formatCode="_-* #,##0\ &quot;Kč&quot;_-;\-* #,##0\ &quot;Kč&quot;_-;_-* &quot;-&quot;??\ &quot;Kč&quot;_-;_-@_-"/>
  </numFmts>
  <fonts count="60">
    <font>
      <sz val="11"/>
      <color theme="1"/>
      <name val="Calibri"/>
      <family val="2"/>
      <charset val="238"/>
      <scheme val="minor"/>
    </font>
    <font>
      <sz val="8"/>
      <color rgb="FF000000"/>
      <name val="慔潨慭"/>
      <charset val="238"/>
    </font>
    <font>
      <b/>
      <sz val="11"/>
      <color rgb="FF000000"/>
      <name val="慔潨慭"/>
      <charset val="238"/>
    </font>
    <font>
      <b/>
      <sz val="9"/>
      <color rgb="FF000000"/>
      <name val="慔潨慭"/>
      <charset val="238"/>
    </font>
    <font>
      <b/>
      <sz val="8"/>
      <color rgb="FF000000"/>
      <name val="慔潨慭"/>
      <charset val="238"/>
    </font>
    <font>
      <i/>
      <sz val="9"/>
      <color rgb="FF000000"/>
      <name val="慔潨慭"/>
      <charset val="238"/>
    </font>
    <font>
      <b/>
      <sz val="12"/>
      <name val="Arial CE"/>
      <family val="2"/>
      <charset val="238"/>
    </font>
    <font>
      <sz val="10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1"/>
      <name val="Arial"/>
      <family val="2"/>
      <charset val="238"/>
    </font>
    <font>
      <sz val="9"/>
      <color rgb="FF000000"/>
      <name val="慔潨慭"/>
      <charset val="238"/>
    </font>
    <font>
      <sz val="10"/>
      <color theme="1"/>
      <name val="Arial"/>
      <family val="2"/>
      <charset val="238"/>
    </font>
    <font>
      <b/>
      <sz val="12"/>
      <color theme="1"/>
      <name val="Calibri"/>
      <family val="2"/>
      <charset val="238"/>
      <scheme val="minor"/>
    </font>
    <font>
      <b/>
      <sz val="12"/>
      <color rgb="FF000000"/>
      <name val="慔潨慭"/>
      <charset val="238"/>
    </font>
    <font>
      <u/>
      <sz val="12"/>
      <color theme="10"/>
      <name val="Calibri"/>
      <family val="2"/>
      <charset val="238"/>
      <scheme val="minor"/>
    </font>
    <font>
      <u/>
      <sz val="10"/>
      <color theme="10"/>
      <name val="Calibri"/>
      <family val="2"/>
      <charset val="238"/>
      <scheme val="minor"/>
    </font>
    <font>
      <sz val="10"/>
      <name val="Arial CE"/>
      <charset val="238"/>
    </font>
    <font>
      <b/>
      <strike/>
      <sz val="8"/>
      <color rgb="FF000000"/>
      <name val="慔潨慭"/>
      <charset val="238"/>
    </font>
    <font>
      <strike/>
      <sz val="8"/>
      <color rgb="FF000000"/>
      <name val="慔潨慭"/>
      <charset val="238"/>
    </font>
    <font>
      <i/>
      <strike/>
      <sz val="9"/>
      <color rgb="FF000000"/>
      <name val="慔潨慭"/>
      <charset val="238"/>
    </font>
    <font>
      <b/>
      <strike/>
      <sz val="9"/>
      <color rgb="FF000000"/>
      <name val="慔潨慭"/>
      <charset val="238"/>
    </font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  <font>
      <sz val="10"/>
      <color rgb="FFFF0000"/>
      <name val="Calibri"/>
      <family val="2"/>
      <charset val="238"/>
      <scheme val="minor"/>
    </font>
    <font>
      <sz val="8"/>
      <color rgb="FF000000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10"/>
      <name val="Arial CE"/>
    </font>
    <font>
      <sz val="10"/>
      <color rgb="FFFF0000"/>
      <name val="Arial CE"/>
    </font>
    <font>
      <sz val="9"/>
      <name val="Arial CE"/>
    </font>
    <font>
      <sz val="10"/>
      <color theme="1"/>
      <name val="Arial CE"/>
    </font>
    <font>
      <sz val="11"/>
      <name val="Calibri"/>
      <family val="2"/>
      <charset val="238"/>
      <scheme val="minor"/>
    </font>
    <font>
      <sz val="11"/>
      <name val="Arial CE"/>
    </font>
    <font>
      <b/>
      <sz val="11"/>
      <name val="Arial CE"/>
    </font>
    <font>
      <sz val="9"/>
      <color rgb="FFFF0000"/>
      <name val="Arial CE"/>
    </font>
    <font>
      <b/>
      <sz val="10"/>
      <name val="Arial CE"/>
    </font>
    <font>
      <b/>
      <sz val="12"/>
      <name val="Arial CE"/>
    </font>
    <font>
      <strike/>
      <sz val="9"/>
      <color rgb="FFFF0000"/>
      <name val="Arial CE"/>
    </font>
    <font>
      <strike/>
      <sz val="9"/>
      <name val="Arial CE"/>
    </font>
    <font>
      <sz val="9"/>
      <color rgb="FFFF0000"/>
      <name val="Arial CE"/>
      <charset val="238"/>
    </font>
    <font>
      <sz val="8"/>
      <color rgb="FFFF0000"/>
      <name val="慔潨慭"/>
      <charset val="238"/>
    </font>
    <font>
      <sz val="8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9"/>
      <color rgb="FFFF0000"/>
      <name val="Arial CE"/>
      <charset val="238"/>
    </font>
    <font>
      <b/>
      <sz val="11"/>
      <color rgb="FF002060"/>
      <name val="Calibri"/>
      <family val="2"/>
      <charset val="238"/>
      <scheme val="minor"/>
    </font>
    <font>
      <b/>
      <u val="singleAccounting"/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i/>
      <sz val="10"/>
      <name val="Times New Roman CE"/>
      <family val="1"/>
      <charset val="238"/>
    </font>
    <font>
      <b/>
      <sz val="10"/>
      <color rgb="FFFF0000"/>
      <name val="Arial CE"/>
      <charset val="238"/>
    </font>
    <font>
      <sz val="9"/>
      <name val="Arial CE"/>
      <family val="2"/>
      <charset val="238"/>
    </font>
    <font>
      <b/>
      <sz val="9"/>
      <name val="Arial CE"/>
      <charset val="238"/>
    </font>
    <font>
      <sz val="9"/>
      <name val="Arial CE"/>
      <charset val="238"/>
    </font>
    <font>
      <b/>
      <sz val="12"/>
      <name val="Arial CE"/>
      <charset val="238"/>
    </font>
    <font>
      <sz val="10"/>
      <color rgb="FFFF0000"/>
      <name val="Arial CE"/>
      <charset val="238"/>
    </font>
    <font>
      <b/>
      <sz val="10"/>
      <color theme="9" tint="-0.249977111117893"/>
      <name val="Arial CE"/>
      <charset val="238"/>
    </font>
    <font>
      <b/>
      <sz val="10"/>
      <color rgb="FF0070C0"/>
      <name val="Arial CE"/>
      <charset val="238"/>
    </font>
    <font>
      <sz val="8"/>
      <color theme="1"/>
      <name val="Calibri"/>
      <family val="2"/>
      <charset val="238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D4D0C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EBFF"/>
        <bgColor indexed="64"/>
      </patternFill>
    </fill>
    <fill>
      <patternFill patternType="solid">
        <fgColor rgb="FFDFFFDF"/>
        <bgColor indexed="64"/>
      </patternFill>
    </fill>
    <fill>
      <patternFill patternType="solid">
        <fgColor rgb="FFFFEAFF"/>
        <bgColor indexed="64"/>
      </patternFill>
    </fill>
    <fill>
      <patternFill patternType="solid">
        <fgColor rgb="FFE0FEE0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theme="5" tint="-0.24994659260841701"/>
      </left>
      <right style="thick">
        <color theme="5" tint="-0.24994659260841701"/>
      </right>
      <top style="thick">
        <color theme="5" tint="-0.24994659260841701"/>
      </top>
      <bottom style="thick">
        <color theme="5" tint="-0.24994659260841701"/>
      </bottom>
      <diagonal/>
    </border>
  </borders>
  <cellStyleXfs count="14">
    <xf numFmtId="0" fontId="0" fillId="0" borderId="0"/>
    <xf numFmtId="0" fontId="14" fillId="0" borderId="0" applyNumberFormat="0" applyFill="0" applyBorder="0" applyAlignment="0" applyProtection="0"/>
    <xf numFmtId="0" fontId="16" fillId="0" borderId="0"/>
    <xf numFmtId="0" fontId="21" fillId="0" borderId="0"/>
    <xf numFmtId="44" fontId="21" fillId="0" borderId="0" applyFont="0" applyFill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49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44" fontId="16" fillId="0" borderId="0" applyFont="0" applyFill="0" applyBorder="0" applyAlignment="0" applyProtection="0"/>
  </cellStyleXfs>
  <cellXfs count="283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4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 wrapText="1"/>
    </xf>
    <xf numFmtId="4" fontId="1" fillId="3" borderId="1" xfId="0" applyNumberFormat="1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left" wrapText="1"/>
    </xf>
    <xf numFmtId="4" fontId="2" fillId="4" borderId="1" xfId="0" applyNumberFormat="1" applyFont="1" applyFill="1" applyBorder="1" applyAlignment="1">
      <alignment horizontal="right"/>
    </xf>
    <xf numFmtId="49" fontId="3" fillId="5" borderId="1" xfId="0" applyNumberFormat="1" applyFont="1" applyFill="1" applyBorder="1" applyAlignment="1">
      <alignment horizontal="left"/>
    </xf>
    <xf numFmtId="49" fontId="3" fillId="5" borderId="1" xfId="0" applyNumberFormat="1" applyFont="1" applyFill="1" applyBorder="1" applyAlignment="1">
      <alignment horizontal="left" wrapText="1"/>
    </xf>
    <xf numFmtId="4" fontId="3" fillId="5" borderId="1" xfId="0" applyNumberFormat="1" applyFont="1" applyFill="1" applyBorder="1" applyAlignment="1">
      <alignment horizontal="right"/>
    </xf>
    <xf numFmtId="49" fontId="4" fillId="6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 wrapText="1"/>
    </xf>
    <xf numFmtId="4" fontId="4" fillId="6" borderId="1" xfId="0" applyNumberFormat="1" applyFont="1" applyFill="1" applyBorder="1" applyAlignment="1">
      <alignment horizontal="right"/>
    </xf>
    <xf numFmtId="49" fontId="3" fillId="7" borderId="1" xfId="0" applyNumberFormat="1" applyFont="1" applyFill="1" applyBorder="1" applyAlignment="1">
      <alignment horizontal="left"/>
    </xf>
    <xf numFmtId="49" fontId="3" fillId="7" borderId="1" xfId="0" applyNumberFormat="1" applyFont="1" applyFill="1" applyBorder="1" applyAlignment="1">
      <alignment horizontal="left" wrapText="1"/>
    </xf>
    <xf numFmtId="4" fontId="3" fillId="7" borderId="1" xfId="0" applyNumberFormat="1" applyFont="1" applyFill="1" applyBorder="1" applyAlignment="1">
      <alignment horizontal="right"/>
    </xf>
    <xf numFmtId="49" fontId="5" fillId="8" borderId="1" xfId="0" applyNumberFormat="1" applyFont="1" applyFill="1" applyBorder="1" applyAlignment="1">
      <alignment horizontal="left"/>
    </xf>
    <xf numFmtId="49" fontId="5" fillId="8" borderId="1" xfId="0" applyNumberFormat="1" applyFont="1" applyFill="1" applyBorder="1" applyAlignment="1">
      <alignment horizontal="left" wrapText="1"/>
    </xf>
    <xf numFmtId="4" fontId="5" fillId="8" borderId="1" xfId="0" applyNumberFormat="1" applyFont="1" applyFill="1" applyBorder="1" applyAlignment="1">
      <alignment horizontal="right"/>
    </xf>
    <xf numFmtId="4" fontId="5" fillId="8" borderId="1" xfId="0" applyNumberFormat="1" applyFont="1" applyFill="1" applyBorder="1" applyAlignment="1">
      <alignment horizontal="left"/>
    </xf>
    <xf numFmtId="4" fontId="1" fillId="3" borderId="1" xfId="0" applyNumberFormat="1" applyFont="1" applyFill="1" applyBorder="1" applyAlignment="1">
      <alignment horizontal="left"/>
    </xf>
    <xf numFmtId="0" fontId="0" fillId="0" borderId="1" xfId="0" applyBorder="1"/>
    <xf numFmtId="49" fontId="0" fillId="0" borderId="0" xfId="0" applyNumberFormat="1"/>
    <xf numFmtId="49" fontId="0" fillId="0" borderId="0" xfId="0" applyNumberFormat="1" applyAlignment="1">
      <alignment wrapText="1"/>
    </xf>
    <xf numFmtId="4" fontId="0" fillId="0" borderId="0" xfId="0" applyNumberFormat="1"/>
    <xf numFmtId="0" fontId="0" fillId="0" borderId="0" xfId="0" applyAlignment="1">
      <alignment horizontal="centerContinuous"/>
    </xf>
    <xf numFmtId="0" fontId="0" fillId="0" borderId="3" xfId="0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" fontId="2" fillId="4" borderId="1" xfId="0" applyNumberFormat="1" applyFont="1" applyFill="1" applyBorder="1" applyAlignment="1">
      <alignment horizontal="left"/>
    </xf>
    <xf numFmtId="49" fontId="8" fillId="0" borderId="0" xfId="0" applyNumberFormat="1" applyFont="1" applyAlignment="1">
      <alignment wrapText="1"/>
    </xf>
    <xf numFmtId="49" fontId="8" fillId="0" borderId="0" xfId="0" applyNumberFormat="1" applyFont="1"/>
    <xf numFmtId="4" fontId="8" fillId="0" borderId="0" xfId="0" applyNumberFormat="1" applyFont="1"/>
    <xf numFmtId="49" fontId="9" fillId="0" borderId="0" xfId="0" applyNumberFormat="1" applyFont="1" applyAlignment="1">
      <alignment wrapText="1"/>
    </xf>
    <xf numFmtId="49" fontId="9" fillId="0" borderId="0" xfId="0" applyNumberFormat="1" applyFont="1"/>
    <xf numFmtId="4" fontId="9" fillId="0" borderId="0" xfId="0" applyNumberFormat="1" applyFont="1"/>
    <xf numFmtId="4" fontId="10" fillId="8" borderId="1" xfId="0" applyNumberFormat="1" applyFont="1" applyFill="1" applyBorder="1" applyAlignment="1">
      <alignment horizontal="right"/>
    </xf>
    <xf numFmtId="49" fontId="13" fillId="0" borderId="1" xfId="0" applyNumberFormat="1" applyFont="1" applyBorder="1" applyAlignment="1">
      <alignment horizontal="left"/>
    </xf>
    <xf numFmtId="49" fontId="13" fillId="0" borderId="1" xfId="0" applyNumberFormat="1" applyFont="1" applyBorder="1" applyAlignment="1">
      <alignment horizontal="left" wrapText="1"/>
    </xf>
    <xf numFmtId="4" fontId="13" fillId="0" borderId="1" xfId="0" applyNumberFormat="1" applyFont="1" applyBorder="1" applyAlignment="1">
      <alignment horizontal="right"/>
    </xf>
    <xf numFmtId="49" fontId="0" fillId="0" borderId="2" xfId="0" applyNumberFormat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6" xfId="0" applyBorder="1" applyAlignment="1">
      <alignment vertical="center"/>
    </xf>
    <xf numFmtId="164" fontId="0" fillId="0" borderId="7" xfId="0" applyNumberFormat="1" applyBorder="1" applyAlignment="1">
      <alignment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12" fillId="0" borderId="4" xfId="0" applyFont="1" applyBorder="1" applyAlignment="1">
      <alignment vertical="center"/>
    </xf>
    <xf numFmtId="164" fontId="12" fillId="0" borderId="5" xfId="0" applyNumberFormat="1" applyFont="1" applyBorder="1" applyAlignment="1">
      <alignment vertical="center"/>
    </xf>
    <xf numFmtId="0" fontId="11" fillId="0" borderId="0" xfId="0" applyFont="1" applyAlignment="1">
      <alignment horizontal="left"/>
    </xf>
    <xf numFmtId="3" fontId="11" fillId="0" borderId="0" xfId="0" applyNumberFormat="1" applyFont="1" applyAlignment="1">
      <alignment horizontal="left"/>
    </xf>
    <xf numFmtId="0" fontId="15" fillId="0" borderId="0" xfId="1" applyFont="1" applyBorder="1" applyAlignment="1">
      <alignment horizontal="left"/>
    </xf>
    <xf numFmtId="0" fontId="11" fillId="0" borderId="0" xfId="0" applyFont="1" applyAlignment="1">
      <alignment vertical="center"/>
    </xf>
    <xf numFmtId="49" fontId="17" fillId="6" borderId="1" xfId="0" applyNumberFormat="1" applyFont="1" applyFill="1" applyBorder="1" applyAlignment="1">
      <alignment horizontal="left"/>
    </xf>
    <xf numFmtId="49" fontId="17" fillId="6" borderId="1" xfId="0" applyNumberFormat="1" applyFont="1" applyFill="1" applyBorder="1" applyAlignment="1">
      <alignment horizontal="left" wrapText="1"/>
    </xf>
    <xf numFmtId="4" fontId="17" fillId="6" borderId="1" xfId="0" applyNumberFormat="1" applyFont="1" applyFill="1" applyBorder="1" applyAlignment="1">
      <alignment horizontal="right"/>
    </xf>
    <xf numFmtId="49" fontId="18" fillId="3" borderId="1" xfId="0" applyNumberFormat="1" applyFont="1" applyFill="1" applyBorder="1" applyAlignment="1">
      <alignment horizontal="left"/>
    </xf>
    <xf numFmtId="49" fontId="18" fillId="3" borderId="1" xfId="0" applyNumberFormat="1" applyFont="1" applyFill="1" applyBorder="1" applyAlignment="1">
      <alignment horizontal="left" wrapText="1"/>
    </xf>
    <xf numFmtId="4" fontId="18" fillId="3" borderId="1" xfId="0" applyNumberFormat="1" applyFont="1" applyFill="1" applyBorder="1" applyAlignment="1">
      <alignment horizontal="right"/>
    </xf>
    <xf numFmtId="49" fontId="19" fillId="8" borderId="1" xfId="0" applyNumberFormat="1" applyFont="1" applyFill="1" applyBorder="1" applyAlignment="1">
      <alignment horizontal="left"/>
    </xf>
    <xf numFmtId="49" fontId="19" fillId="8" borderId="1" xfId="0" applyNumberFormat="1" applyFont="1" applyFill="1" applyBorder="1" applyAlignment="1">
      <alignment horizontal="left" wrapText="1"/>
    </xf>
    <xf numFmtId="4" fontId="19" fillId="8" borderId="1" xfId="0" applyNumberFormat="1" applyFont="1" applyFill="1" applyBorder="1" applyAlignment="1">
      <alignment horizontal="right"/>
    </xf>
    <xf numFmtId="49" fontId="20" fillId="5" borderId="1" xfId="0" applyNumberFormat="1" applyFont="1" applyFill="1" applyBorder="1" applyAlignment="1">
      <alignment horizontal="left" wrapText="1"/>
    </xf>
    <xf numFmtId="49" fontId="20" fillId="5" borderId="1" xfId="0" applyNumberFormat="1" applyFont="1" applyFill="1" applyBorder="1" applyAlignment="1">
      <alignment horizontal="left"/>
    </xf>
    <xf numFmtId="4" fontId="20" fillId="5" borderId="1" xfId="0" applyNumberFormat="1" applyFont="1" applyFill="1" applyBorder="1" applyAlignment="1">
      <alignment horizontal="left"/>
    </xf>
    <xf numFmtId="4" fontId="20" fillId="5" borderId="1" xfId="0" applyNumberFormat="1" applyFont="1" applyFill="1" applyBorder="1" applyAlignment="1">
      <alignment horizontal="right"/>
    </xf>
    <xf numFmtId="0" fontId="23" fillId="0" borderId="1" xfId="0" applyFont="1" applyBorder="1"/>
    <xf numFmtId="0" fontId="16" fillId="0" borderId="0" xfId="2"/>
    <xf numFmtId="0" fontId="22" fillId="0" borderId="0" xfId="2" applyFont="1"/>
    <xf numFmtId="0" fontId="25" fillId="9" borderId="0" xfId="3" applyFont="1" applyFill="1" applyAlignment="1">
      <alignment vertical="top"/>
    </xf>
    <xf numFmtId="0" fontId="22" fillId="9" borderId="0" xfId="2" applyFont="1" applyFill="1"/>
    <xf numFmtId="0" fontId="26" fillId="9" borderId="0" xfId="2" applyFont="1" applyFill="1"/>
    <xf numFmtId="0" fontId="26" fillId="0" borderId="0" xfId="2" applyFont="1"/>
    <xf numFmtId="0" fontId="26" fillId="10" borderId="0" xfId="2" applyFont="1" applyFill="1"/>
    <xf numFmtId="0" fontId="22" fillId="10" borderId="0" xfId="2" applyFont="1" applyFill="1"/>
    <xf numFmtId="0" fontId="0" fillId="11" borderId="0" xfId="0" applyFill="1"/>
    <xf numFmtId="0" fontId="22" fillId="0" borderId="1" xfId="0" applyFont="1" applyBorder="1"/>
    <xf numFmtId="0" fontId="22" fillId="11" borderId="1" xfId="0" applyFont="1" applyFill="1" applyBorder="1"/>
    <xf numFmtId="0" fontId="22" fillId="11" borderId="0" xfId="0" applyFont="1" applyFill="1"/>
    <xf numFmtId="0" fontId="22" fillId="0" borderId="0" xfId="0" applyFont="1"/>
    <xf numFmtId="0" fontId="25" fillId="12" borderId="0" xfId="3" applyFont="1" applyFill="1" applyAlignment="1">
      <alignment vertical="top"/>
    </xf>
    <xf numFmtId="0" fontId="22" fillId="0" borderId="0" xfId="0" applyFont="1" applyAlignment="1">
      <alignment vertical="center"/>
    </xf>
    <xf numFmtId="164" fontId="22" fillId="0" borderId="0" xfId="0" applyNumberFormat="1" applyFont="1" applyAlignment="1">
      <alignment vertical="center"/>
    </xf>
    <xf numFmtId="44" fontId="27" fillId="0" borderId="0" xfId="4" applyFont="1"/>
    <xf numFmtId="0" fontId="27" fillId="0" borderId="0" xfId="2" applyFont="1"/>
    <xf numFmtId="0" fontId="28" fillId="0" borderId="0" xfId="2" applyFont="1"/>
    <xf numFmtId="44" fontId="0" fillId="14" borderId="0" xfId="6" applyNumberFormat="1" applyFont="1"/>
    <xf numFmtId="0" fontId="0" fillId="14" borderId="0" xfId="6" applyFont="1"/>
    <xf numFmtId="44" fontId="0" fillId="13" borderId="0" xfId="5" applyNumberFormat="1" applyFont="1"/>
    <xf numFmtId="0" fontId="0" fillId="13" borderId="0" xfId="5" applyFont="1"/>
    <xf numFmtId="0" fontId="29" fillId="0" borderId="2" xfId="0" applyFont="1" applyBorder="1" applyAlignment="1">
      <alignment horizontal="right"/>
    </xf>
    <xf numFmtId="0" fontId="29" fillId="0" borderId="0" xfId="0" applyFont="1" applyAlignment="1">
      <alignment horizontal="center"/>
    </xf>
    <xf numFmtId="44" fontId="30" fillId="10" borderId="0" xfId="4" applyFont="1" applyFill="1"/>
    <xf numFmtId="44" fontId="27" fillId="15" borderId="0" xfId="4" applyFont="1" applyFill="1"/>
    <xf numFmtId="0" fontId="0" fillId="12" borderId="0" xfId="5" applyFont="1" applyFill="1"/>
    <xf numFmtId="165" fontId="0" fillId="14" borderId="0" xfId="4" applyNumberFormat="1" applyFont="1" applyFill="1"/>
    <xf numFmtId="165" fontId="0" fillId="12" borderId="0" xfId="4" applyNumberFormat="1" applyFont="1" applyFill="1"/>
    <xf numFmtId="165" fontId="31" fillId="12" borderId="0" xfId="4" applyNumberFormat="1" applyFont="1" applyFill="1"/>
    <xf numFmtId="165" fontId="31" fillId="14" borderId="0" xfId="4" applyNumberFormat="1" applyFont="1" applyFill="1"/>
    <xf numFmtId="0" fontId="32" fillId="0" borderId="3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32" fillId="0" borderId="3" xfId="0" applyFont="1" applyBorder="1"/>
    <xf numFmtId="0" fontId="27" fillId="0" borderId="0" xfId="0" applyFont="1"/>
    <xf numFmtId="0" fontId="36" fillId="0" borderId="0" xfId="0" applyFont="1" applyAlignment="1">
      <alignment horizontal="centerContinuous"/>
    </xf>
    <xf numFmtId="0" fontId="36" fillId="0" borderId="0" xfId="0" applyFont="1"/>
    <xf numFmtId="0" fontId="29" fillId="0" borderId="2" xfId="0" applyFont="1" applyBorder="1"/>
    <xf numFmtId="0" fontId="29" fillId="0" borderId="0" xfId="0" applyFont="1"/>
    <xf numFmtId="0" fontId="29" fillId="0" borderId="0" xfId="0" applyFont="1" applyAlignment="1">
      <alignment horizontal="left"/>
    </xf>
    <xf numFmtId="0" fontId="37" fillId="0" borderId="0" xfId="0" applyFont="1"/>
    <xf numFmtId="0" fontId="33" fillId="0" borderId="3" xfId="0" applyFont="1" applyBorder="1"/>
    <xf numFmtId="0" fontId="29" fillId="0" borderId="3" xfId="0" applyFont="1" applyBorder="1" applyAlignment="1">
      <alignment horizontal="center"/>
    </xf>
    <xf numFmtId="0" fontId="38" fillId="0" borderId="0" xfId="0" applyFont="1"/>
    <xf numFmtId="0" fontId="34" fillId="0" borderId="0" xfId="0" applyFont="1"/>
    <xf numFmtId="3" fontId="29" fillId="0" borderId="0" xfId="0" applyNumberFormat="1" applyFont="1" applyAlignment="1">
      <alignment horizontal="left"/>
    </xf>
    <xf numFmtId="0" fontId="29" fillId="0" borderId="0" xfId="0" applyFont="1" applyAlignment="1">
      <alignment wrapText="1"/>
    </xf>
    <xf numFmtId="0" fontId="29" fillId="0" borderId="0" xfId="0" applyFont="1" applyAlignment="1">
      <alignment vertical="center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9" fillId="0" borderId="3" xfId="0" applyFont="1" applyBorder="1"/>
    <xf numFmtId="0" fontId="35" fillId="0" borderId="0" xfId="0" applyFont="1"/>
    <xf numFmtId="165" fontId="36" fillId="0" borderId="0" xfId="4" applyNumberFormat="1" applyFont="1" applyAlignment="1">
      <alignment horizontal="centerContinuous"/>
    </xf>
    <xf numFmtId="165" fontId="0" fillId="0" borderId="0" xfId="4" applyNumberFormat="1" applyFont="1"/>
    <xf numFmtId="165" fontId="29" fillId="0" borderId="2" xfId="4" applyNumberFormat="1" applyFont="1" applyBorder="1"/>
    <xf numFmtId="165" fontId="29" fillId="0" borderId="0" xfId="4" applyNumberFormat="1" applyFont="1"/>
    <xf numFmtId="165" fontId="0" fillId="0" borderId="3" xfId="4" applyNumberFormat="1" applyFont="1" applyBorder="1"/>
    <xf numFmtId="165" fontId="29" fillId="0" borderId="0" xfId="4" applyNumberFormat="1" applyFont="1" applyAlignment="1">
      <alignment vertical="center"/>
    </xf>
    <xf numFmtId="165" fontId="0" fillId="0" borderId="0" xfId="4" applyNumberFormat="1" applyFont="1" applyAlignment="1">
      <alignment horizontal="centerContinuous"/>
    </xf>
    <xf numFmtId="165" fontId="29" fillId="0" borderId="0" xfId="4" applyNumberFormat="1" applyFont="1" applyAlignment="1">
      <alignment horizontal="left"/>
    </xf>
    <xf numFmtId="165" fontId="29" fillId="0" borderId="0" xfId="4" applyNumberFormat="1" applyFont="1" applyAlignment="1">
      <alignment wrapText="1"/>
    </xf>
    <xf numFmtId="165" fontId="0" fillId="0" borderId="0" xfId="4" applyNumberFormat="1" applyFont="1" applyAlignment="1">
      <alignment horizontal="right"/>
    </xf>
    <xf numFmtId="0" fontId="39" fillId="0" borderId="0" xfId="0" applyFont="1"/>
    <xf numFmtId="0" fontId="39" fillId="0" borderId="0" xfId="0" applyFont="1" applyAlignment="1">
      <alignment horizontal="center"/>
    </xf>
    <xf numFmtId="165" fontId="39" fillId="0" borderId="0" xfId="4" applyNumberFormat="1" applyFont="1"/>
    <xf numFmtId="3" fontId="39" fillId="0" borderId="0" xfId="0" applyNumberFormat="1" applyFont="1" applyAlignment="1">
      <alignment horizontal="left"/>
    </xf>
    <xf numFmtId="165" fontId="39" fillId="0" borderId="0" xfId="4" applyNumberFormat="1" applyFont="1" applyAlignment="1">
      <alignment horizontal="left"/>
    </xf>
    <xf numFmtId="49" fontId="40" fillId="3" borderId="1" xfId="0" applyNumberFormat="1" applyFont="1" applyFill="1" applyBorder="1" applyAlignment="1">
      <alignment horizontal="left"/>
    </xf>
    <xf numFmtId="49" fontId="40" fillId="3" borderId="1" xfId="0" applyNumberFormat="1" applyFont="1" applyFill="1" applyBorder="1" applyAlignment="1">
      <alignment horizontal="left" wrapText="1"/>
    </xf>
    <xf numFmtId="4" fontId="40" fillId="3" borderId="1" xfId="0" applyNumberFormat="1" applyFont="1" applyFill="1" applyBorder="1" applyAlignment="1">
      <alignment horizontal="right"/>
    </xf>
    <xf numFmtId="0" fontId="41" fillId="9" borderId="0" xfId="3" applyFont="1" applyFill="1" applyAlignment="1">
      <alignment vertical="top"/>
    </xf>
    <xf numFmtId="0" fontId="24" fillId="9" borderId="0" xfId="2" applyFont="1" applyFill="1"/>
    <xf numFmtId="0" fontId="24" fillId="0" borderId="0" xfId="2" applyFont="1"/>
    <xf numFmtId="0" fontId="24" fillId="10" borderId="0" xfId="2" applyFont="1" applyFill="1"/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wrapText="1"/>
    </xf>
    <xf numFmtId="4" fontId="4" fillId="3" borderId="1" xfId="0" applyNumberFormat="1" applyFont="1" applyFill="1" applyBorder="1" applyAlignment="1">
      <alignment horizontal="right"/>
    </xf>
    <xf numFmtId="0" fontId="43" fillId="0" borderId="1" xfId="0" applyFont="1" applyBorder="1"/>
    <xf numFmtId="0" fontId="42" fillId="0" borderId="1" xfId="0" applyFont="1" applyBorder="1"/>
    <xf numFmtId="0" fontId="42" fillId="0" borderId="0" xfId="0" applyFont="1"/>
    <xf numFmtId="43" fontId="25" fillId="12" borderId="0" xfId="7" applyFont="1" applyFill="1" applyAlignment="1">
      <alignment vertical="top"/>
    </xf>
    <xf numFmtId="43" fontId="25" fillId="9" borderId="0" xfId="7" applyFont="1" applyFill="1" applyAlignment="1">
      <alignment vertical="top"/>
    </xf>
    <xf numFmtId="0" fontId="34" fillId="0" borderId="0" xfId="0" quotePrefix="1" applyFont="1"/>
    <xf numFmtId="0" fontId="34" fillId="0" borderId="0" xfId="0" quotePrefix="1" applyFont="1" applyAlignment="1">
      <alignment wrapText="1"/>
    </xf>
    <xf numFmtId="0" fontId="39" fillId="0" borderId="0" xfId="0" quotePrefix="1" applyFont="1"/>
    <xf numFmtId="0" fontId="22" fillId="16" borderId="1" xfId="0" applyFont="1" applyFill="1" applyBorder="1"/>
    <xf numFmtId="43" fontId="26" fillId="0" borderId="0" xfId="7" applyFont="1"/>
    <xf numFmtId="9" fontId="0" fillId="0" borderId="0" xfId="8" applyFont="1"/>
    <xf numFmtId="9" fontId="42" fillId="0" borderId="0" xfId="8" applyFont="1"/>
    <xf numFmtId="0" fontId="43" fillId="0" borderId="0" xfId="0" applyFont="1"/>
    <xf numFmtId="9" fontId="43" fillId="0" borderId="0" xfId="8" applyFont="1"/>
    <xf numFmtId="4" fontId="0" fillId="16" borderId="1" xfId="0" applyNumberFormat="1" applyFill="1" applyBorder="1"/>
    <xf numFmtId="43" fontId="47" fillId="0" borderId="0" xfId="7" applyFont="1"/>
    <xf numFmtId="0" fontId="45" fillId="16" borderId="0" xfId="0" applyFont="1" applyFill="1"/>
    <xf numFmtId="43" fontId="26" fillId="0" borderId="0" xfId="7" applyFont="1" applyFill="1"/>
    <xf numFmtId="4" fontId="0" fillId="16" borderId="0" xfId="0" applyNumberFormat="1" applyFill="1"/>
    <xf numFmtId="166" fontId="0" fillId="16" borderId="0" xfId="0" applyNumberFormat="1" applyFill="1"/>
    <xf numFmtId="166" fontId="48" fillId="0" borderId="0" xfId="0" applyNumberFormat="1" applyFont="1"/>
    <xf numFmtId="44" fontId="0" fillId="0" borderId="0" xfId="0" applyNumberFormat="1"/>
    <xf numFmtId="44" fontId="42" fillId="0" borderId="0" xfId="0" applyNumberFormat="1" applyFont="1"/>
    <xf numFmtId="44" fontId="48" fillId="0" borderId="0" xfId="0" applyNumberFormat="1" applyFont="1"/>
    <xf numFmtId="165" fontId="42" fillId="0" borderId="0" xfId="4" applyNumberFormat="1" applyFont="1"/>
    <xf numFmtId="44" fontId="44" fillId="16" borderId="0" xfId="0" applyNumberFormat="1" applyFont="1" applyFill="1"/>
    <xf numFmtId="0" fontId="29" fillId="12" borderId="0" xfId="0" applyFont="1" applyFill="1" applyAlignment="1">
      <alignment horizontal="center"/>
    </xf>
    <xf numFmtId="165" fontId="29" fillId="12" borderId="0" xfId="4" applyNumberFormat="1" applyFont="1" applyFill="1"/>
    <xf numFmtId="167" fontId="0" fillId="0" borderId="0" xfId="0" applyNumberFormat="1"/>
    <xf numFmtId="0" fontId="29" fillId="12" borderId="0" xfId="0" applyFont="1" applyFill="1"/>
    <xf numFmtId="44" fontId="44" fillId="16" borderId="0" xfId="4" applyFont="1" applyFill="1"/>
    <xf numFmtId="0" fontId="49" fillId="17" borderId="0" xfId="9"/>
    <xf numFmtId="164" fontId="49" fillId="17" borderId="0" xfId="9" applyNumberFormat="1"/>
    <xf numFmtId="0" fontId="42" fillId="18" borderId="0" xfId="10" applyFont="1"/>
    <xf numFmtId="0" fontId="42" fillId="19" borderId="0" xfId="11" applyFont="1"/>
    <xf numFmtId="44" fontId="42" fillId="18" borderId="0" xfId="10" applyNumberFormat="1" applyFont="1"/>
    <xf numFmtId="168" fontId="42" fillId="19" borderId="0" xfId="11" applyNumberFormat="1" applyFont="1"/>
    <xf numFmtId="9" fontId="42" fillId="19" borderId="0" xfId="11" applyNumberFormat="1" applyFont="1"/>
    <xf numFmtId="10" fontId="22" fillId="0" borderId="0" xfId="2" applyNumberFormat="1" applyFont="1"/>
    <xf numFmtId="0" fontId="42" fillId="9" borderId="8" xfId="0" applyFont="1" applyFill="1" applyBorder="1" applyAlignment="1">
      <alignment horizontal="center"/>
    </xf>
    <xf numFmtId="0" fontId="9" fillId="0" borderId="0" xfId="0" applyFont="1"/>
    <xf numFmtId="0" fontId="50" fillId="0" borderId="2" xfId="2" applyFont="1" applyBorder="1"/>
    <xf numFmtId="0" fontId="16" fillId="0" borderId="2" xfId="2" applyBorder="1"/>
    <xf numFmtId="0" fontId="51" fillId="0" borderId="2" xfId="2" applyFont="1" applyBorder="1"/>
    <xf numFmtId="0" fontId="16" fillId="0" borderId="2" xfId="2" applyBorder="1" applyAlignment="1">
      <alignment horizontal="center"/>
    </xf>
    <xf numFmtId="165" fontId="0" fillId="0" borderId="0" xfId="13" applyNumberFormat="1" applyFont="1"/>
    <xf numFmtId="44" fontId="27" fillId="0" borderId="0" xfId="13" applyFont="1"/>
    <xf numFmtId="0" fontId="6" fillId="0" borderId="0" xfId="2" applyFont="1" applyAlignment="1">
      <alignment horizontal="centerContinuous"/>
    </xf>
    <xf numFmtId="0" fontId="16" fillId="0" borderId="0" xfId="2" applyAlignment="1">
      <alignment horizontal="centerContinuous"/>
    </xf>
    <xf numFmtId="0" fontId="51" fillId="0" borderId="0" xfId="2" applyFont="1" applyAlignment="1">
      <alignment horizontal="centerContinuous"/>
    </xf>
    <xf numFmtId="0" fontId="16" fillId="0" borderId="0" xfId="2" applyAlignment="1">
      <alignment horizontal="center"/>
    </xf>
    <xf numFmtId="165" fontId="51" fillId="0" borderId="3" xfId="13" applyNumberFormat="1" applyFont="1" applyBorder="1" applyAlignment="1">
      <alignment horizontal="centerContinuous"/>
    </xf>
    <xf numFmtId="165" fontId="0" fillId="0" borderId="3" xfId="13" applyNumberFormat="1" applyFont="1" applyBorder="1" applyAlignment="1">
      <alignment horizontal="center"/>
    </xf>
    <xf numFmtId="0" fontId="6" fillId="0" borderId="0" xfId="2" applyFont="1"/>
    <xf numFmtId="0" fontId="51" fillId="0" borderId="0" xfId="2" applyFont="1"/>
    <xf numFmtId="165" fontId="51" fillId="0" borderId="0" xfId="13" applyNumberFormat="1" applyFont="1"/>
    <xf numFmtId="165" fontId="0" fillId="0" borderId="0" xfId="13" applyNumberFormat="1" applyFont="1" applyAlignment="1">
      <alignment horizontal="center"/>
    </xf>
    <xf numFmtId="0" fontId="52" fillId="0" borderId="2" xfId="2" applyFont="1" applyBorder="1"/>
    <xf numFmtId="0" fontId="53" fillId="0" borderId="2" xfId="2" applyFont="1" applyBorder="1"/>
    <xf numFmtId="0" fontId="46" fillId="0" borderId="2" xfId="2" applyFont="1" applyBorder="1" applyAlignment="1">
      <alignment wrapText="1"/>
    </xf>
    <xf numFmtId="0" fontId="46" fillId="0" borderId="2" xfId="2" applyFont="1" applyBorder="1" applyAlignment="1">
      <alignment horizontal="center" wrapText="1"/>
    </xf>
    <xf numFmtId="0" fontId="52" fillId="0" borderId="2" xfId="2" applyFont="1" applyBorder="1" applyAlignment="1">
      <alignment horizontal="center"/>
    </xf>
    <xf numFmtId="165" fontId="54" fillId="0" borderId="2" xfId="13" applyNumberFormat="1" applyFont="1" applyBorder="1" applyAlignment="1">
      <alignment horizontal="center" wrapText="1"/>
    </xf>
    <xf numFmtId="165" fontId="52" fillId="0" borderId="2" xfId="13" applyNumberFormat="1" applyFont="1" applyBorder="1" applyAlignment="1">
      <alignment horizontal="center"/>
    </xf>
    <xf numFmtId="0" fontId="52" fillId="0" borderId="0" xfId="2" applyFont="1"/>
    <xf numFmtId="0" fontId="54" fillId="0" borderId="0" xfId="2" applyFont="1"/>
    <xf numFmtId="0" fontId="46" fillId="0" borderId="0" xfId="2" applyFont="1"/>
    <xf numFmtId="0" fontId="52" fillId="0" borderId="0" xfId="2" applyFont="1" applyAlignment="1">
      <alignment horizontal="center"/>
    </xf>
    <xf numFmtId="0" fontId="52" fillId="0" borderId="0" xfId="2" applyFont="1" applyAlignment="1">
      <alignment horizontal="left"/>
    </xf>
    <xf numFmtId="165" fontId="55" fillId="0" borderId="0" xfId="13" applyNumberFormat="1" applyFont="1"/>
    <xf numFmtId="0" fontId="39" fillId="0" borderId="0" xfId="2" applyFont="1"/>
    <xf numFmtId="0" fontId="39" fillId="0" borderId="0" xfId="2" applyFont="1" applyAlignment="1">
      <alignment horizontal="center"/>
    </xf>
    <xf numFmtId="165" fontId="56" fillId="0" borderId="0" xfId="13" applyNumberFormat="1" applyFont="1"/>
    <xf numFmtId="3" fontId="52" fillId="0" borderId="0" xfId="2" applyNumberFormat="1" applyFont="1" applyAlignment="1">
      <alignment horizontal="left"/>
    </xf>
    <xf numFmtId="0" fontId="57" fillId="0" borderId="0" xfId="2" applyFont="1"/>
    <xf numFmtId="0" fontId="0" fillId="21" borderId="0" xfId="5" applyFont="1" applyFill="1"/>
    <xf numFmtId="0" fontId="52" fillId="0" borderId="0" xfId="2" applyFont="1" applyAlignment="1">
      <alignment vertical="center"/>
    </xf>
    <xf numFmtId="0" fontId="54" fillId="22" borderId="0" xfId="2" applyFont="1" applyFill="1" applyAlignment="1">
      <alignment vertical="center" wrapText="1"/>
    </xf>
    <xf numFmtId="0" fontId="54" fillId="0" borderId="0" xfId="2" applyFont="1" applyAlignment="1">
      <alignment vertical="center"/>
    </xf>
    <xf numFmtId="0" fontId="46" fillId="0" borderId="0" xfId="2" applyFont="1" applyAlignment="1">
      <alignment vertical="center"/>
    </xf>
    <xf numFmtId="0" fontId="52" fillId="0" borderId="0" xfId="2" applyFont="1" applyAlignment="1">
      <alignment horizontal="center" vertical="center"/>
    </xf>
    <xf numFmtId="165" fontId="52" fillId="0" borderId="0" xfId="13" applyNumberFormat="1" applyFont="1" applyAlignment="1">
      <alignment vertical="center"/>
    </xf>
    <xf numFmtId="168" fontId="52" fillId="0" borderId="0" xfId="2" applyNumberFormat="1" applyFont="1" applyAlignment="1">
      <alignment vertical="center"/>
    </xf>
    <xf numFmtId="0" fontId="16" fillId="0" borderId="0" xfId="2" applyAlignment="1">
      <alignment vertical="center"/>
    </xf>
    <xf numFmtId="0" fontId="54" fillId="0" borderId="0" xfId="2" applyFont="1" applyAlignment="1">
      <alignment wrapText="1"/>
    </xf>
    <xf numFmtId="0" fontId="52" fillId="23" borderId="0" xfId="2" applyFont="1" applyFill="1" applyAlignment="1">
      <alignment vertical="center" wrapText="1"/>
    </xf>
    <xf numFmtId="165" fontId="0" fillId="0" borderId="0" xfId="13" applyNumberFormat="1" applyFont="1" applyAlignment="1">
      <alignment vertical="center"/>
    </xf>
    <xf numFmtId="0" fontId="54" fillId="0" borderId="0" xfId="2" applyFont="1" applyAlignment="1">
      <alignment vertical="center" wrapText="1"/>
    </xf>
    <xf numFmtId="0" fontId="54" fillId="24" borderId="0" xfId="2" applyFont="1" applyFill="1" applyAlignment="1">
      <alignment vertical="center" wrapText="1"/>
    </xf>
    <xf numFmtId="2" fontId="54" fillId="0" borderId="0" xfId="2" applyNumberFormat="1" applyFont="1" applyAlignment="1">
      <alignment horizontal="center" vertical="center"/>
    </xf>
    <xf numFmtId="1" fontId="54" fillId="0" borderId="0" xfId="2" applyNumberFormat="1" applyFont="1" applyAlignment="1">
      <alignment vertical="center"/>
    </xf>
    <xf numFmtId="2" fontId="54" fillId="24" borderId="0" xfId="2" applyNumberFormat="1" applyFont="1" applyFill="1" applyAlignment="1">
      <alignment vertical="center" wrapText="1"/>
    </xf>
    <xf numFmtId="2" fontId="16" fillId="0" borderId="0" xfId="2" applyNumberFormat="1" applyAlignment="1">
      <alignment vertical="center"/>
    </xf>
    <xf numFmtId="2" fontId="54" fillId="25" borderId="0" xfId="2" applyNumberFormat="1" applyFont="1" applyFill="1" applyAlignment="1">
      <alignment vertical="center" wrapText="1"/>
    </xf>
    <xf numFmtId="0" fontId="52" fillId="0" borderId="0" xfId="2" applyFont="1" applyAlignment="1">
      <alignment vertical="center" wrapText="1"/>
    </xf>
    <xf numFmtId="0" fontId="54" fillId="22" borderId="0" xfId="2" applyFont="1" applyFill="1" applyAlignment="1">
      <alignment vertical="center"/>
    </xf>
    <xf numFmtId="1" fontId="52" fillId="0" borderId="0" xfId="2" applyNumberFormat="1" applyFont="1" applyAlignment="1">
      <alignment vertical="center"/>
    </xf>
    <xf numFmtId="2" fontId="54" fillId="22" borderId="0" xfId="2" applyNumberFormat="1" applyFont="1" applyFill="1" applyAlignment="1">
      <alignment vertical="center" wrapText="1"/>
    </xf>
    <xf numFmtId="2" fontId="52" fillId="0" borderId="0" xfId="2" applyNumberFormat="1" applyFont="1" applyAlignment="1">
      <alignment horizontal="center" vertical="center"/>
    </xf>
    <xf numFmtId="2" fontId="54" fillId="26" borderId="0" xfId="2" applyNumberFormat="1" applyFont="1" applyFill="1" applyAlignment="1">
      <alignment vertical="center" wrapText="1"/>
    </xf>
    <xf numFmtId="0" fontId="54" fillId="26" borderId="0" xfId="2" applyFont="1" applyFill="1" applyAlignment="1">
      <alignment wrapText="1"/>
    </xf>
    <xf numFmtId="0" fontId="52" fillId="0" borderId="0" xfId="2" applyFont="1" applyAlignment="1">
      <alignment wrapText="1"/>
    </xf>
    <xf numFmtId="0" fontId="54" fillId="0" borderId="0" xfId="2" applyFont="1" applyAlignment="1">
      <alignment horizontal="center"/>
    </xf>
    <xf numFmtId="0" fontId="54" fillId="27" borderId="0" xfId="2" applyFont="1" applyFill="1" applyAlignment="1">
      <alignment vertical="center" wrapText="1"/>
    </xf>
    <xf numFmtId="0" fontId="54" fillId="0" borderId="0" xfId="2" applyFont="1" applyAlignment="1">
      <alignment horizontal="center" vertical="center"/>
    </xf>
    <xf numFmtId="0" fontId="58" fillId="0" borderId="0" xfId="2" applyFont="1" applyAlignment="1">
      <alignment vertical="center"/>
    </xf>
    <xf numFmtId="0" fontId="54" fillId="27" borderId="0" xfId="2" applyFont="1" applyFill="1" applyAlignment="1">
      <alignment vertical="center"/>
    </xf>
    <xf numFmtId="0" fontId="54" fillId="28" borderId="0" xfId="2" applyFont="1" applyFill="1" applyAlignment="1">
      <alignment vertical="center" wrapText="1"/>
    </xf>
    <xf numFmtId="3" fontId="54" fillId="0" borderId="0" xfId="2" applyNumberFormat="1" applyFont="1" applyAlignment="1">
      <alignment horizontal="center" vertical="center"/>
    </xf>
    <xf numFmtId="0" fontId="54" fillId="10" borderId="0" xfId="2" applyFont="1" applyFill="1" applyAlignment="1">
      <alignment vertical="center"/>
    </xf>
    <xf numFmtId="169" fontId="0" fillId="0" borderId="0" xfId="4" applyNumberFormat="1" applyFont="1"/>
    <xf numFmtId="169" fontId="42" fillId="18" borderId="0" xfId="4" applyNumberFormat="1" applyFont="1" applyFill="1"/>
    <xf numFmtId="0" fontId="21" fillId="20" borderId="0" xfId="12"/>
    <xf numFmtId="169" fontId="21" fillId="20" borderId="0" xfId="12" applyNumberFormat="1"/>
    <xf numFmtId="0" fontId="21" fillId="13" borderId="0" xfId="5"/>
    <xf numFmtId="169" fontId="21" fillId="13" borderId="0" xfId="5" applyNumberFormat="1"/>
    <xf numFmtId="3" fontId="0" fillId="0" borderId="0" xfId="0" applyNumberFormat="1"/>
    <xf numFmtId="164" fontId="0" fillId="0" borderId="0" xfId="0" applyNumberFormat="1"/>
    <xf numFmtId="10" fontId="0" fillId="0" borderId="0" xfId="8" applyNumberFormat="1" applyFont="1"/>
    <xf numFmtId="0" fontId="0" fillId="0" borderId="2" xfId="0" applyBorder="1"/>
    <xf numFmtId="0" fontId="22" fillId="12" borderId="1" xfId="0" applyFont="1" applyFill="1" applyBorder="1"/>
    <xf numFmtId="49" fontId="1" fillId="12" borderId="1" xfId="0" applyNumberFormat="1" applyFont="1" applyFill="1" applyBorder="1" applyAlignment="1">
      <alignment horizontal="left" wrapText="1"/>
    </xf>
    <xf numFmtId="4" fontId="1" fillId="12" borderId="1" xfId="0" applyNumberFormat="1" applyFont="1" applyFill="1" applyBorder="1" applyAlignment="1">
      <alignment horizontal="right"/>
    </xf>
    <xf numFmtId="43" fontId="0" fillId="0" borderId="0" xfId="7" applyFont="1"/>
    <xf numFmtId="0" fontId="59" fillId="22" borderId="0" xfId="0" applyFont="1" applyFill="1"/>
    <xf numFmtId="0" fontId="59" fillId="0" borderId="0" xfId="0" applyFont="1"/>
    <xf numFmtId="0" fontId="59" fillId="28" borderId="0" xfId="0" applyFont="1" applyFill="1"/>
    <xf numFmtId="0" fontId="41" fillId="28" borderId="0" xfId="0" applyFont="1" applyFill="1"/>
    <xf numFmtId="0" fontId="0" fillId="0" borderId="0" xfId="0"/>
    <xf numFmtId="43" fontId="43" fillId="0" borderId="0" xfId="0" applyNumberFormat="1" applyFont="1"/>
    <xf numFmtId="0" fontId="43" fillId="0" borderId="0" xfId="0" applyFont="1"/>
    <xf numFmtId="43" fontId="0" fillId="0" borderId="0" xfId="0" applyNumberFormat="1"/>
  </cellXfs>
  <cellStyles count="14">
    <cellStyle name="20 % – Zvýraznění 5" xfId="12" builtinId="46"/>
    <cellStyle name="20 % – Zvýraznění 6" xfId="10" builtinId="50"/>
    <cellStyle name="40 % – Zvýraznění 5" xfId="5" builtinId="47"/>
    <cellStyle name="40 % – Zvýraznění 6" xfId="6" builtinId="51"/>
    <cellStyle name="60 % – Zvýraznění 6" xfId="11" builtinId="52"/>
    <cellStyle name="Čárka" xfId="7" builtinId="3"/>
    <cellStyle name="Hypertextový odkaz" xfId="1" builtinId="8"/>
    <cellStyle name="Měna" xfId="4" builtinId="4"/>
    <cellStyle name="Měna 2" xfId="13" xr:uid="{D5EA5A4D-C1E3-41A3-ABD5-51B4D97EA232}"/>
    <cellStyle name="Normální" xfId="0" builtinId="0"/>
    <cellStyle name="Normální 11 2 2" xfId="3" xr:uid="{F7397E59-B951-48D0-9A14-BD92C47CAE30}"/>
    <cellStyle name="Normální 2" xfId="2" xr:uid="{0AB2320A-04E4-441E-9CB5-2CD63F07356E}"/>
    <cellStyle name="Procenta" xfId="8" builtinId="5"/>
    <cellStyle name="Špatně" xfId="9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402771</xdr:colOff>
      <xdr:row>2</xdr:row>
      <xdr:rowOff>54428</xdr:rowOff>
    </xdr:from>
    <xdr:to>
      <xdr:col>5</xdr:col>
      <xdr:colOff>772885</xdr:colOff>
      <xdr:row>3</xdr:row>
      <xdr:rowOff>163285</xdr:rowOff>
    </xdr:to>
    <xdr:sp macro="" textlink="">
      <xdr:nvSpPr>
        <xdr:cNvPr id="2" name="Šipka: dolů 1">
          <a:extLst>
            <a:ext uri="{FF2B5EF4-FFF2-40B4-BE49-F238E27FC236}">
              <a16:creationId xmlns:a16="http://schemas.microsoft.com/office/drawing/2014/main" id="{83AA9506-FC43-90B4-079D-11D400A8DAC6}"/>
            </a:ext>
          </a:extLst>
        </xdr:cNvPr>
        <xdr:cNvSpPr/>
      </xdr:nvSpPr>
      <xdr:spPr>
        <a:xfrm>
          <a:off x="7402285" y="457199"/>
          <a:ext cx="370114" cy="293915"/>
        </a:xfrm>
        <a:prstGeom prst="down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cs-CZ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409b716a5e78c18/Stratera/01_Zak&#225;zky/01_Realizace/2024_zak&#225;zky/24010_DEK%20Cheb/03_Rozpo&#269;ty/FINAL/D.1.4.5_Rozpocet_SIL_intern&#237;!!!!_FINAL.xlsx" TargetMode="External"/><Relationship Id="rId1" Type="http://schemas.openxmlformats.org/officeDocument/2006/relationships/externalLinkPath" Target="/d409b716a5e78c18/Stratera/01_Zak&#225;zky/01_Realizace/2024_zak&#225;zky/24010_DEK%20Cheb/03_Rozpo&#269;ty/FINAL/D.1.4.5_Rozpocet_SIL_intern&#237;!!!!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409b716a5e78c18/Stratera/01_Zak&#225;zky/02_Cene&#780;ni&#769;/2024_cen&#283;n&#237;/24027_DEWOOD%20Mimo&#328;/04_Nab&#237;dky/DEK/Nab&#237;dka_SIL%20materi&#225;l_DEK%20Mimo&#328;.xlsx" TargetMode="External"/><Relationship Id="rId1" Type="http://schemas.openxmlformats.org/officeDocument/2006/relationships/externalLinkPath" Target="/d409b716a5e78c18/Stratera/01_Zak&#225;zky/02_Cene&#780;ni&#769;/2024_cen&#283;n&#237;/24027_DEWOOD%20Mimo&#328;/04_Nab&#237;dky/DEK/Nab&#237;dka_SIL%20materi&#225;l_DEK%20Mimo&#328;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409b716a5e78c18/Stratera/01_Zak&#225;zky/02_Cene&#780;ni&#769;/2024_cen&#283;n&#237;/24027_DEK_WOOD%20Mimo&#328;/04_Nab&#237;dky/DEK/Nab&#237;dka_SIL%20materi&#225;l_DEK%20Mimo&#328;.xlsx" TargetMode="External"/><Relationship Id="rId1" Type="http://schemas.openxmlformats.org/officeDocument/2006/relationships/externalLinkPath" Target="/d409b716a5e78c18/Stratera/01_Zak&#225;zky/02_Cene&#780;ni&#769;/2024_cen&#283;n&#237;/24027_DEK_WOOD%20Mimo&#328;/04_Nab&#237;dky/DEK/Nab&#237;dka_SIL%20materi&#225;l_DEK%20Mimo&#328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_Stavby/48%20DEKWOOD%20Mimo&#328;/PD/05%20DPS/D.1.14%20SO%2045%20%20P&#345;&#237;pojka%20VN%20+%20SO%2046%20%20TS/VV+R/D.1.14.15_Rozpoc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kapitulace"/>
      <sheetName val="Rozpočet"/>
      <sheetName val="Parametry"/>
      <sheetName val="přehled kalkulace "/>
    </sheetNames>
    <sheetDataSet>
      <sheetData sheetId="0"/>
      <sheetData sheetId="1"/>
      <sheetData sheetId="2">
        <row r="33">
          <cell r="B33">
            <v>1</v>
          </cell>
        </row>
        <row r="34">
          <cell r="B34">
            <v>5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L"/>
    </sheetNames>
    <sheetDataSet>
      <sheetData sheetId="0" refreshError="1">
        <row r="12">
          <cell r="U12">
            <v>2077.8947368421054</v>
          </cell>
          <cell r="V12">
            <v>12.9</v>
          </cell>
        </row>
        <row r="13">
          <cell r="U13">
            <v>1624.7368421052631</v>
          </cell>
          <cell r="V13">
            <v>2.9</v>
          </cell>
        </row>
        <row r="14">
          <cell r="U14">
            <v>1482.6315789473686</v>
          </cell>
          <cell r="V14">
            <v>2.9</v>
          </cell>
        </row>
        <row r="15">
          <cell r="U15">
            <v>1603.2842105263157</v>
          </cell>
          <cell r="V15">
            <v>2.9</v>
          </cell>
        </row>
        <row r="16">
          <cell r="U16">
            <v>3149.2842105263162</v>
          </cell>
          <cell r="V16">
            <v>24.48</v>
          </cell>
        </row>
        <row r="33">
          <cell r="U33">
            <v>923.36842105263167</v>
          </cell>
        </row>
        <row r="34">
          <cell r="U34">
            <v>572.84210526315792</v>
          </cell>
        </row>
        <row r="35">
          <cell r="U35">
            <v>757.89473684210532</v>
          </cell>
        </row>
        <row r="36">
          <cell r="U36">
            <v>62.526315789473685</v>
          </cell>
        </row>
        <row r="39">
          <cell r="U39">
            <v>18.612903225806448</v>
          </cell>
        </row>
        <row r="40">
          <cell r="U40">
            <v>39.817204301075265</v>
          </cell>
        </row>
        <row r="41">
          <cell r="U41">
            <v>31.161290322580644</v>
          </cell>
        </row>
        <row r="42">
          <cell r="X42">
            <v>28.999999999999996</v>
          </cell>
        </row>
        <row r="43">
          <cell r="X43">
            <v>79.634408602150529</v>
          </cell>
        </row>
        <row r="44">
          <cell r="X44">
            <v>62.322580645161288</v>
          </cell>
        </row>
        <row r="46">
          <cell r="U46">
            <v>57.129032258064512</v>
          </cell>
        </row>
        <row r="47">
          <cell r="U47">
            <v>39.817204301075265</v>
          </cell>
        </row>
        <row r="48">
          <cell r="U48">
            <v>62.752688172043008</v>
          </cell>
        </row>
        <row r="50">
          <cell r="U50">
            <v>57.129032258064512</v>
          </cell>
        </row>
        <row r="51">
          <cell r="U51">
            <v>39.817204301075265</v>
          </cell>
        </row>
        <row r="52">
          <cell r="U52">
            <v>62.752688172043008</v>
          </cell>
        </row>
        <row r="54">
          <cell r="U54">
            <v>247.87368421052631</v>
          </cell>
        </row>
        <row r="66">
          <cell r="U66">
            <v>57.129032258064512</v>
          </cell>
        </row>
        <row r="67">
          <cell r="U67">
            <v>2035.5053763440858</v>
          </cell>
        </row>
        <row r="68">
          <cell r="U68">
            <v>139.79569892473117</v>
          </cell>
        </row>
        <row r="73">
          <cell r="U73">
            <v>32.365591397849464</v>
          </cell>
        </row>
        <row r="74">
          <cell r="U74">
            <v>186.66666666666666</v>
          </cell>
        </row>
        <row r="75">
          <cell r="U75">
            <v>113.65591397849462</v>
          </cell>
        </row>
        <row r="77">
          <cell r="U77">
            <v>18.612903225806448</v>
          </cell>
        </row>
        <row r="78">
          <cell r="U78">
            <v>49.333333333333336</v>
          </cell>
        </row>
        <row r="79">
          <cell r="U79">
            <v>23.376344086021504</v>
          </cell>
        </row>
        <row r="80">
          <cell r="U80">
            <v>32.365591397849464</v>
          </cell>
        </row>
        <row r="81">
          <cell r="U81">
            <v>191.18279569892474</v>
          </cell>
        </row>
        <row r="82">
          <cell r="U82">
            <v>73.010752688172047</v>
          </cell>
        </row>
        <row r="84">
          <cell r="U84">
            <v>58.43010752688172</v>
          </cell>
        </row>
        <row r="85">
          <cell r="U85">
            <v>54.096774193548384</v>
          </cell>
        </row>
        <row r="86">
          <cell r="U86">
            <v>64.053763440860209</v>
          </cell>
        </row>
        <row r="88">
          <cell r="U88">
            <v>18.612903225806448</v>
          </cell>
        </row>
        <row r="89">
          <cell r="U89">
            <v>58.43010752688172</v>
          </cell>
        </row>
        <row r="90">
          <cell r="U90">
            <v>23.376344086021504</v>
          </cell>
        </row>
        <row r="91">
          <cell r="U91">
            <v>71.408602150537632</v>
          </cell>
        </row>
        <row r="97">
          <cell r="U97">
            <v>5.2105263157894743</v>
          </cell>
        </row>
        <row r="98">
          <cell r="U98">
            <v>5.4421052631578952</v>
          </cell>
        </row>
        <row r="99">
          <cell r="U99">
            <v>24.778947368421054</v>
          </cell>
        </row>
        <row r="100">
          <cell r="U100">
            <v>28.294736842105262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L"/>
    </sheetNames>
    <sheetDataSet>
      <sheetData sheetId="0">
        <row r="19">
          <cell r="U19">
            <v>3590.5578947368426</v>
          </cell>
          <cell r="V19">
            <v>21.62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ce"/>
      <sheetName val="Rozpočet"/>
      <sheetName val="Parametry"/>
    </sheetNames>
    <sheetDataSet>
      <sheetData sheetId="0"/>
      <sheetData sheetId="1"/>
      <sheetData sheetId="2">
        <row r="33">
          <cell r="B33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.chovancik@skygrip.cz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workbookViewId="0">
      <selection activeCell="H21" sqref="H21"/>
    </sheetView>
  </sheetViews>
  <sheetFormatPr defaultRowHeight="14.6"/>
  <cols>
    <col min="1" max="1" width="47.84375" customWidth="1"/>
    <col min="2" max="2" width="18.84375" customWidth="1"/>
    <col min="5" max="5" width="13.69140625" bestFit="1" customWidth="1"/>
    <col min="6" max="6" width="18.07421875" bestFit="1" customWidth="1"/>
    <col min="7" max="7" width="13.53515625" bestFit="1" customWidth="1"/>
    <col min="8" max="8" width="13.53515625" customWidth="1"/>
    <col min="9" max="9" width="13.69140625" bestFit="1" customWidth="1"/>
    <col min="10" max="10" width="20.53515625" bestFit="1" customWidth="1"/>
  </cols>
  <sheetData>
    <row r="1" spans="1:10" ht="15.9">
      <c r="A1" s="43" t="s">
        <v>0</v>
      </c>
      <c r="B1" s="44"/>
    </row>
    <row r="2" spans="1:10" ht="15.9">
      <c r="A2" s="45"/>
      <c r="B2" s="44"/>
      <c r="F2" t="s">
        <v>1</v>
      </c>
    </row>
    <row r="3" spans="1:10">
      <c r="A3" s="45"/>
      <c r="B3" s="46"/>
      <c r="H3" t="s">
        <v>1095</v>
      </c>
    </row>
    <row r="4" spans="1:10" ht="15" thickBot="1">
      <c r="A4" s="47" t="s">
        <v>2</v>
      </c>
      <c r="B4" s="48">
        <f>SIL!J393</f>
        <v>3484979.0647662957</v>
      </c>
      <c r="G4" s="263" t="s">
        <v>1096</v>
      </c>
      <c r="H4" s="264">
        <v>-120000</v>
      </c>
    </row>
    <row r="5" spans="1:10" ht="15.45" thickTop="1" thickBot="1">
      <c r="A5" s="47" t="s">
        <v>3</v>
      </c>
      <c r="B5" s="48">
        <f>SLP_R1!I348</f>
        <v>1990626.0849264003</v>
      </c>
      <c r="F5" s="190">
        <v>1.149</v>
      </c>
      <c r="G5" s="265" t="s">
        <v>1097</v>
      </c>
      <c r="H5" s="266">
        <v>-60000</v>
      </c>
    </row>
    <row r="6" spans="1:10" ht="15" thickTop="1">
      <c r="A6" s="47" t="s">
        <v>4</v>
      </c>
      <c r="B6" s="48">
        <f>'NN + VO'!J168</f>
        <v>529694.11352131586</v>
      </c>
      <c r="H6" s="261"/>
    </row>
    <row r="7" spans="1:10">
      <c r="A7" s="87" t="s">
        <v>5</v>
      </c>
      <c r="B7" s="88">
        <f>'Přípojka VN + TS'!J114</f>
        <v>0</v>
      </c>
      <c r="H7" s="261"/>
    </row>
    <row r="8" spans="1:10">
      <c r="A8" s="47"/>
      <c r="B8" s="48"/>
      <c r="E8" s="182" t="s">
        <v>6</v>
      </c>
      <c r="F8" s="184" t="s">
        <v>7</v>
      </c>
      <c r="G8" s="184" t="s">
        <v>8</v>
      </c>
      <c r="H8" s="262"/>
      <c r="I8" s="185" t="s">
        <v>9</v>
      </c>
      <c r="J8" s="185" t="s">
        <v>10</v>
      </c>
    </row>
    <row r="9" spans="1:10" ht="15.9">
      <c r="A9" s="53" t="s">
        <v>11</v>
      </c>
      <c r="B9" s="54">
        <f t="shared" ref="B9" si="0">SUM(B4:B8)</f>
        <v>6005299.2632140117</v>
      </c>
      <c r="E9" s="183">
        <f>B9/SIL!O1</f>
        <v>5226544.1803429173</v>
      </c>
      <c r="F9" s="186">
        <f>B9-E9</f>
        <v>778755.08287109435</v>
      </c>
      <c r="G9" s="186">
        <f>SIL!L394+'NN + VO'!L172+SLP_R0!K287</f>
        <v>555600.4508285044</v>
      </c>
      <c r="H9" s="262">
        <f>SUM(H4:H7)</f>
        <v>-180000</v>
      </c>
      <c r="I9" s="187">
        <f>F9+G9+H9</f>
        <v>1154355.5336995986</v>
      </c>
      <c r="J9" s="188">
        <f>I9/B9</f>
        <v>0.19222281573388106</v>
      </c>
    </row>
    <row r="10" spans="1:10" ht="15.9">
      <c r="A10" s="51"/>
      <c r="B10" s="52"/>
    </row>
    <row r="11" spans="1:10" ht="15" thickBot="1">
      <c r="A11" s="47"/>
      <c r="B11" s="48"/>
    </row>
    <row r="12" spans="1:10" ht="15" thickBot="1">
      <c r="A12" s="49" t="s">
        <v>12</v>
      </c>
      <c r="B12" s="50" t="e">
        <f>#REF!</f>
        <v>#REF!</v>
      </c>
    </row>
    <row r="15" spans="1:10">
      <c r="A15" s="58" t="s">
        <v>13</v>
      </c>
    </row>
    <row r="16" spans="1:10">
      <c r="A16" s="55" t="s">
        <v>14</v>
      </c>
    </row>
    <row r="17" spans="1:5">
      <c r="A17" s="56">
        <v>775017710</v>
      </c>
    </row>
    <row r="18" spans="1:5">
      <c r="A18" s="57" t="s">
        <v>15</v>
      </c>
    </row>
    <row r="19" spans="1:5">
      <c r="A19" s="47"/>
    </row>
    <row r="24" spans="1:5">
      <c r="A24" t="s">
        <v>1098</v>
      </c>
      <c r="B24" s="267">
        <v>11200000</v>
      </c>
    </row>
    <row r="26" spans="1:5">
      <c r="A26" t="s">
        <v>1099</v>
      </c>
      <c r="B26" s="268">
        <f>B24-B9</f>
        <v>5194700.7367859883</v>
      </c>
      <c r="E26">
        <v>5000000</v>
      </c>
    </row>
    <row r="27" spans="1:5">
      <c r="E27" s="269">
        <f>E26/B26</f>
        <v>0.96251935450155468</v>
      </c>
    </row>
  </sheetData>
  <hyperlinks>
    <hyperlink ref="A18" r:id="rId1" xr:uid="{00000000-0004-0000-0000-000000000000}"/>
  </hyperlinks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96"/>
  <sheetViews>
    <sheetView zoomScaleNormal="100" workbookViewId="0">
      <pane ySplit="1" topLeftCell="A2" activePane="bottomLeft" state="frozen"/>
      <selection pane="bottomLeft" activeCell="D315" sqref="D315"/>
    </sheetView>
  </sheetViews>
  <sheetFormatPr defaultRowHeight="14.6"/>
  <cols>
    <col min="1" max="1" width="6.53515625" style="25" customWidth="1"/>
    <col min="2" max="2" width="42.07421875" style="26" customWidth="1"/>
    <col min="3" max="3" width="4.3046875" style="25" bestFit="1" customWidth="1"/>
    <col min="4" max="4" width="7.07421875" style="27" bestFit="1" customWidth="1"/>
    <col min="5" max="5" width="8.3046875" style="27" bestFit="1" customWidth="1"/>
    <col min="6" max="6" width="13.3046875" style="27" bestFit="1" customWidth="1"/>
    <col min="7" max="7" width="7.3046875" style="27" bestFit="1" customWidth="1"/>
    <col min="8" max="8" width="13.3046875" style="27" bestFit="1" customWidth="1"/>
    <col min="9" max="9" width="8.84375" style="27" bestFit="1" customWidth="1"/>
    <col min="10" max="10" width="16.07421875" style="27" bestFit="1" customWidth="1"/>
    <col min="11" max="11" width="13.07421875" style="85" bestFit="1" customWidth="1"/>
    <col min="12" max="12" width="11.69140625" bestFit="1" customWidth="1"/>
    <col min="13" max="13" width="12.3046875" hidden="1" customWidth="1"/>
    <col min="14" max="16" width="8.84375" customWidth="1"/>
    <col min="17" max="17" width="12.3046875" bestFit="1" customWidth="1"/>
    <col min="19" max="19" width="14.3046875" bestFit="1" customWidth="1"/>
    <col min="22" max="22" width="12.3046875" bestFit="1" customWidth="1"/>
    <col min="23" max="23" width="11.69140625" bestFit="1" customWidth="1"/>
  </cols>
  <sheetData>
    <row r="1" spans="1:22" ht="15.9">
      <c r="A1" s="1"/>
      <c r="B1" s="2" t="s">
        <v>16</v>
      </c>
      <c r="C1" s="1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72" t="s">
        <v>25</v>
      </c>
      <c r="L1" s="24"/>
      <c r="M1" t="e">
        <f>[1]Parametry!B33/100*F10+[1]Parametry!B33/100*F13+[1]Parametry!B34/100*F21+[1]Parametry!B33/100*F23+[1]Parametry!B34/100*F25+[1]Parametry!B33/100*F27+[1]Parametry!B33/100*F29+[1]Parametry!B34/100*F32+[1]Parametry!B34/100*#REF!+[1]Parametry!B34/100*F120+[1]Parametry!B34/100*F122+[1]Parametry!B33/100*F124+[1]Parametry!B33/100*F126+[1]Parametry!B34/100*F128+[1]Parametry!B34/100*F130+[1]Parametry!B34/100*F132+[1]Parametry!B34/100*F133+[1]Parametry!B34/100*F138+[1]Parametry!B34/100*F139+[1]Parametry!B34/100*F140+[1]Parametry!B34/100*F142+[1]Parametry!B34/100*F143+[1]Parametry!B34/100*F144</f>
        <v>#REF!</v>
      </c>
      <c r="N1" s="73"/>
      <c r="O1" s="189">
        <f>REK!F5</f>
        <v>1.149</v>
      </c>
      <c r="P1" s="73"/>
      <c r="Q1" s="73"/>
      <c r="R1" s="73"/>
      <c r="S1" s="73"/>
      <c r="T1" s="74">
        <f>SUM(O1)</f>
        <v>1.149</v>
      </c>
      <c r="U1" s="73"/>
    </row>
    <row r="2" spans="1:22" ht="15.9">
      <c r="A2" s="4"/>
      <c r="B2" s="5" t="s">
        <v>26</v>
      </c>
      <c r="C2" s="4" t="s">
        <v>26</v>
      </c>
      <c r="D2" s="6"/>
      <c r="E2" s="6"/>
      <c r="F2" s="6"/>
      <c r="G2" s="6"/>
      <c r="H2" s="6"/>
      <c r="I2" s="6"/>
      <c r="J2" s="6"/>
      <c r="K2" s="72"/>
      <c r="L2" s="24"/>
      <c r="M2" t="e">
        <f>M1+[1]Parametry!B34/100*F146+[1]Parametry!B34/100*F147+[1]Parametry!B34/100*F148+[1]Parametry!B34/100*F149+[1]Parametry!B34/100*F150+[1]Parametry!B34/100*F151+[1]Parametry!B33/100*F156+[1]Parametry!B33/100*F157+[1]Parametry!B33/100*F158+[1]Parametry!B34/100*F160+[1]Parametry!B33/100*F162+[1]Parametry!B33/100*F163+[1]Parametry!B33/100*F165+[1]Parametry!B33/100*F167+[1]Parametry!B33/100*F168+[1]Parametry!B34/100*F170+[1]Parametry!B34/100*F171+[1]Parametry!B34/100*F173+[1]Parametry!B34/100*F175+[1]Parametry!B34/100*F177+[1]Parametry!B34/100*F178+[1]Parametry!B34/100*F179+[1]Parametry!B33/100*F182</f>
        <v>#REF!</v>
      </c>
      <c r="N2" s="73" t="s">
        <v>27</v>
      </c>
      <c r="O2" s="73" t="s">
        <v>28</v>
      </c>
      <c r="P2" s="73" t="s">
        <v>29</v>
      </c>
      <c r="Q2" s="73"/>
      <c r="R2" s="73"/>
      <c r="S2" s="73" t="s">
        <v>30</v>
      </c>
      <c r="T2" s="73" t="s">
        <v>28</v>
      </c>
      <c r="U2" s="73" t="s">
        <v>31</v>
      </c>
    </row>
    <row r="3" spans="1:22" ht="15.9">
      <c r="A3" s="7"/>
      <c r="B3" s="8" t="s">
        <v>32</v>
      </c>
      <c r="C3" s="7" t="s">
        <v>26</v>
      </c>
      <c r="D3" s="9"/>
      <c r="E3" s="9"/>
      <c r="F3" s="9"/>
      <c r="G3" s="9"/>
      <c r="H3" s="9"/>
      <c r="I3" s="9"/>
      <c r="J3" s="9"/>
      <c r="K3" s="72"/>
      <c r="L3" s="24"/>
      <c r="M3" t="e">
        <f>M2+[1]Parametry!B33/100*F184+[1]Parametry!B34/100*F186+[1]Parametry!B34/100*F188+[1]Parametry!B34/100*F189+[1]Parametry!B34/100*F190+[1]Parametry!B33/100*F192+[1]Parametry!B34/100*F196+[1]Parametry!B34/100*F197+[1]Parametry!B34/100*F198+[1]Parametry!B34/100*F199+[1]Parametry!B34/100*F200+[1]Parametry!B34/100*F202+[1]Parametry!B34/100*F203+[1]Parametry!B34/100*F204+[1]Parametry!B34/100*F206+[1]Parametry!B33/100*F207+[1]Parametry!B34/100*F208+[1]Parametry!B34/100*F210+[1]Parametry!B33/100*F212+[1]Parametry!B33/100*F214+[1]Parametry!B34/100*F216+[1]Parametry!B33/100*F217</f>
        <v>#REF!</v>
      </c>
    </row>
    <row r="4" spans="1:22" ht="15.9">
      <c r="A4" s="4"/>
      <c r="B4" s="5" t="s">
        <v>26</v>
      </c>
      <c r="C4" s="4" t="s">
        <v>26</v>
      </c>
      <c r="D4" s="6"/>
      <c r="E4" s="6"/>
      <c r="F4" s="6"/>
      <c r="G4" s="6"/>
      <c r="H4" s="6"/>
      <c r="I4" s="6"/>
      <c r="J4" s="6"/>
      <c r="K4" s="72"/>
      <c r="L4" s="24"/>
      <c r="M4" t="e">
        <f>M3+[1]Parametry!B33/100*F218+[1]Parametry!B33/100*F219+[1]Parametry!B33/100*F223+[1]Parametry!B33/100*F224+[1]Parametry!B33/100*F225+[1]Parametry!B34/100*F234+[1]Parametry!B34/100*F235+[1]Parametry!B34/100*F236+[1]Parametry!B34/100*F237+[1]Parametry!B34/100*F238+[1]Parametry!B34/100*F239+[1]Parametry!B34/100*F240+[1]Parametry!B34/100*F241+[1]Parametry!B34/100*F243+[1]Parametry!B33/100*F245+[1]Parametry!B33/100*F247+[1]Parametry!B33/100*F248+[1]Parametry!B34/100*F249+[1]Parametry!B33/100*F250+[1]Parametry!B33/100*F255+[1]Parametry!B33/100*F256+[1]Parametry!B33/100*F257</f>
        <v>#REF!</v>
      </c>
    </row>
    <row r="5" spans="1:22" ht="15.9">
      <c r="A5" s="10"/>
      <c r="B5" s="11" t="s">
        <v>33</v>
      </c>
      <c r="C5" s="10" t="s">
        <v>26</v>
      </c>
      <c r="D5" s="12"/>
      <c r="E5" s="12"/>
      <c r="F5" s="12"/>
      <c r="G5" s="12"/>
      <c r="H5" s="12"/>
      <c r="I5" s="12"/>
      <c r="J5" s="12"/>
      <c r="K5" s="72"/>
      <c r="L5" s="24"/>
      <c r="M5" t="e">
        <f>M4+[1]Parametry!B33/100*F258+[1]Parametry!B33/100*F259+[1]Parametry!B33/100*F262+[1]Parametry!B33/100*F263+[1]Parametry!B33/100*F271+[1]Parametry!B33/100*F275+[1]Parametry!B33/100*F276+[1]Parametry!B33/100*F277+[1]Parametry!B33/100*F280+[1]Parametry!B33/100*F281+[1]Parametry!B33/100*F282+[1]Parametry!B33/100*F283+[1]Parametry!B33/100*F284+[1]Parametry!B34/100*F285+[1]Parametry!B34/100*F286+[1]Parametry!B34/100*F287+[1]Parametry!B33/100*F289+[1]Parametry!B34/100*F291+[1]Parametry!B33/100*F292+[1]Parametry!B33/100*F293+[1]Parametry!B33/100*F294+[1]Parametry!B33/100*F295</f>
        <v>#REF!</v>
      </c>
    </row>
    <row r="6" spans="1:22" ht="15.9">
      <c r="A6" s="4"/>
      <c r="B6" s="5" t="s">
        <v>26</v>
      </c>
      <c r="C6" s="4" t="s">
        <v>26</v>
      </c>
      <c r="D6" s="6"/>
      <c r="E6" s="6"/>
      <c r="F6" s="6"/>
      <c r="G6" s="6"/>
      <c r="H6" s="6"/>
      <c r="I6" s="6"/>
      <c r="J6" s="6"/>
      <c r="K6" s="72"/>
      <c r="L6" s="24"/>
      <c r="M6" t="e">
        <f>M5+[1]Parametry!B33/100*F296+[1]Parametry!B33/100*F298+[1]Parametry!B33/100*F299+[1]Parametry!B33/100*F301+[1]Parametry!B33/100*F302+[1]Parametry!B33/100*F304+[1]Parametry!B33/100*F305+[1]Parametry!B33/100*F310+[1]Parametry!B33/100*F311+[1]Parametry!B33/100*F312+[1]Parametry!B33/100*F320+[1]Parametry!B33/100*F321+[1]Parametry!B33/100*F322+[1]Parametry!B33/100*F324+[1]Parametry!B34/100*F326+[1]Parametry!B34/100*F327+[1]Parametry!B34/100*F328+[1]Parametry!B33/100*F331+[1]Parametry!B33/100*F333+[1]Parametry!B33/100*F335+[1]Parametry!B33/100*F336+[1]Parametry!B34/100*F337</f>
        <v>#REF!</v>
      </c>
    </row>
    <row r="7" spans="1:22" ht="15.9">
      <c r="A7" s="13"/>
      <c r="B7" s="14" t="s">
        <v>33</v>
      </c>
      <c r="C7" s="13" t="s">
        <v>26</v>
      </c>
      <c r="D7" s="15"/>
      <c r="E7" s="15"/>
      <c r="F7" s="15"/>
      <c r="G7" s="15"/>
      <c r="H7" s="15"/>
      <c r="I7" s="15"/>
      <c r="J7" s="15"/>
      <c r="K7" s="72"/>
      <c r="L7" s="24"/>
      <c r="M7" t="e">
        <f>M6+[1]Parametry!B33/100*F340+[1]Parametry!B33/100*F341+[1]Parametry!B33/100*F343+[1]Parametry!B33/100*F344+[1]Parametry!B33/100*F345+[1]Parametry!B33/100*F346+[1]Parametry!B33/100*F347+[1]Parametry!B33/100*F348+[1]Parametry!B33/100*F349+[1]Parametry!B33/100*F350+[1]Parametry!B33/100*F352+[1]Parametry!B34/100*F355+[1]Parametry!B34/100*F360+[1]Parametry!B34/100*F361+[1]Parametry!B34/100*F362+[1]Parametry!B34/100*F364+[1]Parametry!B34/100*F366+[1]Parametry!B34/100*F368+[1]Parametry!B34/100*F369+[1]Parametry!B34/100*F371+[1]Parametry!B34/100*F373+[1]Parametry!B34/100*F375</f>
        <v>#REF!</v>
      </c>
    </row>
    <row r="8" spans="1:22" ht="22.3">
      <c r="A8" s="4"/>
      <c r="B8" s="5" t="s">
        <v>34</v>
      </c>
      <c r="C8" s="4" t="s">
        <v>26</v>
      </c>
      <c r="D8" s="6"/>
      <c r="E8" s="6"/>
      <c r="F8" s="6"/>
      <c r="G8" s="6"/>
      <c r="H8" s="6"/>
      <c r="I8" s="6"/>
      <c r="J8" s="6"/>
      <c r="K8" s="72"/>
      <c r="L8" s="24"/>
      <c r="N8" s="75"/>
      <c r="O8" s="76">
        <f>$O$1</f>
        <v>1.149</v>
      </c>
      <c r="P8" s="77">
        <f>SUM(O8*N8)</f>
        <v>0</v>
      </c>
      <c r="Q8" s="78">
        <f>SUM(N8*D8)</f>
        <v>0</v>
      </c>
      <c r="R8" s="78"/>
      <c r="S8" s="79"/>
      <c r="T8" s="80">
        <f>$T$1</f>
        <v>1.149</v>
      </c>
      <c r="U8" s="79">
        <f>SUM(T8*S8)</f>
        <v>0</v>
      </c>
      <c r="V8">
        <f>SUM(S8*D8)</f>
        <v>0</v>
      </c>
    </row>
    <row r="9" spans="1:22" ht="22.3">
      <c r="A9" s="4"/>
      <c r="B9" s="5" t="s">
        <v>35</v>
      </c>
      <c r="C9" s="4" t="s">
        <v>36</v>
      </c>
      <c r="D9" s="6">
        <v>1</v>
      </c>
      <c r="E9" s="6">
        <f>SUM(P9)</f>
        <v>0</v>
      </c>
      <c r="F9" s="6">
        <f t="shared" ref="F9" si="0">D9*E9</f>
        <v>0</v>
      </c>
      <c r="G9" s="6">
        <f>SUM(U9)</f>
        <v>333.21</v>
      </c>
      <c r="H9" s="6">
        <f t="shared" ref="H9" si="1">D9*G9</f>
        <v>333.21</v>
      </c>
      <c r="I9" s="6">
        <f t="shared" ref="I9:J9" si="2">E9+G9</f>
        <v>333.21</v>
      </c>
      <c r="J9" s="6">
        <f t="shared" si="2"/>
        <v>333.21</v>
      </c>
      <c r="K9" s="72"/>
      <c r="L9" s="24"/>
      <c r="N9" s="75"/>
      <c r="O9" s="76">
        <f>$O$1</f>
        <v>1.149</v>
      </c>
      <c r="P9" s="77">
        <f>SUM(O9*N9)</f>
        <v>0</v>
      </c>
      <c r="Q9" s="78">
        <f t="shared" ref="Q9:Q72" si="3">SUM(N9*D9)</f>
        <v>0</v>
      </c>
      <c r="R9" s="78"/>
      <c r="S9" s="79">
        <v>290</v>
      </c>
      <c r="T9" s="80">
        <f>$T$1</f>
        <v>1.149</v>
      </c>
      <c r="U9" s="79">
        <f>SUM(T9*S9)</f>
        <v>333.21</v>
      </c>
      <c r="V9">
        <f t="shared" ref="V9:V72" si="4">SUM(S9*D9)</f>
        <v>290</v>
      </c>
    </row>
    <row r="10" spans="1:22" ht="21.9">
      <c r="A10" s="4"/>
      <c r="B10" s="5" t="s">
        <v>37</v>
      </c>
      <c r="C10" s="4" t="s">
        <v>36</v>
      </c>
      <c r="D10" s="6">
        <v>20</v>
      </c>
      <c r="E10" s="6">
        <f t="shared" ref="E10:E15" si="5">SUM(P10)</f>
        <v>0</v>
      </c>
      <c r="F10" s="6">
        <f t="shared" ref="F10:F15" si="6">D10*E10</f>
        <v>0</v>
      </c>
      <c r="G10" s="6">
        <f t="shared" ref="G10:G15" si="7">SUM(U10)</f>
        <v>333.21</v>
      </c>
      <c r="H10" s="6">
        <f t="shared" ref="H10:H15" si="8">D10*G10</f>
        <v>6664.2</v>
      </c>
      <c r="I10" s="6">
        <f t="shared" ref="I10:I15" si="9">E10+G10</f>
        <v>333.21</v>
      </c>
      <c r="J10" s="6">
        <f t="shared" ref="J10:J15" si="10">F10+H10</f>
        <v>6664.2</v>
      </c>
      <c r="K10" s="82"/>
      <c r="L10" s="24"/>
      <c r="N10" s="75"/>
      <c r="O10" s="76">
        <f t="shared" ref="O10:O15" si="11">$O$1</f>
        <v>1.149</v>
      </c>
      <c r="P10" s="77">
        <f t="shared" ref="P10:P15" si="12">SUM(O10*N10)</f>
        <v>0</v>
      </c>
      <c r="Q10" s="78">
        <f t="shared" si="3"/>
        <v>0</v>
      </c>
      <c r="R10" s="78"/>
      <c r="S10" s="79">
        <v>290</v>
      </c>
      <c r="T10" s="80">
        <f t="shared" ref="T10:T15" si="13">$T$1</f>
        <v>1.149</v>
      </c>
      <c r="U10" s="79">
        <f t="shared" ref="U10:U15" si="14">SUM(T10*S10)</f>
        <v>333.21</v>
      </c>
      <c r="V10">
        <f t="shared" si="4"/>
        <v>5800</v>
      </c>
    </row>
    <row r="11" spans="1:22" ht="21.9">
      <c r="A11" s="4"/>
      <c r="B11" s="5" t="s">
        <v>38</v>
      </c>
      <c r="C11" s="4" t="s">
        <v>36</v>
      </c>
      <c r="D11" s="6">
        <v>12</v>
      </c>
      <c r="E11" s="6">
        <f t="shared" si="5"/>
        <v>0</v>
      </c>
      <c r="F11" s="6">
        <f t="shared" si="6"/>
        <v>0</v>
      </c>
      <c r="G11" s="6">
        <f t="shared" si="7"/>
        <v>402.15000000000003</v>
      </c>
      <c r="H11" s="6">
        <f t="shared" si="8"/>
        <v>4825.8</v>
      </c>
      <c r="I11" s="6">
        <f t="shared" si="9"/>
        <v>402.15000000000003</v>
      </c>
      <c r="J11" s="6">
        <f t="shared" si="10"/>
        <v>4825.8</v>
      </c>
      <c r="K11" s="82"/>
      <c r="L11" s="24"/>
      <c r="N11" s="75"/>
      <c r="O11" s="76">
        <f t="shared" si="11"/>
        <v>1.149</v>
      </c>
      <c r="P11" s="77">
        <f t="shared" si="12"/>
        <v>0</v>
      </c>
      <c r="Q11" s="78">
        <f t="shared" si="3"/>
        <v>0</v>
      </c>
      <c r="R11" s="78"/>
      <c r="S11" s="79">
        <v>350</v>
      </c>
      <c r="T11" s="80">
        <f t="shared" si="13"/>
        <v>1.149</v>
      </c>
      <c r="U11" s="79">
        <f t="shared" si="14"/>
        <v>402.15000000000003</v>
      </c>
      <c r="V11">
        <f t="shared" si="4"/>
        <v>4200</v>
      </c>
    </row>
    <row r="12" spans="1:22" ht="21.9">
      <c r="A12" s="4"/>
      <c r="B12" s="5" t="s">
        <v>39</v>
      </c>
      <c r="C12" s="4" t="s">
        <v>36</v>
      </c>
      <c r="D12" s="6">
        <v>157</v>
      </c>
      <c r="E12" s="6">
        <f t="shared" si="5"/>
        <v>0</v>
      </c>
      <c r="F12" s="6">
        <f t="shared" si="6"/>
        <v>0</v>
      </c>
      <c r="G12" s="6">
        <f t="shared" si="7"/>
        <v>333.21</v>
      </c>
      <c r="H12" s="6">
        <f t="shared" si="8"/>
        <v>52313.969999999994</v>
      </c>
      <c r="I12" s="6">
        <f t="shared" si="9"/>
        <v>333.21</v>
      </c>
      <c r="J12" s="6">
        <f t="shared" si="10"/>
        <v>52313.969999999994</v>
      </c>
      <c r="K12" s="82"/>
      <c r="L12" s="24"/>
      <c r="N12" s="75"/>
      <c r="O12" s="76">
        <f t="shared" si="11"/>
        <v>1.149</v>
      </c>
      <c r="P12" s="77">
        <f t="shared" si="12"/>
        <v>0</v>
      </c>
      <c r="Q12" s="78">
        <f t="shared" si="3"/>
        <v>0</v>
      </c>
      <c r="R12" s="78"/>
      <c r="S12" s="79">
        <v>290</v>
      </c>
      <c r="T12" s="80">
        <f t="shared" si="13"/>
        <v>1.149</v>
      </c>
      <c r="U12" s="79">
        <f t="shared" si="14"/>
        <v>333.21</v>
      </c>
      <c r="V12">
        <f t="shared" si="4"/>
        <v>45530</v>
      </c>
    </row>
    <row r="13" spans="1:22" ht="21.9">
      <c r="A13" s="4"/>
      <c r="B13" s="5" t="s">
        <v>40</v>
      </c>
      <c r="C13" s="4" t="s">
        <v>36</v>
      </c>
      <c r="D13" s="6">
        <v>5</v>
      </c>
      <c r="E13" s="6">
        <f t="shared" si="5"/>
        <v>0</v>
      </c>
      <c r="F13" s="6">
        <f t="shared" si="6"/>
        <v>0</v>
      </c>
      <c r="G13" s="6">
        <f t="shared" si="7"/>
        <v>333.21</v>
      </c>
      <c r="H13" s="6">
        <f t="shared" si="8"/>
        <v>1666.05</v>
      </c>
      <c r="I13" s="6">
        <f t="shared" si="9"/>
        <v>333.21</v>
      </c>
      <c r="J13" s="6">
        <f t="shared" si="10"/>
        <v>1666.05</v>
      </c>
      <c r="K13" s="82"/>
      <c r="L13" s="24"/>
      <c r="N13" s="75"/>
      <c r="O13" s="76">
        <f t="shared" si="11"/>
        <v>1.149</v>
      </c>
      <c r="P13" s="77">
        <f t="shared" si="12"/>
        <v>0</v>
      </c>
      <c r="Q13" s="78">
        <f t="shared" si="3"/>
        <v>0</v>
      </c>
      <c r="R13" s="78"/>
      <c r="S13" s="79">
        <v>290</v>
      </c>
      <c r="T13" s="80">
        <f t="shared" si="13"/>
        <v>1.149</v>
      </c>
      <c r="U13" s="79">
        <f t="shared" si="14"/>
        <v>333.21</v>
      </c>
      <c r="V13">
        <f t="shared" si="4"/>
        <v>1450</v>
      </c>
    </row>
    <row r="14" spans="1:22" ht="21.9">
      <c r="A14" s="4"/>
      <c r="B14" s="5" t="s">
        <v>41</v>
      </c>
      <c r="C14" s="4" t="s">
        <v>36</v>
      </c>
      <c r="D14" s="6">
        <v>7</v>
      </c>
      <c r="E14" s="6">
        <f t="shared" si="5"/>
        <v>0</v>
      </c>
      <c r="F14" s="6">
        <f t="shared" si="6"/>
        <v>0</v>
      </c>
      <c r="G14" s="6">
        <f t="shared" si="7"/>
        <v>333.21</v>
      </c>
      <c r="H14" s="6">
        <f t="shared" si="8"/>
        <v>2332.4699999999998</v>
      </c>
      <c r="I14" s="6">
        <f t="shared" si="9"/>
        <v>333.21</v>
      </c>
      <c r="J14" s="6">
        <f t="shared" si="10"/>
        <v>2332.4699999999998</v>
      </c>
      <c r="K14" s="82"/>
      <c r="L14" s="24"/>
      <c r="N14" s="75"/>
      <c r="O14" s="76">
        <f t="shared" si="11"/>
        <v>1.149</v>
      </c>
      <c r="P14" s="77">
        <f t="shared" si="12"/>
        <v>0</v>
      </c>
      <c r="Q14" s="78">
        <f t="shared" si="3"/>
        <v>0</v>
      </c>
      <c r="R14" s="78"/>
      <c r="S14" s="79">
        <v>290</v>
      </c>
      <c r="T14" s="80">
        <f t="shared" si="13"/>
        <v>1.149</v>
      </c>
      <c r="U14" s="79">
        <f t="shared" si="14"/>
        <v>333.21</v>
      </c>
      <c r="V14">
        <f t="shared" si="4"/>
        <v>2030</v>
      </c>
    </row>
    <row r="15" spans="1:22">
      <c r="A15" s="4"/>
      <c r="B15" s="5" t="s">
        <v>42</v>
      </c>
      <c r="C15" s="4" t="s">
        <v>36</v>
      </c>
      <c r="D15" s="6">
        <v>202</v>
      </c>
      <c r="E15" s="6">
        <f t="shared" si="5"/>
        <v>0</v>
      </c>
      <c r="F15" s="6">
        <f t="shared" si="6"/>
        <v>0</v>
      </c>
      <c r="G15" s="6">
        <f t="shared" si="7"/>
        <v>0</v>
      </c>
      <c r="H15" s="6">
        <f t="shared" si="8"/>
        <v>0</v>
      </c>
      <c r="I15" s="6">
        <f t="shared" si="9"/>
        <v>0</v>
      </c>
      <c r="J15" s="6">
        <f t="shared" si="10"/>
        <v>0</v>
      </c>
      <c r="K15" s="82"/>
      <c r="L15" s="24"/>
      <c r="N15" s="75"/>
      <c r="O15" s="76">
        <f t="shared" si="11"/>
        <v>1.149</v>
      </c>
      <c r="P15" s="77">
        <f t="shared" si="12"/>
        <v>0</v>
      </c>
      <c r="Q15" s="78">
        <f t="shared" si="3"/>
        <v>0</v>
      </c>
      <c r="R15" s="78"/>
      <c r="S15" s="79"/>
      <c r="T15" s="80">
        <f t="shared" si="13"/>
        <v>1.149</v>
      </c>
      <c r="U15" s="79">
        <f t="shared" si="14"/>
        <v>0</v>
      </c>
      <c r="V15">
        <f t="shared" si="4"/>
        <v>0</v>
      </c>
    </row>
    <row r="16" spans="1:22">
      <c r="A16" s="13"/>
      <c r="B16" s="14" t="s">
        <v>43</v>
      </c>
      <c r="C16" s="13" t="s">
        <v>26</v>
      </c>
      <c r="D16" s="15"/>
      <c r="E16" s="15"/>
      <c r="F16" s="15">
        <f>SUM(F8:F15)</f>
        <v>0</v>
      </c>
      <c r="G16" s="15"/>
      <c r="H16" s="15">
        <f>SUM(H8:H15)</f>
        <v>68135.7</v>
      </c>
      <c r="I16" s="15"/>
      <c r="J16" s="15">
        <f>SUM(J8:J15)</f>
        <v>68135.7</v>
      </c>
      <c r="K16" s="82"/>
      <c r="L16" s="24"/>
      <c r="Q16" s="78">
        <f t="shared" si="3"/>
        <v>0</v>
      </c>
      <c r="V16">
        <f t="shared" si="4"/>
        <v>0</v>
      </c>
    </row>
    <row r="17" spans="1:22">
      <c r="A17" s="4"/>
      <c r="B17" s="5" t="s">
        <v>26</v>
      </c>
      <c r="C17" s="4" t="s">
        <v>26</v>
      </c>
      <c r="D17" s="6"/>
      <c r="E17" s="6"/>
      <c r="F17" s="6"/>
      <c r="G17" s="6"/>
      <c r="H17" s="6"/>
      <c r="I17" s="6"/>
      <c r="J17" s="6"/>
      <c r="K17" s="82"/>
      <c r="L17" s="24"/>
      <c r="Q17" s="78">
        <f t="shared" si="3"/>
        <v>0</v>
      </c>
      <c r="V17">
        <f t="shared" si="4"/>
        <v>0</v>
      </c>
    </row>
    <row r="18" spans="1:22">
      <c r="A18" s="13"/>
      <c r="B18" s="14" t="s">
        <v>44</v>
      </c>
      <c r="C18" s="13" t="s">
        <v>26</v>
      </c>
      <c r="D18" s="15"/>
      <c r="E18" s="15"/>
      <c r="F18" s="15"/>
      <c r="G18" s="15"/>
      <c r="H18" s="15"/>
      <c r="I18" s="15"/>
      <c r="J18" s="15"/>
      <c r="K18" s="82"/>
      <c r="L18" s="24"/>
      <c r="Q18" s="78">
        <f t="shared" si="3"/>
        <v>0</v>
      </c>
      <c r="V18">
        <f t="shared" si="4"/>
        <v>0</v>
      </c>
    </row>
    <row r="19" spans="1:22" ht="21.9">
      <c r="A19" s="4"/>
      <c r="B19" s="5" t="s">
        <v>34</v>
      </c>
      <c r="C19" s="4" t="s">
        <v>26</v>
      </c>
      <c r="D19" s="6"/>
      <c r="E19" s="6"/>
      <c r="F19" s="6"/>
      <c r="G19" s="6"/>
      <c r="H19" s="6"/>
      <c r="I19" s="6"/>
      <c r="J19" s="6"/>
      <c r="K19" s="82"/>
      <c r="L19" s="24"/>
      <c r="Q19" s="78">
        <f t="shared" si="3"/>
        <v>0</v>
      </c>
      <c r="V19">
        <f t="shared" si="4"/>
        <v>0</v>
      </c>
    </row>
    <row r="20" spans="1:22">
      <c r="A20" s="4"/>
      <c r="B20" s="5" t="s">
        <v>45</v>
      </c>
      <c r="C20" s="4" t="s">
        <v>36</v>
      </c>
      <c r="D20" s="6">
        <v>6</v>
      </c>
      <c r="E20" s="6">
        <f t="shared" ref="E20:E23" si="15">SUM(P20)</f>
        <v>0</v>
      </c>
      <c r="F20" s="6">
        <f t="shared" ref="F20:F23" si="16">D20*E20</f>
        <v>0</v>
      </c>
      <c r="G20" s="6">
        <f t="shared" ref="G20:G23" si="17">SUM(U20)</f>
        <v>333.21</v>
      </c>
      <c r="H20" s="6">
        <f t="shared" ref="H20:H23" si="18">D20*G20</f>
        <v>1999.2599999999998</v>
      </c>
      <c r="I20" s="6">
        <f t="shared" ref="I20:I23" si="19">E20+G20</f>
        <v>333.21</v>
      </c>
      <c r="J20" s="6">
        <f t="shared" ref="J20:J23" si="20">F20+H20</f>
        <v>1999.2599999999998</v>
      </c>
      <c r="K20" s="82"/>
      <c r="L20" s="24"/>
      <c r="N20" s="75"/>
      <c r="O20" s="76">
        <f t="shared" ref="O20:O23" si="21">$O$1</f>
        <v>1.149</v>
      </c>
      <c r="P20" s="77">
        <f t="shared" ref="P20:P23" si="22">SUM(O20*N20)</f>
        <v>0</v>
      </c>
      <c r="Q20" s="78">
        <f t="shared" si="3"/>
        <v>0</v>
      </c>
      <c r="R20" s="78"/>
      <c r="S20" s="79">
        <v>290</v>
      </c>
      <c r="T20" s="80">
        <f t="shared" ref="T20:T23" si="23">$T$1</f>
        <v>1.149</v>
      </c>
      <c r="U20" s="79">
        <f t="shared" ref="U20:U23" si="24">SUM(T20*S20)</f>
        <v>333.21</v>
      </c>
      <c r="V20">
        <f t="shared" si="4"/>
        <v>1740</v>
      </c>
    </row>
    <row r="21" spans="1:22" ht="21.9">
      <c r="A21" s="4"/>
      <c r="B21" s="5" t="s">
        <v>46</v>
      </c>
      <c r="C21" s="4" t="s">
        <v>36</v>
      </c>
      <c r="D21" s="6">
        <v>1</v>
      </c>
      <c r="E21" s="6">
        <f t="shared" si="15"/>
        <v>0</v>
      </c>
      <c r="F21" s="6">
        <f t="shared" si="16"/>
        <v>0</v>
      </c>
      <c r="G21" s="6">
        <f t="shared" si="17"/>
        <v>333.21</v>
      </c>
      <c r="H21" s="6">
        <f t="shared" si="18"/>
        <v>333.21</v>
      </c>
      <c r="I21" s="6">
        <f t="shared" si="19"/>
        <v>333.21</v>
      </c>
      <c r="J21" s="6">
        <f t="shared" si="20"/>
        <v>333.21</v>
      </c>
      <c r="K21" s="82"/>
      <c r="L21" s="24"/>
      <c r="N21" s="75"/>
      <c r="O21" s="76">
        <f t="shared" si="21"/>
        <v>1.149</v>
      </c>
      <c r="P21" s="77">
        <f t="shared" si="22"/>
        <v>0</v>
      </c>
      <c r="Q21" s="78">
        <f t="shared" si="3"/>
        <v>0</v>
      </c>
      <c r="R21" s="78"/>
      <c r="S21" s="79">
        <v>290</v>
      </c>
      <c r="T21" s="80">
        <f t="shared" si="23"/>
        <v>1.149</v>
      </c>
      <c r="U21" s="79">
        <f t="shared" si="24"/>
        <v>333.21</v>
      </c>
      <c r="V21">
        <f t="shared" si="4"/>
        <v>290</v>
      </c>
    </row>
    <row r="22" spans="1:22" ht="21.9">
      <c r="A22" s="4"/>
      <c r="B22" s="5" t="s">
        <v>47</v>
      </c>
      <c r="C22" s="4" t="s">
        <v>36</v>
      </c>
      <c r="D22" s="6">
        <v>37</v>
      </c>
      <c r="E22" s="6">
        <f t="shared" si="15"/>
        <v>0</v>
      </c>
      <c r="F22" s="6">
        <f t="shared" si="16"/>
        <v>0</v>
      </c>
      <c r="G22" s="6">
        <f t="shared" si="17"/>
        <v>333.21</v>
      </c>
      <c r="H22" s="6">
        <f t="shared" si="18"/>
        <v>12328.769999999999</v>
      </c>
      <c r="I22" s="6">
        <f t="shared" si="19"/>
        <v>333.21</v>
      </c>
      <c r="J22" s="6">
        <f t="shared" si="20"/>
        <v>12328.769999999999</v>
      </c>
      <c r="K22" s="82"/>
      <c r="L22" s="24"/>
      <c r="N22" s="75"/>
      <c r="O22" s="76">
        <f t="shared" si="21"/>
        <v>1.149</v>
      </c>
      <c r="P22" s="77">
        <f t="shared" si="22"/>
        <v>0</v>
      </c>
      <c r="Q22" s="78">
        <f t="shared" si="3"/>
        <v>0</v>
      </c>
      <c r="R22" s="78"/>
      <c r="S22" s="79">
        <v>290</v>
      </c>
      <c r="T22" s="80">
        <f t="shared" si="23"/>
        <v>1.149</v>
      </c>
      <c r="U22" s="79">
        <f t="shared" si="24"/>
        <v>333.21</v>
      </c>
      <c r="V22">
        <f t="shared" si="4"/>
        <v>10730</v>
      </c>
    </row>
    <row r="23" spans="1:22">
      <c r="A23" s="4"/>
      <c r="B23" s="5" t="s">
        <v>42</v>
      </c>
      <c r="C23" s="4" t="s">
        <v>36</v>
      </c>
      <c r="D23" s="6">
        <v>44</v>
      </c>
      <c r="E23" s="6">
        <f t="shared" si="15"/>
        <v>0</v>
      </c>
      <c r="F23" s="6">
        <f t="shared" si="16"/>
        <v>0</v>
      </c>
      <c r="G23" s="6">
        <f t="shared" si="17"/>
        <v>0</v>
      </c>
      <c r="H23" s="6">
        <f t="shared" si="18"/>
        <v>0</v>
      </c>
      <c r="I23" s="6">
        <f t="shared" si="19"/>
        <v>0</v>
      </c>
      <c r="J23" s="6">
        <f t="shared" si="20"/>
        <v>0</v>
      </c>
      <c r="K23" s="82"/>
      <c r="L23" s="24"/>
      <c r="N23" s="75"/>
      <c r="O23" s="76">
        <f t="shared" si="21"/>
        <v>1.149</v>
      </c>
      <c r="P23" s="77">
        <f t="shared" si="22"/>
        <v>0</v>
      </c>
      <c r="Q23" s="78">
        <f t="shared" si="3"/>
        <v>0</v>
      </c>
      <c r="R23" s="78"/>
      <c r="S23" s="79"/>
      <c r="T23" s="80">
        <f t="shared" si="23"/>
        <v>1.149</v>
      </c>
      <c r="U23" s="79">
        <f t="shared" si="24"/>
        <v>0</v>
      </c>
      <c r="V23">
        <f t="shared" si="4"/>
        <v>0</v>
      </c>
    </row>
    <row r="24" spans="1:22">
      <c r="A24" s="13"/>
      <c r="B24" s="14" t="s">
        <v>48</v>
      </c>
      <c r="C24" s="13" t="s">
        <v>26</v>
      </c>
      <c r="D24" s="15"/>
      <c r="E24" s="15"/>
      <c r="F24" s="15">
        <f>SUM(F19:F23)</f>
        <v>0</v>
      </c>
      <c r="G24" s="15"/>
      <c r="H24" s="15">
        <f>SUM(H19:H23)</f>
        <v>14661.239999999998</v>
      </c>
      <c r="I24" s="15"/>
      <c r="J24" s="15">
        <f>SUM(J19:J23)</f>
        <v>14661.239999999998</v>
      </c>
      <c r="K24" s="82"/>
      <c r="L24" s="24"/>
      <c r="Q24" s="78">
        <f t="shared" si="3"/>
        <v>0</v>
      </c>
      <c r="V24">
        <f t="shared" si="4"/>
        <v>0</v>
      </c>
    </row>
    <row r="25" spans="1:22">
      <c r="A25" s="4"/>
      <c r="B25" s="5" t="s">
        <v>26</v>
      </c>
      <c r="C25" s="4" t="s">
        <v>26</v>
      </c>
      <c r="D25" s="6"/>
      <c r="E25" s="6"/>
      <c r="F25" s="6"/>
      <c r="G25" s="6"/>
      <c r="H25" s="6"/>
      <c r="I25" s="6"/>
      <c r="J25" s="6"/>
      <c r="K25" s="82"/>
      <c r="L25" s="24"/>
      <c r="Q25" s="78">
        <f t="shared" si="3"/>
        <v>0</v>
      </c>
      <c r="V25">
        <f t="shared" si="4"/>
        <v>0</v>
      </c>
    </row>
    <row r="26" spans="1:22">
      <c r="A26" s="10"/>
      <c r="B26" s="11" t="s">
        <v>43</v>
      </c>
      <c r="C26" s="10" t="s">
        <v>26</v>
      </c>
      <c r="D26" s="12"/>
      <c r="E26" s="12"/>
      <c r="F26" s="12">
        <f>SUM(F6,F8:F15,F17,F19:F23,F25:F25)</f>
        <v>0</v>
      </c>
      <c r="G26" s="12"/>
      <c r="H26" s="12">
        <f>SUM(H6,H8:H15,H17,H19:H23,H25:H25)</f>
        <v>82796.94</v>
      </c>
      <c r="I26" s="12"/>
      <c r="J26" s="12">
        <f>SUM(J6,J8:J15,J17,J19:J23,J25:J25)</f>
        <v>82796.94</v>
      </c>
      <c r="K26" s="82"/>
      <c r="L26" s="24"/>
      <c r="Q26" s="78">
        <f t="shared" si="3"/>
        <v>0</v>
      </c>
      <c r="V26">
        <f t="shared" si="4"/>
        <v>0</v>
      </c>
    </row>
    <row r="27" spans="1:22">
      <c r="A27" s="4"/>
      <c r="B27" s="5" t="s">
        <v>26</v>
      </c>
      <c r="C27" s="4" t="s">
        <v>26</v>
      </c>
      <c r="D27" s="6"/>
      <c r="E27" s="6"/>
      <c r="F27" s="6"/>
      <c r="G27" s="6"/>
      <c r="H27" s="6"/>
      <c r="I27" s="6"/>
      <c r="J27" s="6"/>
      <c r="K27" s="82"/>
      <c r="L27" s="24"/>
      <c r="Q27" s="78">
        <f t="shared" si="3"/>
        <v>0</v>
      </c>
      <c r="V27">
        <f t="shared" si="4"/>
        <v>0</v>
      </c>
    </row>
    <row r="28" spans="1:22">
      <c r="A28" s="7"/>
      <c r="B28" s="8" t="s">
        <v>49</v>
      </c>
      <c r="C28" s="7" t="s">
        <v>26</v>
      </c>
      <c r="D28" s="9"/>
      <c r="E28" s="9"/>
      <c r="F28" s="9">
        <f>SUM(F4,F6,F8:F15,F17,F19:F23,F25,F27:F27)</f>
        <v>0</v>
      </c>
      <c r="G28" s="9"/>
      <c r="H28" s="9">
        <f>SUM(H4,H6,H8:H15,H17,H19:H23,H25,H27:H27)</f>
        <v>82796.94</v>
      </c>
      <c r="I28" s="9"/>
      <c r="J28" s="9">
        <f>SUM(J4,J6,J8:J15,J17,J19:J23,J25,J27:J27)</f>
        <v>82796.94</v>
      </c>
      <c r="K28" s="82"/>
      <c r="L28" s="24"/>
      <c r="Q28" s="78">
        <f t="shared" si="3"/>
        <v>0</v>
      </c>
      <c r="V28">
        <f t="shared" si="4"/>
        <v>0</v>
      </c>
    </row>
    <row r="29" spans="1:22">
      <c r="A29" s="4"/>
      <c r="B29" s="5" t="s">
        <v>26</v>
      </c>
      <c r="C29" s="4" t="s">
        <v>26</v>
      </c>
      <c r="D29" s="6"/>
      <c r="E29" s="6"/>
      <c r="F29" s="6"/>
      <c r="G29" s="6"/>
      <c r="H29" s="6"/>
      <c r="I29" s="6"/>
      <c r="J29" s="6"/>
      <c r="K29" s="82"/>
      <c r="L29" s="24"/>
      <c r="Q29" s="78">
        <f t="shared" si="3"/>
        <v>0</v>
      </c>
      <c r="V29">
        <f t="shared" si="4"/>
        <v>0</v>
      </c>
    </row>
    <row r="30" spans="1:22">
      <c r="A30" s="7"/>
      <c r="B30" s="8" t="s">
        <v>50</v>
      </c>
      <c r="C30" s="7" t="s">
        <v>26</v>
      </c>
      <c r="D30" s="9"/>
      <c r="E30" s="9"/>
      <c r="F30" s="9"/>
      <c r="G30" s="9"/>
      <c r="H30" s="9"/>
      <c r="I30" s="9"/>
      <c r="J30" s="9"/>
      <c r="K30" s="82"/>
      <c r="L30" s="24"/>
      <c r="Q30" s="78">
        <f t="shared" si="3"/>
        <v>0</v>
      </c>
      <c r="V30">
        <f t="shared" si="4"/>
        <v>0</v>
      </c>
    </row>
    <row r="31" spans="1:22">
      <c r="A31" s="4"/>
      <c r="B31" s="5" t="s">
        <v>26</v>
      </c>
      <c r="C31" s="4" t="s">
        <v>26</v>
      </c>
      <c r="D31" s="6"/>
      <c r="E31" s="6"/>
      <c r="G31" s="6"/>
      <c r="H31" s="6"/>
      <c r="I31" s="6"/>
      <c r="J31" s="6"/>
      <c r="K31" s="82"/>
      <c r="L31" s="24"/>
      <c r="Q31" s="78">
        <f t="shared" si="3"/>
        <v>0</v>
      </c>
      <c r="V31">
        <f t="shared" si="4"/>
        <v>0</v>
      </c>
    </row>
    <row r="32" spans="1:22">
      <c r="A32" s="16"/>
      <c r="B32" s="17" t="s">
        <v>51</v>
      </c>
      <c r="C32" s="16" t="s">
        <v>26</v>
      </c>
      <c r="D32" s="18"/>
      <c r="E32" s="18"/>
      <c r="F32" s="6"/>
      <c r="G32" s="18"/>
      <c r="H32" s="18"/>
      <c r="I32" s="18"/>
      <c r="J32" s="18"/>
      <c r="K32" s="82"/>
      <c r="L32" s="24"/>
      <c r="Q32" s="78">
        <f t="shared" si="3"/>
        <v>0</v>
      </c>
      <c r="V32">
        <f t="shared" si="4"/>
        <v>0</v>
      </c>
    </row>
    <row r="33" spans="1:22">
      <c r="A33" s="4"/>
      <c r="B33" s="5" t="s">
        <v>26</v>
      </c>
      <c r="C33" s="4" t="s">
        <v>26</v>
      </c>
      <c r="D33" s="6"/>
      <c r="E33" s="6"/>
      <c r="F33" s="6"/>
      <c r="G33" s="6"/>
      <c r="H33" s="6"/>
      <c r="I33" s="6"/>
      <c r="J33" s="6"/>
      <c r="K33" s="82"/>
      <c r="L33" s="24"/>
      <c r="Q33" s="78">
        <f t="shared" si="3"/>
        <v>0</v>
      </c>
      <c r="V33">
        <f t="shared" si="4"/>
        <v>0</v>
      </c>
    </row>
    <row r="34" spans="1:22">
      <c r="A34" s="13"/>
      <c r="B34" s="14" t="s">
        <v>52</v>
      </c>
      <c r="C34" s="13" t="s">
        <v>26</v>
      </c>
      <c r="D34" s="15"/>
      <c r="E34" s="15"/>
      <c r="F34" s="15"/>
      <c r="G34" s="15"/>
      <c r="H34" s="15"/>
      <c r="I34" s="15"/>
      <c r="J34" s="15"/>
      <c r="K34" s="82"/>
      <c r="L34" s="24"/>
      <c r="Q34" s="78">
        <f t="shared" si="3"/>
        <v>0</v>
      </c>
      <c r="V34">
        <f t="shared" si="4"/>
        <v>0</v>
      </c>
    </row>
    <row r="35" spans="1:22">
      <c r="A35" s="4"/>
      <c r="B35" s="5" t="s">
        <v>26</v>
      </c>
      <c r="C35" s="4" t="s">
        <v>26</v>
      </c>
      <c r="D35" s="6"/>
      <c r="E35" s="6"/>
      <c r="F35" s="6"/>
      <c r="G35" s="6"/>
      <c r="H35" s="6"/>
      <c r="I35" s="6"/>
      <c r="J35" s="6"/>
      <c r="K35" s="82"/>
      <c r="L35" s="24"/>
      <c r="Q35" s="78">
        <f t="shared" si="3"/>
        <v>0</v>
      </c>
      <c r="V35">
        <f t="shared" si="4"/>
        <v>0</v>
      </c>
    </row>
    <row r="36" spans="1:22" ht="21.9">
      <c r="A36" s="4"/>
      <c r="B36" s="5" t="s">
        <v>53</v>
      </c>
      <c r="C36" s="4" t="s">
        <v>36</v>
      </c>
      <c r="D36" s="6">
        <v>1</v>
      </c>
      <c r="E36" s="6">
        <f t="shared" ref="E36" si="25">SUM(P36)</f>
        <v>423050.31</v>
      </c>
      <c r="F36" s="6">
        <f t="shared" ref="F36" si="26">D36*E36</f>
        <v>423050.31</v>
      </c>
      <c r="G36" s="6">
        <f t="shared" ref="G36" si="27">SUM(U36)</f>
        <v>88840.565099999993</v>
      </c>
      <c r="H36" s="6">
        <f t="shared" ref="H36" si="28">D36*G36</f>
        <v>88840.565099999993</v>
      </c>
      <c r="I36" s="6">
        <f t="shared" ref="I36" si="29">E36+G36</f>
        <v>511890.8751</v>
      </c>
      <c r="J36" s="6">
        <f t="shared" ref="J36" si="30">F36+H36</f>
        <v>511890.8751</v>
      </c>
      <c r="K36" s="82"/>
      <c r="L36" s="24"/>
      <c r="N36" s="154">
        <v>368190</v>
      </c>
      <c r="O36" s="76">
        <f t="shared" ref="O36:O80" si="31">$O$1</f>
        <v>1.149</v>
      </c>
      <c r="P36" s="77">
        <f t="shared" ref="P36" si="32">SUM(O36*N36)</f>
        <v>423050.31</v>
      </c>
      <c r="Q36" s="78">
        <f t="shared" si="3"/>
        <v>368190</v>
      </c>
      <c r="R36" s="78"/>
      <c r="S36" s="79">
        <f>SUM(N36*0.21)</f>
        <v>77319.899999999994</v>
      </c>
      <c r="T36" s="80">
        <f t="shared" ref="T36:T80" si="33">$T$1</f>
        <v>1.149</v>
      </c>
      <c r="U36" s="79">
        <f t="shared" ref="U36" si="34">SUM(T36*S36)</f>
        <v>88840.565099999993</v>
      </c>
      <c r="V36">
        <f t="shared" si="4"/>
        <v>77319.899999999994</v>
      </c>
    </row>
    <row r="37" spans="1:22">
      <c r="A37" s="4"/>
      <c r="B37" s="5" t="s">
        <v>26</v>
      </c>
      <c r="C37" s="4" t="s">
        <v>26</v>
      </c>
      <c r="D37" s="6"/>
      <c r="E37" s="6">
        <f t="shared" ref="E37:E79" si="35">SUM(P37)</f>
        <v>0</v>
      </c>
      <c r="F37" s="6">
        <f t="shared" ref="F37:F79" si="36">D37*E37</f>
        <v>0</v>
      </c>
      <c r="G37" s="6">
        <f t="shared" ref="G37:G79" si="37">SUM(U37)</f>
        <v>0</v>
      </c>
      <c r="H37" s="6">
        <f t="shared" ref="H37:H79" si="38">D37*G37</f>
        <v>0</v>
      </c>
      <c r="I37" s="6">
        <f t="shared" ref="I37:I79" si="39">E37+G37</f>
        <v>0</v>
      </c>
      <c r="J37" s="6">
        <f t="shared" ref="J37:J79" si="40">F37+H37</f>
        <v>0</v>
      </c>
      <c r="K37" s="82"/>
      <c r="L37" s="24"/>
      <c r="N37" s="75"/>
      <c r="O37" s="76">
        <f t="shared" si="31"/>
        <v>1.149</v>
      </c>
      <c r="P37" s="77">
        <f t="shared" ref="P37:P80" si="41">SUM(O37*N37)</f>
        <v>0</v>
      </c>
      <c r="Q37" s="78">
        <f t="shared" si="3"/>
        <v>0</v>
      </c>
      <c r="R37" s="78"/>
      <c r="S37" s="79"/>
      <c r="T37" s="80">
        <f t="shared" si="33"/>
        <v>1.149</v>
      </c>
      <c r="U37" s="79">
        <f t="shared" ref="U37:U80" si="42">SUM(T37*S37)</f>
        <v>0</v>
      </c>
      <c r="V37">
        <f t="shared" si="4"/>
        <v>0</v>
      </c>
    </row>
    <row r="38" spans="1:22">
      <c r="A38" s="4"/>
      <c r="B38" s="5" t="s">
        <v>54</v>
      </c>
      <c r="C38" s="4" t="s">
        <v>55</v>
      </c>
      <c r="D38" s="6">
        <v>2</v>
      </c>
      <c r="E38" s="6">
        <f t="shared" si="35"/>
        <v>0</v>
      </c>
      <c r="F38" s="6">
        <f t="shared" si="36"/>
        <v>0</v>
      </c>
      <c r="G38" s="6">
        <f t="shared" si="37"/>
        <v>0</v>
      </c>
      <c r="H38" s="6">
        <f t="shared" si="38"/>
        <v>0</v>
      </c>
      <c r="I38" s="6">
        <f t="shared" si="39"/>
        <v>0</v>
      </c>
      <c r="J38" s="6">
        <f t="shared" si="40"/>
        <v>0</v>
      </c>
      <c r="K38" s="82"/>
      <c r="L38" s="24"/>
      <c r="N38" s="75"/>
      <c r="O38" s="76">
        <f t="shared" si="31"/>
        <v>1.149</v>
      </c>
      <c r="P38" s="77">
        <f t="shared" si="41"/>
        <v>0</v>
      </c>
      <c r="Q38" s="78">
        <f t="shared" si="3"/>
        <v>0</v>
      </c>
      <c r="R38" s="78"/>
      <c r="S38" s="79"/>
      <c r="T38" s="80">
        <f t="shared" si="33"/>
        <v>1.149</v>
      </c>
      <c r="U38" s="79">
        <f t="shared" si="42"/>
        <v>0</v>
      </c>
      <c r="V38">
        <f t="shared" si="4"/>
        <v>0</v>
      </c>
    </row>
    <row r="39" spans="1:22">
      <c r="A39" s="4"/>
      <c r="B39" s="5" t="s">
        <v>56</v>
      </c>
      <c r="C39" s="4" t="s">
        <v>55</v>
      </c>
      <c r="D39" s="6">
        <v>1</v>
      </c>
      <c r="E39" s="6">
        <f t="shared" si="35"/>
        <v>0</v>
      </c>
      <c r="F39" s="6">
        <f t="shared" si="36"/>
        <v>0</v>
      </c>
      <c r="G39" s="6">
        <f t="shared" si="37"/>
        <v>0</v>
      </c>
      <c r="H39" s="6">
        <f t="shared" si="38"/>
        <v>0</v>
      </c>
      <c r="I39" s="6">
        <f t="shared" si="39"/>
        <v>0</v>
      </c>
      <c r="J39" s="6">
        <f t="shared" si="40"/>
        <v>0</v>
      </c>
      <c r="K39" s="82"/>
      <c r="L39" s="24"/>
      <c r="N39" s="75"/>
      <c r="O39" s="76">
        <f t="shared" si="31"/>
        <v>1.149</v>
      </c>
      <c r="P39" s="77">
        <f t="shared" si="41"/>
        <v>0</v>
      </c>
      <c r="Q39" s="78">
        <f t="shared" si="3"/>
        <v>0</v>
      </c>
      <c r="R39" s="78"/>
      <c r="S39" s="79"/>
      <c r="T39" s="80">
        <f t="shared" si="33"/>
        <v>1.149</v>
      </c>
      <c r="U39" s="79">
        <f t="shared" si="42"/>
        <v>0</v>
      </c>
      <c r="V39">
        <f t="shared" si="4"/>
        <v>0</v>
      </c>
    </row>
    <row r="40" spans="1:22">
      <c r="A40" s="4"/>
      <c r="B40" s="5" t="s">
        <v>57</v>
      </c>
      <c r="C40" s="4" t="s">
        <v>55</v>
      </c>
      <c r="D40" s="6">
        <v>1</v>
      </c>
      <c r="E40" s="6">
        <f t="shared" si="35"/>
        <v>0</v>
      </c>
      <c r="F40" s="6">
        <f t="shared" si="36"/>
        <v>0</v>
      </c>
      <c r="G40" s="6">
        <f t="shared" si="37"/>
        <v>0</v>
      </c>
      <c r="H40" s="6">
        <f t="shared" si="38"/>
        <v>0</v>
      </c>
      <c r="I40" s="6">
        <f t="shared" si="39"/>
        <v>0</v>
      </c>
      <c r="J40" s="6">
        <f t="shared" si="40"/>
        <v>0</v>
      </c>
      <c r="K40" s="82"/>
      <c r="L40" s="24"/>
      <c r="N40" s="75"/>
      <c r="O40" s="76">
        <f t="shared" si="31"/>
        <v>1.149</v>
      </c>
      <c r="P40" s="77">
        <f t="shared" si="41"/>
        <v>0</v>
      </c>
      <c r="Q40" s="78">
        <f t="shared" si="3"/>
        <v>0</v>
      </c>
      <c r="R40" s="78"/>
      <c r="S40" s="79"/>
      <c r="T40" s="80">
        <f t="shared" si="33"/>
        <v>1.149</v>
      </c>
      <c r="U40" s="79">
        <f t="shared" si="42"/>
        <v>0</v>
      </c>
      <c r="V40">
        <f t="shared" si="4"/>
        <v>0</v>
      </c>
    </row>
    <row r="41" spans="1:22">
      <c r="A41" s="4"/>
      <c r="B41" s="5" t="s">
        <v>58</v>
      </c>
      <c r="C41" s="4" t="s">
        <v>55</v>
      </c>
      <c r="D41" s="6">
        <v>2</v>
      </c>
      <c r="E41" s="6">
        <f t="shared" si="35"/>
        <v>0</v>
      </c>
      <c r="F41" s="6">
        <f t="shared" si="36"/>
        <v>0</v>
      </c>
      <c r="G41" s="6">
        <f t="shared" si="37"/>
        <v>0</v>
      </c>
      <c r="H41" s="6">
        <f t="shared" si="38"/>
        <v>0</v>
      </c>
      <c r="I41" s="6">
        <f t="shared" si="39"/>
        <v>0</v>
      </c>
      <c r="J41" s="6">
        <f t="shared" si="40"/>
        <v>0</v>
      </c>
      <c r="K41" s="82"/>
      <c r="L41" s="24"/>
      <c r="N41" s="75"/>
      <c r="O41" s="76">
        <f t="shared" si="31"/>
        <v>1.149</v>
      </c>
      <c r="P41" s="77">
        <f t="shared" si="41"/>
        <v>0</v>
      </c>
      <c r="Q41" s="78">
        <f t="shared" si="3"/>
        <v>0</v>
      </c>
      <c r="R41" s="78"/>
      <c r="S41" s="79"/>
      <c r="T41" s="80">
        <f t="shared" si="33"/>
        <v>1.149</v>
      </c>
      <c r="U41" s="79">
        <f t="shared" si="42"/>
        <v>0</v>
      </c>
      <c r="V41">
        <f t="shared" si="4"/>
        <v>0</v>
      </c>
    </row>
    <row r="42" spans="1:22">
      <c r="A42" s="4"/>
      <c r="B42" s="5" t="s">
        <v>59</v>
      </c>
      <c r="C42" s="4" t="s">
        <v>55</v>
      </c>
      <c r="D42" s="6">
        <v>3</v>
      </c>
      <c r="E42" s="6">
        <f t="shared" si="35"/>
        <v>0</v>
      </c>
      <c r="F42" s="6">
        <f t="shared" si="36"/>
        <v>0</v>
      </c>
      <c r="G42" s="6">
        <f t="shared" si="37"/>
        <v>0</v>
      </c>
      <c r="H42" s="6">
        <f t="shared" si="38"/>
        <v>0</v>
      </c>
      <c r="I42" s="6">
        <f t="shared" si="39"/>
        <v>0</v>
      </c>
      <c r="J42" s="6">
        <f t="shared" si="40"/>
        <v>0</v>
      </c>
      <c r="K42" s="82"/>
      <c r="L42" s="24"/>
      <c r="N42" s="75"/>
      <c r="O42" s="76">
        <f t="shared" si="31"/>
        <v>1.149</v>
      </c>
      <c r="P42" s="77">
        <f t="shared" si="41"/>
        <v>0</v>
      </c>
      <c r="Q42" s="78">
        <f t="shared" si="3"/>
        <v>0</v>
      </c>
      <c r="R42" s="78"/>
      <c r="S42" s="79"/>
      <c r="T42" s="80">
        <f t="shared" si="33"/>
        <v>1.149</v>
      </c>
      <c r="U42" s="79">
        <f t="shared" si="42"/>
        <v>0</v>
      </c>
      <c r="V42">
        <f t="shared" si="4"/>
        <v>0</v>
      </c>
    </row>
    <row r="43" spans="1:22">
      <c r="A43" s="4"/>
      <c r="B43" s="5" t="s">
        <v>60</v>
      </c>
      <c r="C43" s="4" t="s">
        <v>55</v>
      </c>
      <c r="D43" s="6">
        <v>3</v>
      </c>
      <c r="E43" s="6">
        <f t="shared" si="35"/>
        <v>0</v>
      </c>
      <c r="F43" s="6">
        <f t="shared" si="36"/>
        <v>0</v>
      </c>
      <c r="G43" s="6">
        <f t="shared" si="37"/>
        <v>0</v>
      </c>
      <c r="H43" s="6">
        <f t="shared" si="38"/>
        <v>0</v>
      </c>
      <c r="I43" s="6">
        <f t="shared" si="39"/>
        <v>0</v>
      </c>
      <c r="J43" s="6">
        <f t="shared" si="40"/>
        <v>0</v>
      </c>
      <c r="K43" s="82"/>
      <c r="L43" s="24"/>
      <c r="N43" s="75"/>
      <c r="O43" s="76">
        <f t="shared" si="31"/>
        <v>1.149</v>
      </c>
      <c r="P43" s="77">
        <f t="shared" si="41"/>
        <v>0</v>
      </c>
      <c r="Q43" s="78">
        <f t="shared" si="3"/>
        <v>0</v>
      </c>
      <c r="R43" s="78"/>
      <c r="S43" s="79"/>
      <c r="T43" s="80">
        <f t="shared" si="33"/>
        <v>1.149</v>
      </c>
      <c r="U43" s="79">
        <f t="shared" si="42"/>
        <v>0</v>
      </c>
      <c r="V43">
        <f t="shared" si="4"/>
        <v>0</v>
      </c>
    </row>
    <row r="44" spans="1:22">
      <c r="A44" s="4"/>
      <c r="B44" s="5" t="s">
        <v>61</v>
      </c>
      <c r="C44" s="4" t="s">
        <v>55</v>
      </c>
      <c r="D44" s="6">
        <v>1</v>
      </c>
      <c r="E44" s="6">
        <f t="shared" si="35"/>
        <v>0</v>
      </c>
      <c r="F44" s="6">
        <f t="shared" si="36"/>
        <v>0</v>
      </c>
      <c r="G44" s="6">
        <f t="shared" si="37"/>
        <v>0</v>
      </c>
      <c r="H44" s="6">
        <f t="shared" si="38"/>
        <v>0</v>
      </c>
      <c r="I44" s="6">
        <f t="shared" si="39"/>
        <v>0</v>
      </c>
      <c r="J44" s="6">
        <f t="shared" si="40"/>
        <v>0</v>
      </c>
      <c r="K44" s="82"/>
      <c r="L44" s="24"/>
      <c r="N44" s="75"/>
      <c r="O44" s="76">
        <f t="shared" si="31"/>
        <v>1.149</v>
      </c>
      <c r="P44" s="77">
        <f t="shared" si="41"/>
        <v>0</v>
      </c>
      <c r="Q44" s="78">
        <f t="shared" si="3"/>
        <v>0</v>
      </c>
      <c r="R44" s="78"/>
      <c r="S44" s="79"/>
      <c r="T44" s="80">
        <f t="shared" si="33"/>
        <v>1.149</v>
      </c>
      <c r="U44" s="79">
        <f t="shared" si="42"/>
        <v>0</v>
      </c>
      <c r="V44">
        <f t="shared" si="4"/>
        <v>0</v>
      </c>
    </row>
    <row r="45" spans="1:22">
      <c r="A45" s="4"/>
      <c r="B45" s="5" t="s">
        <v>62</v>
      </c>
      <c r="C45" s="4" t="s">
        <v>55</v>
      </c>
      <c r="D45" s="6">
        <v>3</v>
      </c>
      <c r="E45" s="6">
        <f t="shared" si="35"/>
        <v>0</v>
      </c>
      <c r="F45" s="6">
        <f t="shared" si="36"/>
        <v>0</v>
      </c>
      <c r="G45" s="6">
        <f t="shared" si="37"/>
        <v>0</v>
      </c>
      <c r="H45" s="6">
        <f t="shared" si="38"/>
        <v>0</v>
      </c>
      <c r="I45" s="6">
        <f t="shared" si="39"/>
        <v>0</v>
      </c>
      <c r="J45" s="6">
        <f t="shared" si="40"/>
        <v>0</v>
      </c>
      <c r="K45" s="82"/>
      <c r="L45" s="24"/>
      <c r="N45" s="75"/>
      <c r="O45" s="76">
        <f t="shared" si="31"/>
        <v>1.149</v>
      </c>
      <c r="P45" s="77">
        <f t="shared" si="41"/>
        <v>0</v>
      </c>
      <c r="Q45" s="78">
        <f t="shared" si="3"/>
        <v>0</v>
      </c>
      <c r="R45" s="78"/>
      <c r="S45" s="79"/>
      <c r="T45" s="80">
        <f t="shared" si="33"/>
        <v>1.149</v>
      </c>
      <c r="U45" s="79">
        <f t="shared" si="42"/>
        <v>0</v>
      </c>
      <c r="V45">
        <f t="shared" si="4"/>
        <v>0</v>
      </c>
    </row>
    <row r="46" spans="1:22" ht="21.9">
      <c r="A46" s="4"/>
      <c r="B46" s="5" t="s">
        <v>63</v>
      </c>
      <c r="C46" s="4" t="s">
        <v>55</v>
      </c>
      <c r="D46" s="6">
        <v>1</v>
      </c>
      <c r="E46" s="6">
        <f t="shared" si="35"/>
        <v>0</v>
      </c>
      <c r="F46" s="6">
        <f t="shared" si="36"/>
        <v>0</v>
      </c>
      <c r="G46" s="6">
        <f t="shared" si="37"/>
        <v>0</v>
      </c>
      <c r="H46" s="6">
        <f t="shared" si="38"/>
        <v>0</v>
      </c>
      <c r="I46" s="6">
        <f t="shared" si="39"/>
        <v>0</v>
      </c>
      <c r="J46" s="6">
        <f t="shared" si="40"/>
        <v>0</v>
      </c>
      <c r="K46" s="82"/>
      <c r="L46" s="24"/>
      <c r="N46" s="75"/>
      <c r="O46" s="76">
        <f t="shared" si="31"/>
        <v>1.149</v>
      </c>
      <c r="P46" s="77">
        <f t="shared" si="41"/>
        <v>0</v>
      </c>
      <c r="Q46" s="78">
        <f t="shared" si="3"/>
        <v>0</v>
      </c>
      <c r="R46" s="78"/>
      <c r="S46" s="79"/>
      <c r="T46" s="80">
        <f t="shared" si="33"/>
        <v>1.149</v>
      </c>
      <c r="U46" s="79">
        <f t="shared" si="42"/>
        <v>0</v>
      </c>
      <c r="V46">
        <f t="shared" si="4"/>
        <v>0</v>
      </c>
    </row>
    <row r="47" spans="1:22">
      <c r="A47" s="4"/>
      <c r="B47" s="5" t="s">
        <v>64</v>
      </c>
      <c r="C47" s="4" t="s">
        <v>55</v>
      </c>
      <c r="D47" s="6">
        <v>4</v>
      </c>
      <c r="E47" s="6">
        <f t="shared" si="35"/>
        <v>0</v>
      </c>
      <c r="F47" s="6">
        <f t="shared" si="36"/>
        <v>0</v>
      </c>
      <c r="G47" s="6">
        <f t="shared" si="37"/>
        <v>0</v>
      </c>
      <c r="H47" s="6">
        <f t="shared" si="38"/>
        <v>0</v>
      </c>
      <c r="I47" s="6">
        <f t="shared" si="39"/>
        <v>0</v>
      </c>
      <c r="J47" s="6">
        <f t="shared" si="40"/>
        <v>0</v>
      </c>
      <c r="K47" s="82"/>
      <c r="L47" s="24"/>
      <c r="N47" s="75"/>
      <c r="O47" s="76">
        <f t="shared" si="31"/>
        <v>1.149</v>
      </c>
      <c r="P47" s="77">
        <f t="shared" si="41"/>
        <v>0</v>
      </c>
      <c r="Q47" s="78">
        <f t="shared" si="3"/>
        <v>0</v>
      </c>
      <c r="R47" s="78"/>
      <c r="S47" s="79"/>
      <c r="T47" s="80">
        <f t="shared" si="33"/>
        <v>1.149</v>
      </c>
      <c r="U47" s="79">
        <f t="shared" si="42"/>
        <v>0</v>
      </c>
      <c r="V47">
        <f t="shared" si="4"/>
        <v>0</v>
      </c>
    </row>
    <row r="48" spans="1:22">
      <c r="A48" s="4"/>
      <c r="B48" s="5" t="s">
        <v>65</v>
      </c>
      <c r="C48" s="4" t="s">
        <v>36</v>
      </c>
      <c r="D48" s="6">
        <v>1</v>
      </c>
      <c r="E48" s="6">
        <f t="shared" si="35"/>
        <v>0</v>
      </c>
      <c r="F48" s="6">
        <f t="shared" si="36"/>
        <v>0</v>
      </c>
      <c r="G48" s="6">
        <f t="shared" si="37"/>
        <v>0</v>
      </c>
      <c r="H48" s="6">
        <f t="shared" si="38"/>
        <v>0</v>
      </c>
      <c r="I48" s="6">
        <f t="shared" si="39"/>
        <v>0</v>
      </c>
      <c r="J48" s="6">
        <f t="shared" si="40"/>
        <v>0</v>
      </c>
      <c r="K48" s="82"/>
      <c r="L48" s="24"/>
      <c r="N48" s="75"/>
      <c r="O48" s="76">
        <f t="shared" si="31"/>
        <v>1.149</v>
      </c>
      <c r="P48" s="77">
        <f t="shared" si="41"/>
        <v>0</v>
      </c>
      <c r="Q48" s="78">
        <f t="shared" si="3"/>
        <v>0</v>
      </c>
      <c r="R48" s="78"/>
      <c r="S48" s="79"/>
      <c r="T48" s="80">
        <f t="shared" si="33"/>
        <v>1.149</v>
      </c>
      <c r="U48" s="79">
        <f t="shared" si="42"/>
        <v>0</v>
      </c>
      <c r="V48">
        <f t="shared" si="4"/>
        <v>0</v>
      </c>
    </row>
    <row r="49" spans="1:22">
      <c r="A49" s="4"/>
      <c r="B49" s="5" t="s">
        <v>66</v>
      </c>
      <c r="C49" s="4" t="s">
        <v>55</v>
      </c>
      <c r="D49" s="6">
        <v>1</v>
      </c>
      <c r="E49" s="6">
        <f t="shared" si="35"/>
        <v>0</v>
      </c>
      <c r="F49" s="6">
        <f t="shared" si="36"/>
        <v>0</v>
      </c>
      <c r="G49" s="6">
        <f t="shared" si="37"/>
        <v>0</v>
      </c>
      <c r="H49" s="6">
        <f t="shared" si="38"/>
        <v>0</v>
      </c>
      <c r="I49" s="6">
        <f t="shared" si="39"/>
        <v>0</v>
      </c>
      <c r="J49" s="6">
        <f t="shared" si="40"/>
        <v>0</v>
      </c>
      <c r="K49" s="82"/>
      <c r="L49" s="24"/>
      <c r="N49" s="75"/>
      <c r="O49" s="76">
        <f t="shared" si="31"/>
        <v>1.149</v>
      </c>
      <c r="P49" s="77">
        <f t="shared" si="41"/>
        <v>0</v>
      </c>
      <c r="Q49" s="78">
        <f t="shared" si="3"/>
        <v>0</v>
      </c>
      <c r="R49" s="78"/>
      <c r="S49" s="79"/>
      <c r="T49" s="80">
        <f t="shared" si="33"/>
        <v>1.149</v>
      </c>
      <c r="U49" s="79">
        <f t="shared" si="42"/>
        <v>0</v>
      </c>
      <c r="V49">
        <f t="shared" si="4"/>
        <v>0</v>
      </c>
    </row>
    <row r="50" spans="1:22">
      <c r="A50" s="4"/>
      <c r="B50" s="5" t="s">
        <v>67</v>
      </c>
      <c r="C50" s="4" t="s">
        <v>55</v>
      </c>
      <c r="D50" s="6">
        <v>1</v>
      </c>
      <c r="E50" s="6">
        <f t="shared" si="35"/>
        <v>0</v>
      </c>
      <c r="F50" s="6">
        <f t="shared" si="36"/>
        <v>0</v>
      </c>
      <c r="G50" s="6">
        <f t="shared" si="37"/>
        <v>0</v>
      </c>
      <c r="H50" s="6">
        <f t="shared" si="38"/>
        <v>0</v>
      </c>
      <c r="I50" s="6">
        <f t="shared" si="39"/>
        <v>0</v>
      </c>
      <c r="J50" s="6">
        <f t="shared" si="40"/>
        <v>0</v>
      </c>
      <c r="K50" s="82"/>
      <c r="L50" s="24"/>
      <c r="N50" s="75"/>
      <c r="O50" s="76">
        <f t="shared" si="31"/>
        <v>1.149</v>
      </c>
      <c r="P50" s="77">
        <f t="shared" si="41"/>
        <v>0</v>
      </c>
      <c r="Q50" s="78">
        <f t="shared" si="3"/>
        <v>0</v>
      </c>
      <c r="R50" s="78"/>
      <c r="S50" s="79"/>
      <c r="T50" s="80">
        <f t="shared" si="33"/>
        <v>1.149</v>
      </c>
      <c r="U50" s="79">
        <f t="shared" si="42"/>
        <v>0</v>
      </c>
      <c r="V50">
        <f t="shared" si="4"/>
        <v>0</v>
      </c>
    </row>
    <row r="51" spans="1:22">
      <c r="A51" s="4"/>
      <c r="B51" s="5" t="s">
        <v>68</v>
      </c>
      <c r="C51" s="4" t="s">
        <v>55</v>
      </c>
      <c r="D51" s="6">
        <v>1</v>
      </c>
      <c r="E51" s="6">
        <f t="shared" si="35"/>
        <v>0</v>
      </c>
      <c r="F51" s="6">
        <f t="shared" si="36"/>
        <v>0</v>
      </c>
      <c r="G51" s="6">
        <f t="shared" si="37"/>
        <v>0</v>
      </c>
      <c r="H51" s="6">
        <f t="shared" si="38"/>
        <v>0</v>
      </c>
      <c r="I51" s="6">
        <f t="shared" si="39"/>
        <v>0</v>
      </c>
      <c r="J51" s="6">
        <f t="shared" si="40"/>
        <v>0</v>
      </c>
      <c r="K51" s="82"/>
      <c r="L51" s="24"/>
      <c r="N51" s="75"/>
      <c r="O51" s="76">
        <f t="shared" si="31"/>
        <v>1.149</v>
      </c>
      <c r="P51" s="77">
        <f t="shared" si="41"/>
        <v>0</v>
      </c>
      <c r="Q51" s="78">
        <f t="shared" si="3"/>
        <v>0</v>
      </c>
      <c r="R51" s="78"/>
      <c r="S51" s="79"/>
      <c r="T51" s="80">
        <f t="shared" si="33"/>
        <v>1.149</v>
      </c>
      <c r="U51" s="79">
        <f t="shared" si="42"/>
        <v>0</v>
      </c>
      <c r="V51">
        <f t="shared" si="4"/>
        <v>0</v>
      </c>
    </row>
    <row r="52" spans="1:22">
      <c r="A52" s="4"/>
      <c r="B52" s="5" t="s">
        <v>69</v>
      </c>
      <c r="C52" s="4" t="s">
        <v>55</v>
      </c>
      <c r="D52" s="6">
        <v>2</v>
      </c>
      <c r="E52" s="6">
        <f t="shared" si="35"/>
        <v>0</v>
      </c>
      <c r="F52" s="6">
        <f t="shared" si="36"/>
        <v>0</v>
      </c>
      <c r="G52" s="6">
        <f t="shared" si="37"/>
        <v>0</v>
      </c>
      <c r="H52" s="6">
        <f t="shared" si="38"/>
        <v>0</v>
      </c>
      <c r="I52" s="6">
        <f t="shared" si="39"/>
        <v>0</v>
      </c>
      <c r="J52" s="6">
        <f t="shared" si="40"/>
        <v>0</v>
      </c>
      <c r="K52" s="82"/>
      <c r="L52" s="24"/>
      <c r="N52" s="75"/>
      <c r="O52" s="76">
        <f t="shared" si="31"/>
        <v>1.149</v>
      </c>
      <c r="P52" s="77">
        <f t="shared" si="41"/>
        <v>0</v>
      </c>
      <c r="Q52" s="78">
        <f t="shared" si="3"/>
        <v>0</v>
      </c>
      <c r="R52" s="78"/>
      <c r="S52" s="79"/>
      <c r="T52" s="80">
        <f t="shared" si="33"/>
        <v>1.149</v>
      </c>
      <c r="U52" s="79">
        <f t="shared" si="42"/>
        <v>0</v>
      </c>
      <c r="V52">
        <f t="shared" si="4"/>
        <v>0</v>
      </c>
    </row>
    <row r="53" spans="1:22">
      <c r="A53" s="4"/>
      <c r="B53" s="5" t="s">
        <v>70</v>
      </c>
      <c r="C53" s="4" t="s">
        <v>55</v>
      </c>
      <c r="D53" s="6">
        <v>8</v>
      </c>
      <c r="E53" s="6">
        <f t="shared" si="35"/>
        <v>0</v>
      </c>
      <c r="F53" s="6">
        <f t="shared" si="36"/>
        <v>0</v>
      </c>
      <c r="G53" s="6">
        <f t="shared" si="37"/>
        <v>0</v>
      </c>
      <c r="H53" s="6">
        <f t="shared" si="38"/>
        <v>0</v>
      </c>
      <c r="I53" s="6">
        <f t="shared" si="39"/>
        <v>0</v>
      </c>
      <c r="J53" s="6">
        <f t="shared" si="40"/>
        <v>0</v>
      </c>
      <c r="K53" s="82"/>
      <c r="L53" s="24"/>
      <c r="N53" s="75"/>
      <c r="O53" s="76">
        <f t="shared" si="31"/>
        <v>1.149</v>
      </c>
      <c r="P53" s="77">
        <f t="shared" si="41"/>
        <v>0</v>
      </c>
      <c r="Q53" s="78">
        <f t="shared" si="3"/>
        <v>0</v>
      </c>
      <c r="R53" s="78"/>
      <c r="S53" s="79"/>
      <c r="T53" s="80">
        <f t="shared" si="33"/>
        <v>1.149</v>
      </c>
      <c r="U53" s="79">
        <f t="shared" si="42"/>
        <v>0</v>
      </c>
      <c r="V53">
        <f t="shared" si="4"/>
        <v>0</v>
      </c>
    </row>
    <row r="54" spans="1:22">
      <c r="A54" s="4"/>
      <c r="B54" s="5" t="s">
        <v>71</v>
      </c>
      <c r="C54" s="4" t="s">
        <v>55</v>
      </c>
      <c r="D54" s="6">
        <v>1</v>
      </c>
      <c r="E54" s="6">
        <f t="shared" si="35"/>
        <v>0</v>
      </c>
      <c r="F54" s="6">
        <f t="shared" si="36"/>
        <v>0</v>
      </c>
      <c r="G54" s="6">
        <f t="shared" si="37"/>
        <v>0</v>
      </c>
      <c r="H54" s="6">
        <f t="shared" si="38"/>
        <v>0</v>
      </c>
      <c r="I54" s="6">
        <f t="shared" si="39"/>
        <v>0</v>
      </c>
      <c r="J54" s="6">
        <f t="shared" si="40"/>
        <v>0</v>
      </c>
      <c r="K54" s="82"/>
      <c r="L54" s="24"/>
      <c r="N54" s="75"/>
      <c r="O54" s="76">
        <f t="shared" si="31"/>
        <v>1.149</v>
      </c>
      <c r="P54" s="77">
        <f t="shared" si="41"/>
        <v>0</v>
      </c>
      <c r="Q54" s="78">
        <f t="shared" si="3"/>
        <v>0</v>
      </c>
      <c r="R54" s="78"/>
      <c r="S54" s="79"/>
      <c r="T54" s="80">
        <f t="shared" si="33"/>
        <v>1.149</v>
      </c>
      <c r="U54" s="79">
        <f t="shared" si="42"/>
        <v>0</v>
      </c>
      <c r="V54">
        <f t="shared" si="4"/>
        <v>0</v>
      </c>
    </row>
    <row r="55" spans="1:22">
      <c r="A55" s="4"/>
      <c r="B55" s="5" t="s">
        <v>72</v>
      </c>
      <c r="C55" s="4" t="s">
        <v>55</v>
      </c>
      <c r="D55" s="6">
        <v>11</v>
      </c>
      <c r="E55" s="6">
        <f t="shared" si="35"/>
        <v>0</v>
      </c>
      <c r="F55" s="6">
        <f t="shared" si="36"/>
        <v>0</v>
      </c>
      <c r="G55" s="6">
        <f t="shared" si="37"/>
        <v>0</v>
      </c>
      <c r="H55" s="6">
        <f t="shared" si="38"/>
        <v>0</v>
      </c>
      <c r="I55" s="6">
        <f t="shared" si="39"/>
        <v>0</v>
      </c>
      <c r="J55" s="6">
        <f t="shared" si="40"/>
        <v>0</v>
      </c>
      <c r="K55" s="82"/>
      <c r="L55" s="24"/>
      <c r="N55" s="75"/>
      <c r="O55" s="76">
        <f t="shared" si="31"/>
        <v>1.149</v>
      </c>
      <c r="P55" s="77">
        <f t="shared" si="41"/>
        <v>0</v>
      </c>
      <c r="Q55" s="78">
        <f t="shared" si="3"/>
        <v>0</v>
      </c>
      <c r="R55" s="78"/>
      <c r="S55" s="79"/>
      <c r="T55" s="80">
        <f t="shared" si="33"/>
        <v>1.149</v>
      </c>
      <c r="U55" s="79">
        <f t="shared" si="42"/>
        <v>0</v>
      </c>
      <c r="V55">
        <f t="shared" si="4"/>
        <v>0</v>
      </c>
    </row>
    <row r="56" spans="1:22">
      <c r="A56" s="4"/>
      <c r="B56" s="5" t="s">
        <v>73</v>
      </c>
      <c r="C56" s="4" t="s">
        <v>55</v>
      </c>
      <c r="D56" s="6">
        <v>3</v>
      </c>
      <c r="E56" s="6">
        <f t="shared" si="35"/>
        <v>0</v>
      </c>
      <c r="F56" s="6">
        <f t="shared" si="36"/>
        <v>0</v>
      </c>
      <c r="G56" s="6">
        <f t="shared" si="37"/>
        <v>0</v>
      </c>
      <c r="H56" s="6">
        <f t="shared" si="38"/>
        <v>0</v>
      </c>
      <c r="I56" s="6">
        <f t="shared" si="39"/>
        <v>0</v>
      </c>
      <c r="J56" s="6">
        <f t="shared" si="40"/>
        <v>0</v>
      </c>
      <c r="K56" s="82"/>
      <c r="L56" s="24"/>
      <c r="N56" s="75"/>
      <c r="O56" s="76">
        <f t="shared" si="31"/>
        <v>1.149</v>
      </c>
      <c r="P56" s="77">
        <f t="shared" si="41"/>
        <v>0</v>
      </c>
      <c r="Q56" s="78">
        <f t="shared" si="3"/>
        <v>0</v>
      </c>
      <c r="R56" s="78"/>
      <c r="S56" s="79"/>
      <c r="T56" s="80">
        <f t="shared" si="33"/>
        <v>1.149</v>
      </c>
      <c r="U56" s="79">
        <f t="shared" si="42"/>
        <v>0</v>
      </c>
      <c r="V56">
        <f t="shared" si="4"/>
        <v>0</v>
      </c>
    </row>
    <row r="57" spans="1:22">
      <c r="A57" s="4"/>
      <c r="B57" s="5" t="s">
        <v>74</v>
      </c>
      <c r="C57" s="4" t="s">
        <v>55</v>
      </c>
      <c r="D57" s="6">
        <v>2</v>
      </c>
      <c r="E57" s="6">
        <f t="shared" si="35"/>
        <v>0</v>
      </c>
      <c r="F57" s="6">
        <f t="shared" si="36"/>
        <v>0</v>
      </c>
      <c r="G57" s="6">
        <f t="shared" si="37"/>
        <v>0</v>
      </c>
      <c r="H57" s="6">
        <f t="shared" si="38"/>
        <v>0</v>
      </c>
      <c r="I57" s="6">
        <f t="shared" si="39"/>
        <v>0</v>
      </c>
      <c r="J57" s="6">
        <f t="shared" si="40"/>
        <v>0</v>
      </c>
      <c r="K57" s="82"/>
      <c r="L57" s="24"/>
      <c r="N57" s="75"/>
      <c r="O57" s="76">
        <f t="shared" si="31"/>
        <v>1.149</v>
      </c>
      <c r="P57" s="77">
        <f t="shared" si="41"/>
        <v>0</v>
      </c>
      <c r="Q57" s="78">
        <f t="shared" si="3"/>
        <v>0</v>
      </c>
      <c r="R57" s="78"/>
      <c r="S57" s="79"/>
      <c r="T57" s="80">
        <f t="shared" si="33"/>
        <v>1.149</v>
      </c>
      <c r="U57" s="79">
        <f t="shared" si="42"/>
        <v>0</v>
      </c>
      <c r="V57">
        <f t="shared" si="4"/>
        <v>0</v>
      </c>
    </row>
    <row r="58" spans="1:22">
      <c r="A58" s="4"/>
      <c r="B58" s="5" t="s">
        <v>75</v>
      </c>
      <c r="C58" s="4" t="s">
        <v>55</v>
      </c>
      <c r="D58" s="6">
        <v>6</v>
      </c>
      <c r="E58" s="6">
        <f t="shared" si="35"/>
        <v>0</v>
      </c>
      <c r="F58" s="6">
        <f t="shared" si="36"/>
        <v>0</v>
      </c>
      <c r="G58" s="6">
        <f t="shared" si="37"/>
        <v>0</v>
      </c>
      <c r="H58" s="6">
        <f t="shared" si="38"/>
        <v>0</v>
      </c>
      <c r="I58" s="6">
        <f t="shared" si="39"/>
        <v>0</v>
      </c>
      <c r="J58" s="6">
        <f t="shared" si="40"/>
        <v>0</v>
      </c>
      <c r="K58" s="82"/>
      <c r="L58" s="24"/>
      <c r="N58" s="75"/>
      <c r="O58" s="76">
        <f t="shared" si="31"/>
        <v>1.149</v>
      </c>
      <c r="P58" s="77">
        <f t="shared" si="41"/>
        <v>0</v>
      </c>
      <c r="Q58" s="78">
        <f t="shared" si="3"/>
        <v>0</v>
      </c>
      <c r="R58" s="78"/>
      <c r="S58" s="79"/>
      <c r="T58" s="80">
        <f t="shared" si="33"/>
        <v>1.149</v>
      </c>
      <c r="U58" s="79">
        <f t="shared" si="42"/>
        <v>0</v>
      </c>
      <c r="V58">
        <f t="shared" si="4"/>
        <v>0</v>
      </c>
    </row>
    <row r="59" spans="1:22">
      <c r="A59" s="4"/>
      <c r="B59" s="5" t="s">
        <v>76</v>
      </c>
      <c r="C59" s="4" t="s">
        <v>55</v>
      </c>
      <c r="D59" s="6">
        <v>2</v>
      </c>
      <c r="E59" s="6">
        <f t="shared" si="35"/>
        <v>0</v>
      </c>
      <c r="F59" s="6">
        <f t="shared" si="36"/>
        <v>0</v>
      </c>
      <c r="G59" s="6">
        <f t="shared" si="37"/>
        <v>0</v>
      </c>
      <c r="H59" s="6">
        <f t="shared" si="38"/>
        <v>0</v>
      </c>
      <c r="I59" s="6">
        <f t="shared" si="39"/>
        <v>0</v>
      </c>
      <c r="J59" s="6">
        <f t="shared" si="40"/>
        <v>0</v>
      </c>
      <c r="K59" s="82"/>
      <c r="L59" s="24"/>
      <c r="N59" s="75"/>
      <c r="O59" s="76">
        <f t="shared" si="31"/>
        <v>1.149</v>
      </c>
      <c r="P59" s="77">
        <f t="shared" si="41"/>
        <v>0</v>
      </c>
      <c r="Q59" s="78">
        <f t="shared" si="3"/>
        <v>0</v>
      </c>
      <c r="R59" s="78"/>
      <c r="S59" s="79"/>
      <c r="T59" s="80">
        <f t="shared" si="33"/>
        <v>1.149</v>
      </c>
      <c r="U59" s="79">
        <f t="shared" si="42"/>
        <v>0</v>
      </c>
      <c r="V59">
        <f t="shared" si="4"/>
        <v>0</v>
      </c>
    </row>
    <row r="60" spans="1:22">
      <c r="A60" s="4"/>
      <c r="B60" s="5" t="s">
        <v>77</v>
      </c>
      <c r="C60" s="4" t="s">
        <v>55</v>
      </c>
      <c r="D60" s="6">
        <v>10</v>
      </c>
      <c r="E60" s="6">
        <f t="shared" si="35"/>
        <v>0</v>
      </c>
      <c r="F60" s="6">
        <f t="shared" si="36"/>
        <v>0</v>
      </c>
      <c r="G60" s="6">
        <f t="shared" si="37"/>
        <v>0</v>
      </c>
      <c r="H60" s="6">
        <f t="shared" si="38"/>
        <v>0</v>
      </c>
      <c r="I60" s="6">
        <f t="shared" si="39"/>
        <v>0</v>
      </c>
      <c r="J60" s="6">
        <f t="shared" si="40"/>
        <v>0</v>
      </c>
      <c r="K60" s="82"/>
      <c r="L60" s="24"/>
      <c r="N60" s="75"/>
      <c r="O60" s="76">
        <f t="shared" si="31"/>
        <v>1.149</v>
      </c>
      <c r="P60" s="77">
        <f t="shared" si="41"/>
        <v>0</v>
      </c>
      <c r="Q60" s="78">
        <f t="shared" si="3"/>
        <v>0</v>
      </c>
      <c r="R60" s="78"/>
      <c r="S60" s="79"/>
      <c r="T60" s="80">
        <f t="shared" si="33"/>
        <v>1.149</v>
      </c>
      <c r="U60" s="79">
        <f t="shared" si="42"/>
        <v>0</v>
      </c>
      <c r="V60">
        <f t="shared" si="4"/>
        <v>0</v>
      </c>
    </row>
    <row r="61" spans="1:22">
      <c r="A61" s="4"/>
      <c r="B61" s="5" t="s">
        <v>78</v>
      </c>
      <c r="C61" s="4" t="s">
        <v>55</v>
      </c>
      <c r="D61" s="6">
        <v>9</v>
      </c>
      <c r="E61" s="6">
        <f t="shared" si="35"/>
        <v>0</v>
      </c>
      <c r="F61" s="6">
        <f t="shared" si="36"/>
        <v>0</v>
      </c>
      <c r="G61" s="6">
        <f t="shared" si="37"/>
        <v>0</v>
      </c>
      <c r="H61" s="6">
        <f t="shared" si="38"/>
        <v>0</v>
      </c>
      <c r="I61" s="6">
        <f t="shared" si="39"/>
        <v>0</v>
      </c>
      <c r="J61" s="6">
        <f t="shared" si="40"/>
        <v>0</v>
      </c>
      <c r="K61" s="82"/>
      <c r="L61" s="24"/>
      <c r="N61" s="75"/>
      <c r="O61" s="76">
        <f t="shared" si="31"/>
        <v>1.149</v>
      </c>
      <c r="P61" s="77">
        <f t="shared" si="41"/>
        <v>0</v>
      </c>
      <c r="Q61" s="78">
        <f t="shared" si="3"/>
        <v>0</v>
      </c>
      <c r="R61" s="78"/>
      <c r="S61" s="79"/>
      <c r="T61" s="80">
        <f t="shared" si="33"/>
        <v>1.149</v>
      </c>
      <c r="U61" s="79">
        <f t="shared" si="42"/>
        <v>0</v>
      </c>
      <c r="V61">
        <f t="shared" si="4"/>
        <v>0</v>
      </c>
    </row>
    <row r="62" spans="1:22">
      <c r="A62" s="4"/>
      <c r="B62" s="5" t="s">
        <v>79</v>
      </c>
      <c r="C62" s="4" t="s">
        <v>55</v>
      </c>
      <c r="D62" s="6">
        <v>10</v>
      </c>
      <c r="E62" s="6">
        <f t="shared" si="35"/>
        <v>0</v>
      </c>
      <c r="F62" s="6">
        <f t="shared" si="36"/>
        <v>0</v>
      </c>
      <c r="G62" s="6">
        <f t="shared" si="37"/>
        <v>0</v>
      </c>
      <c r="H62" s="6">
        <f t="shared" si="38"/>
        <v>0</v>
      </c>
      <c r="I62" s="6">
        <f t="shared" si="39"/>
        <v>0</v>
      </c>
      <c r="J62" s="6">
        <f t="shared" si="40"/>
        <v>0</v>
      </c>
      <c r="K62" s="82"/>
      <c r="L62" s="24"/>
      <c r="N62" s="75"/>
      <c r="O62" s="76">
        <f t="shared" si="31"/>
        <v>1.149</v>
      </c>
      <c r="P62" s="77">
        <f t="shared" si="41"/>
        <v>0</v>
      </c>
      <c r="Q62" s="78">
        <f t="shared" si="3"/>
        <v>0</v>
      </c>
      <c r="R62" s="78"/>
      <c r="S62" s="79"/>
      <c r="T62" s="80">
        <f t="shared" si="33"/>
        <v>1.149</v>
      </c>
      <c r="U62" s="79">
        <f t="shared" si="42"/>
        <v>0</v>
      </c>
      <c r="V62">
        <f t="shared" si="4"/>
        <v>0</v>
      </c>
    </row>
    <row r="63" spans="1:22">
      <c r="A63" s="4"/>
      <c r="B63" s="5" t="s">
        <v>80</v>
      </c>
      <c r="C63" s="4" t="s">
        <v>55</v>
      </c>
      <c r="D63" s="6">
        <v>1</v>
      </c>
      <c r="E63" s="6">
        <f t="shared" si="35"/>
        <v>0</v>
      </c>
      <c r="F63" s="6">
        <f t="shared" si="36"/>
        <v>0</v>
      </c>
      <c r="G63" s="6">
        <f t="shared" si="37"/>
        <v>0</v>
      </c>
      <c r="H63" s="6">
        <f t="shared" si="38"/>
        <v>0</v>
      </c>
      <c r="I63" s="6">
        <f t="shared" si="39"/>
        <v>0</v>
      </c>
      <c r="J63" s="6">
        <f t="shared" si="40"/>
        <v>0</v>
      </c>
      <c r="K63" s="82"/>
      <c r="L63" s="24"/>
      <c r="N63" s="75"/>
      <c r="O63" s="76">
        <f t="shared" si="31"/>
        <v>1.149</v>
      </c>
      <c r="P63" s="77">
        <f t="shared" si="41"/>
        <v>0</v>
      </c>
      <c r="Q63" s="78">
        <f t="shared" si="3"/>
        <v>0</v>
      </c>
      <c r="R63" s="78"/>
      <c r="S63" s="79"/>
      <c r="T63" s="80">
        <f t="shared" si="33"/>
        <v>1.149</v>
      </c>
      <c r="U63" s="79">
        <f t="shared" si="42"/>
        <v>0</v>
      </c>
      <c r="V63">
        <f t="shared" si="4"/>
        <v>0</v>
      </c>
    </row>
    <row r="64" spans="1:22">
      <c r="A64" s="4"/>
      <c r="B64" s="5" t="s">
        <v>80</v>
      </c>
      <c r="C64" s="4" t="s">
        <v>55</v>
      </c>
      <c r="D64" s="6">
        <v>2</v>
      </c>
      <c r="E64" s="6">
        <f t="shared" si="35"/>
        <v>0</v>
      </c>
      <c r="F64" s="6">
        <f t="shared" si="36"/>
        <v>0</v>
      </c>
      <c r="G64" s="6">
        <f t="shared" si="37"/>
        <v>0</v>
      </c>
      <c r="H64" s="6">
        <f t="shared" si="38"/>
        <v>0</v>
      </c>
      <c r="I64" s="6">
        <f t="shared" si="39"/>
        <v>0</v>
      </c>
      <c r="J64" s="6">
        <f t="shared" si="40"/>
        <v>0</v>
      </c>
      <c r="K64" s="82"/>
      <c r="L64" s="24"/>
      <c r="N64" s="75"/>
      <c r="O64" s="76">
        <f t="shared" si="31"/>
        <v>1.149</v>
      </c>
      <c r="P64" s="77">
        <f t="shared" si="41"/>
        <v>0</v>
      </c>
      <c r="Q64" s="78">
        <f t="shared" si="3"/>
        <v>0</v>
      </c>
      <c r="R64" s="78"/>
      <c r="S64" s="79"/>
      <c r="T64" s="80">
        <f t="shared" si="33"/>
        <v>1.149</v>
      </c>
      <c r="U64" s="79">
        <f t="shared" si="42"/>
        <v>0</v>
      </c>
      <c r="V64">
        <f t="shared" si="4"/>
        <v>0</v>
      </c>
    </row>
    <row r="65" spans="1:22">
      <c r="A65" s="4"/>
      <c r="B65" s="5" t="s">
        <v>81</v>
      </c>
      <c r="C65" s="4" t="s">
        <v>55</v>
      </c>
      <c r="D65" s="6">
        <v>10</v>
      </c>
      <c r="E65" s="6">
        <f t="shared" si="35"/>
        <v>0</v>
      </c>
      <c r="F65" s="6">
        <f t="shared" si="36"/>
        <v>0</v>
      </c>
      <c r="G65" s="6">
        <f t="shared" si="37"/>
        <v>0</v>
      </c>
      <c r="H65" s="6">
        <f t="shared" si="38"/>
        <v>0</v>
      </c>
      <c r="I65" s="6">
        <f t="shared" si="39"/>
        <v>0</v>
      </c>
      <c r="J65" s="6">
        <f t="shared" si="40"/>
        <v>0</v>
      </c>
      <c r="K65" s="82"/>
      <c r="L65" s="24"/>
      <c r="N65" s="75"/>
      <c r="O65" s="76">
        <f t="shared" si="31"/>
        <v>1.149</v>
      </c>
      <c r="P65" s="77">
        <f t="shared" si="41"/>
        <v>0</v>
      </c>
      <c r="Q65" s="78">
        <f t="shared" si="3"/>
        <v>0</v>
      </c>
      <c r="R65" s="78"/>
      <c r="S65" s="79"/>
      <c r="T65" s="80">
        <f t="shared" si="33"/>
        <v>1.149</v>
      </c>
      <c r="U65" s="79">
        <f t="shared" si="42"/>
        <v>0</v>
      </c>
      <c r="V65">
        <f t="shared" si="4"/>
        <v>0</v>
      </c>
    </row>
    <row r="66" spans="1:22">
      <c r="A66" s="4"/>
      <c r="B66" s="5" t="s">
        <v>82</v>
      </c>
      <c r="C66" s="4" t="s">
        <v>55</v>
      </c>
      <c r="D66" s="6">
        <v>18</v>
      </c>
      <c r="E66" s="6">
        <f t="shared" si="35"/>
        <v>0</v>
      </c>
      <c r="F66" s="6">
        <f t="shared" si="36"/>
        <v>0</v>
      </c>
      <c r="G66" s="6">
        <f t="shared" si="37"/>
        <v>0</v>
      </c>
      <c r="H66" s="6">
        <f t="shared" si="38"/>
        <v>0</v>
      </c>
      <c r="I66" s="6">
        <f t="shared" si="39"/>
        <v>0</v>
      </c>
      <c r="J66" s="6">
        <f t="shared" si="40"/>
        <v>0</v>
      </c>
      <c r="K66" s="82"/>
      <c r="L66" s="24"/>
      <c r="N66" s="75"/>
      <c r="O66" s="76">
        <f t="shared" si="31"/>
        <v>1.149</v>
      </c>
      <c r="P66" s="77">
        <f t="shared" si="41"/>
        <v>0</v>
      </c>
      <c r="Q66" s="78">
        <f t="shared" si="3"/>
        <v>0</v>
      </c>
      <c r="R66" s="78"/>
      <c r="S66" s="79"/>
      <c r="T66" s="80">
        <f t="shared" si="33"/>
        <v>1.149</v>
      </c>
      <c r="U66" s="79">
        <f t="shared" si="42"/>
        <v>0</v>
      </c>
      <c r="V66">
        <f t="shared" si="4"/>
        <v>0</v>
      </c>
    </row>
    <row r="67" spans="1:22">
      <c r="A67" s="4"/>
      <c r="B67" s="5" t="s">
        <v>83</v>
      </c>
      <c r="C67" s="4" t="s">
        <v>55</v>
      </c>
      <c r="D67" s="6">
        <v>11</v>
      </c>
      <c r="E67" s="6">
        <f t="shared" si="35"/>
        <v>0</v>
      </c>
      <c r="F67" s="6">
        <f t="shared" si="36"/>
        <v>0</v>
      </c>
      <c r="G67" s="6">
        <f t="shared" si="37"/>
        <v>0</v>
      </c>
      <c r="H67" s="6">
        <f t="shared" si="38"/>
        <v>0</v>
      </c>
      <c r="I67" s="6">
        <f t="shared" si="39"/>
        <v>0</v>
      </c>
      <c r="J67" s="6">
        <f t="shared" si="40"/>
        <v>0</v>
      </c>
      <c r="K67" s="82"/>
      <c r="L67" s="24"/>
      <c r="N67" s="75"/>
      <c r="O67" s="76">
        <f t="shared" si="31"/>
        <v>1.149</v>
      </c>
      <c r="P67" s="77">
        <f t="shared" si="41"/>
        <v>0</v>
      </c>
      <c r="Q67" s="78">
        <f t="shared" si="3"/>
        <v>0</v>
      </c>
      <c r="R67" s="78"/>
      <c r="S67" s="79"/>
      <c r="T67" s="80">
        <f t="shared" si="33"/>
        <v>1.149</v>
      </c>
      <c r="U67" s="79">
        <f t="shared" si="42"/>
        <v>0</v>
      </c>
      <c r="V67">
        <f t="shared" si="4"/>
        <v>0</v>
      </c>
    </row>
    <row r="68" spans="1:22">
      <c r="A68" s="4"/>
      <c r="B68" s="5" t="s">
        <v>84</v>
      </c>
      <c r="C68" s="4" t="s">
        <v>55</v>
      </c>
      <c r="D68" s="6">
        <v>12</v>
      </c>
      <c r="E68" s="6">
        <f t="shared" si="35"/>
        <v>0</v>
      </c>
      <c r="F68" s="6">
        <f t="shared" si="36"/>
        <v>0</v>
      </c>
      <c r="G68" s="6">
        <f t="shared" si="37"/>
        <v>0</v>
      </c>
      <c r="H68" s="6">
        <f t="shared" si="38"/>
        <v>0</v>
      </c>
      <c r="I68" s="6">
        <f t="shared" si="39"/>
        <v>0</v>
      </c>
      <c r="J68" s="6">
        <f t="shared" si="40"/>
        <v>0</v>
      </c>
      <c r="K68" s="82"/>
      <c r="L68" s="24"/>
      <c r="N68" s="75"/>
      <c r="O68" s="76">
        <f t="shared" si="31"/>
        <v>1.149</v>
      </c>
      <c r="P68" s="77">
        <f t="shared" si="41"/>
        <v>0</v>
      </c>
      <c r="Q68" s="78">
        <f t="shared" si="3"/>
        <v>0</v>
      </c>
      <c r="R68" s="78"/>
      <c r="S68" s="79"/>
      <c r="T68" s="80">
        <f t="shared" si="33"/>
        <v>1.149</v>
      </c>
      <c r="U68" s="79">
        <f t="shared" si="42"/>
        <v>0</v>
      </c>
      <c r="V68">
        <f t="shared" si="4"/>
        <v>0</v>
      </c>
    </row>
    <row r="69" spans="1:22">
      <c r="A69" s="4"/>
      <c r="B69" s="5" t="s">
        <v>85</v>
      </c>
      <c r="C69" s="4" t="s">
        <v>55</v>
      </c>
      <c r="D69" s="6">
        <v>3</v>
      </c>
      <c r="E69" s="6">
        <f t="shared" si="35"/>
        <v>0</v>
      </c>
      <c r="F69" s="6">
        <f t="shared" si="36"/>
        <v>0</v>
      </c>
      <c r="G69" s="6">
        <f t="shared" si="37"/>
        <v>0</v>
      </c>
      <c r="H69" s="6">
        <f t="shared" si="38"/>
        <v>0</v>
      </c>
      <c r="I69" s="6">
        <f t="shared" si="39"/>
        <v>0</v>
      </c>
      <c r="J69" s="6">
        <f t="shared" si="40"/>
        <v>0</v>
      </c>
      <c r="K69" s="82"/>
      <c r="L69" s="24"/>
      <c r="N69" s="75"/>
      <c r="O69" s="76">
        <f t="shared" si="31"/>
        <v>1.149</v>
      </c>
      <c r="P69" s="77">
        <f t="shared" si="41"/>
        <v>0</v>
      </c>
      <c r="Q69" s="78">
        <f t="shared" si="3"/>
        <v>0</v>
      </c>
      <c r="R69" s="78"/>
      <c r="S69" s="79"/>
      <c r="T69" s="80">
        <f t="shared" si="33"/>
        <v>1.149</v>
      </c>
      <c r="U69" s="79">
        <f t="shared" si="42"/>
        <v>0</v>
      </c>
      <c r="V69">
        <f t="shared" si="4"/>
        <v>0</v>
      </c>
    </row>
    <row r="70" spans="1:22">
      <c r="A70" s="4"/>
      <c r="B70" s="5" t="s">
        <v>86</v>
      </c>
      <c r="C70" s="4" t="s">
        <v>55</v>
      </c>
      <c r="D70" s="6">
        <v>2</v>
      </c>
      <c r="E70" s="6">
        <f t="shared" si="35"/>
        <v>0</v>
      </c>
      <c r="F70" s="6">
        <f t="shared" si="36"/>
        <v>0</v>
      </c>
      <c r="G70" s="6">
        <f t="shared" si="37"/>
        <v>0</v>
      </c>
      <c r="H70" s="6">
        <f t="shared" si="38"/>
        <v>0</v>
      </c>
      <c r="I70" s="6">
        <f t="shared" si="39"/>
        <v>0</v>
      </c>
      <c r="J70" s="6">
        <f t="shared" si="40"/>
        <v>0</v>
      </c>
      <c r="K70" s="82"/>
      <c r="L70" s="24"/>
      <c r="N70" s="75"/>
      <c r="O70" s="76">
        <f t="shared" si="31"/>
        <v>1.149</v>
      </c>
      <c r="P70" s="77">
        <f t="shared" si="41"/>
        <v>0</v>
      </c>
      <c r="Q70" s="78">
        <f t="shared" si="3"/>
        <v>0</v>
      </c>
      <c r="R70" s="78"/>
      <c r="S70" s="79"/>
      <c r="T70" s="80">
        <f t="shared" si="33"/>
        <v>1.149</v>
      </c>
      <c r="U70" s="79">
        <f t="shared" si="42"/>
        <v>0</v>
      </c>
      <c r="V70">
        <f t="shared" si="4"/>
        <v>0</v>
      </c>
    </row>
    <row r="71" spans="1:22">
      <c r="A71" s="4"/>
      <c r="B71" s="5" t="s">
        <v>87</v>
      </c>
      <c r="C71" s="4" t="s">
        <v>55</v>
      </c>
      <c r="D71" s="6">
        <v>4</v>
      </c>
      <c r="E71" s="6">
        <f t="shared" si="35"/>
        <v>0</v>
      </c>
      <c r="F71" s="6">
        <f t="shared" si="36"/>
        <v>0</v>
      </c>
      <c r="G71" s="6">
        <f t="shared" si="37"/>
        <v>0</v>
      </c>
      <c r="H71" s="6">
        <f t="shared" si="38"/>
        <v>0</v>
      </c>
      <c r="I71" s="6">
        <f t="shared" si="39"/>
        <v>0</v>
      </c>
      <c r="J71" s="6">
        <f t="shared" si="40"/>
        <v>0</v>
      </c>
      <c r="K71" s="82"/>
      <c r="L71" s="24"/>
      <c r="N71" s="75"/>
      <c r="O71" s="76">
        <f t="shared" si="31"/>
        <v>1.149</v>
      </c>
      <c r="P71" s="77">
        <f t="shared" si="41"/>
        <v>0</v>
      </c>
      <c r="Q71" s="78">
        <f t="shared" si="3"/>
        <v>0</v>
      </c>
      <c r="R71" s="78"/>
      <c r="S71" s="79"/>
      <c r="T71" s="80">
        <f t="shared" si="33"/>
        <v>1.149</v>
      </c>
      <c r="U71" s="79">
        <f t="shared" si="42"/>
        <v>0</v>
      </c>
      <c r="V71">
        <f t="shared" si="4"/>
        <v>0</v>
      </c>
    </row>
    <row r="72" spans="1:22">
      <c r="A72" s="4"/>
      <c r="B72" s="5" t="s">
        <v>88</v>
      </c>
      <c r="C72" s="4" t="s">
        <v>55</v>
      </c>
      <c r="D72" s="6">
        <v>9</v>
      </c>
      <c r="E72" s="6">
        <f t="shared" si="35"/>
        <v>0</v>
      </c>
      <c r="F72" s="6">
        <f t="shared" si="36"/>
        <v>0</v>
      </c>
      <c r="G72" s="6">
        <f t="shared" si="37"/>
        <v>0</v>
      </c>
      <c r="H72" s="6">
        <f t="shared" si="38"/>
        <v>0</v>
      </c>
      <c r="I72" s="6">
        <f t="shared" si="39"/>
        <v>0</v>
      </c>
      <c r="J72" s="6">
        <f t="shared" si="40"/>
        <v>0</v>
      </c>
      <c r="K72" s="82"/>
      <c r="L72" s="24"/>
      <c r="N72" s="75"/>
      <c r="O72" s="76">
        <f t="shared" si="31"/>
        <v>1.149</v>
      </c>
      <c r="P72" s="77">
        <f t="shared" si="41"/>
        <v>0</v>
      </c>
      <c r="Q72" s="78">
        <f t="shared" si="3"/>
        <v>0</v>
      </c>
      <c r="R72" s="78"/>
      <c r="S72" s="79"/>
      <c r="T72" s="80">
        <f t="shared" si="33"/>
        <v>1.149</v>
      </c>
      <c r="U72" s="79">
        <f t="shared" si="42"/>
        <v>0</v>
      </c>
      <c r="V72">
        <f t="shared" si="4"/>
        <v>0</v>
      </c>
    </row>
    <row r="73" spans="1:22">
      <c r="A73" s="4"/>
      <c r="B73" s="5" t="s">
        <v>89</v>
      </c>
      <c r="C73" s="4" t="s">
        <v>55</v>
      </c>
      <c r="D73" s="6">
        <v>9</v>
      </c>
      <c r="E73" s="6">
        <f t="shared" si="35"/>
        <v>0</v>
      </c>
      <c r="F73" s="6">
        <f t="shared" si="36"/>
        <v>0</v>
      </c>
      <c r="G73" s="6">
        <f t="shared" si="37"/>
        <v>0</v>
      </c>
      <c r="H73" s="6">
        <f t="shared" si="38"/>
        <v>0</v>
      </c>
      <c r="I73" s="6">
        <f t="shared" si="39"/>
        <v>0</v>
      </c>
      <c r="J73" s="6">
        <f t="shared" si="40"/>
        <v>0</v>
      </c>
      <c r="K73" s="82"/>
      <c r="L73" s="24"/>
      <c r="N73" s="75"/>
      <c r="O73" s="76">
        <f t="shared" si="31"/>
        <v>1.149</v>
      </c>
      <c r="P73" s="77">
        <f t="shared" si="41"/>
        <v>0</v>
      </c>
      <c r="Q73" s="78">
        <f t="shared" ref="Q73:Q136" si="43">SUM(N73*D73)</f>
        <v>0</v>
      </c>
      <c r="R73" s="78"/>
      <c r="S73" s="79"/>
      <c r="T73" s="80">
        <f t="shared" si="33"/>
        <v>1.149</v>
      </c>
      <c r="U73" s="79">
        <f t="shared" si="42"/>
        <v>0</v>
      </c>
      <c r="V73">
        <f t="shared" ref="V73:V136" si="44">SUM(S73*D73)</f>
        <v>0</v>
      </c>
    </row>
    <row r="74" spans="1:22">
      <c r="A74" s="4"/>
      <c r="B74" s="5" t="s">
        <v>90</v>
      </c>
      <c r="C74" s="4" t="s">
        <v>55</v>
      </c>
      <c r="D74" s="6">
        <v>1</v>
      </c>
      <c r="E74" s="6">
        <f t="shared" si="35"/>
        <v>0</v>
      </c>
      <c r="F74" s="6">
        <f t="shared" si="36"/>
        <v>0</v>
      </c>
      <c r="G74" s="6">
        <f t="shared" si="37"/>
        <v>0</v>
      </c>
      <c r="H74" s="6">
        <f t="shared" si="38"/>
        <v>0</v>
      </c>
      <c r="I74" s="6">
        <f t="shared" si="39"/>
        <v>0</v>
      </c>
      <c r="J74" s="6">
        <f t="shared" si="40"/>
        <v>0</v>
      </c>
      <c r="K74" s="82"/>
      <c r="L74" s="24"/>
      <c r="N74" s="75"/>
      <c r="O74" s="76">
        <f t="shared" si="31"/>
        <v>1.149</v>
      </c>
      <c r="P74" s="77">
        <f t="shared" si="41"/>
        <v>0</v>
      </c>
      <c r="Q74" s="78">
        <f t="shared" si="43"/>
        <v>0</v>
      </c>
      <c r="R74" s="78"/>
      <c r="S74" s="79"/>
      <c r="T74" s="80">
        <f t="shared" si="33"/>
        <v>1.149</v>
      </c>
      <c r="U74" s="79">
        <f t="shared" si="42"/>
        <v>0</v>
      </c>
      <c r="V74">
        <f t="shared" si="44"/>
        <v>0</v>
      </c>
    </row>
    <row r="75" spans="1:22">
      <c r="A75" s="4"/>
      <c r="B75" s="5" t="s">
        <v>91</v>
      </c>
      <c r="C75" s="4" t="s">
        <v>55</v>
      </c>
      <c r="D75" s="6">
        <v>4</v>
      </c>
      <c r="E75" s="6">
        <f t="shared" si="35"/>
        <v>0</v>
      </c>
      <c r="F75" s="6">
        <f t="shared" si="36"/>
        <v>0</v>
      </c>
      <c r="G75" s="6">
        <f t="shared" si="37"/>
        <v>0</v>
      </c>
      <c r="H75" s="6">
        <f t="shared" si="38"/>
        <v>0</v>
      </c>
      <c r="I75" s="6">
        <f t="shared" si="39"/>
        <v>0</v>
      </c>
      <c r="J75" s="6">
        <f t="shared" si="40"/>
        <v>0</v>
      </c>
      <c r="K75" s="82"/>
      <c r="L75" s="24"/>
      <c r="N75" s="75"/>
      <c r="O75" s="76">
        <f t="shared" si="31"/>
        <v>1.149</v>
      </c>
      <c r="P75" s="77">
        <f t="shared" si="41"/>
        <v>0</v>
      </c>
      <c r="Q75" s="78">
        <f t="shared" si="43"/>
        <v>0</v>
      </c>
      <c r="R75" s="78"/>
      <c r="S75" s="79"/>
      <c r="T75" s="80">
        <f t="shared" si="33"/>
        <v>1.149</v>
      </c>
      <c r="U75" s="79">
        <f t="shared" si="42"/>
        <v>0</v>
      </c>
      <c r="V75">
        <f t="shared" si="44"/>
        <v>0</v>
      </c>
    </row>
    <row r="76" spans="1:22">
      <c r="A76" s="4"/>
      <c r="B76" s="5" t="s">
        <v>92</v>
      </c>
      <c r="C76" s="4" t="s">
        <v>55</v>
      </c>
      <c r="D76" s="6">
        <v>5</v>
      </c>
      <c r="E76" s="6">
        <f t="shared" si="35"/>
        <v>0</v>
      </c>
      <c r="F76" s="6">
        <f t="shared" si="36"/>
        <v>0</v>
      </c>
      <c r="G76" s="6">
        <f t="shared" si="37"/>
        <v>0</v>
      </c>
      <c r="H76" s="6">
        <f t="shared" si="38"/>
        <v>0</v>
      </c>
      <c r="I76" s="6">
        <f t="shared" si="39"/>
        <v>0</v>
      </c>
      <c r="J76" s="6">
        <f t="shared" si="40"/>
        <v>0</v>
      </c>
      <c r="K76" s="82"/>
      <c r="L76" s="24"/>
      <c r="N76" s="75"/>
      <c r="O76" s="76">
        <f t="shared" si="31"/>
        <v>1.149</v>
      </c>
      <c r="P76" s="77">
        <f t="shared" si="41"/>
        <v>0</v>
      </c>
      <c r="Q76" s="78">
        <f t="shared" si="43"/>
        <v>0</v>
      </c>
      <c r="R76" s="78"/>
      <c r="S76" s="79"/>
      <c r="T76" s="80">
        <f t="shared" si="33"/>
        <v>1.149</v>
      </c>
      <c r="U76" s="79">
        <f t="shared" si="42"/>
        <v>0</v>
      </c>
      <c r="V76">
        <f t="shared" si="44"/>
        <v>0</v>
      </c>
    </row>
    <row r="77" spans="1:22">
      <c r="A77" s="4"/>
      <c r="B77" s="5" t="s">
        <v>93</v>
      </c>
      <c r="C77" s="4" t="s">
        <v>36</v>
      </c>
      <c r="D77" s="6">
        <v>2</v>
      </c>
      <c r="E77" s="6">
        <f t="shared" si="35"/>
        <v>0</v>
      </c>
      <c r="F77" s="6">
        <f t="shared" si="36"/>
        <v>0</v>
      </c>
      <c r="G77" s="6">
        <f t="shared" si="37"/>
        <v>0</v>
      </c>
      <c r="H77" s="6">
        <f t="shared" si="38"/>
        <v>0</v>
      </c>
      <c r="I77" s="6">
        <f t="shared" si="39"/>
        <v>0</v>
      </c>
      <c r="J77" s="6">
        <f t="shared" si="40"/>
        <v>0</v>
      </c>
      <c r="K77" s="82"/>
      <c r="L77" s="24"/>
      <c r="N77" s="75"/>
      <c r="O77" s="76">
        <f t="shared" si="31"/>
        <v>1.149</v>
      </c>
      <c r="P77" s="77">
        <f t="shared" si="41"/>
        <v>0</v>
      </c>
      <c r="Q77" s="78">
        <f t="shared" si="43"/>
        <v>0</v>
      </c>
      <c r="R77" s="78"/>
      <c r="S77" s="79"/>
      <c r="T77" s="80">
        <f t="shared" si="33"/>
        <v>1.149</v>
      </c>
      <c r="U77" s="79">
        <f t="shared" si="42"/>
        <v>0</v>
      </c>
      <c r="V77">
        <f t="shared" si="44"/>
        <v>0</v>
      </c>
    </row>
    <row r="78" spans="1:22">
      <c r="A78" s="4"/>
      <c r="B78" s="5" t="s">
        <v>94</v>
      </c>
      <c r="C78" s="4" t="s">
        <v>36</v>
      </c>
      <c r="D78" s="6">
        <v>2</v>
      </c>
      <c r="E78" s="6">
        <f t="shared" si="35"/>
        <v>0</v>
      </c>
      <c r="F78" s="6">
        <f t="shared" si="36"/>
        <v>0</v>
      </c>
      <c r="G78" s="6">
        <f t="shared" si="37"/>
        <v>0</v>
      </c>
      <c r="H78" s="6">
        <f t="shared" si="38"/>
        <v>0</v>
      </c>
      <c r="I78" s="6">
        <f t="shared" si="39"/>
        <v>0</v>
      </c>
      <c r="J78" s="6">
        <f t="shared" si="40"/>
        <v>0</v>
      </c>
      <c r="K78" s="82"/>
      <c r="L78" s="24"/>
      <c r="N78" s="75"/>
      <c r="O78" s="76">
        <f t="shared" si="31"/>
        <v>1.149</v>
      </c>
      <c r="P78" s="77">
        <f t="shared" si="41"/>
        <v>0</v>
      </c>
      <c r="Q78" s="78">
        <f t="shared" si="43"/>
        <v>0</v>
      </c>
      <c r="R78" s="78"/>
      <c r="S78" s="79"/>
      <c r="T78" s="80">
        <f t="shared" si="33"/>
        <v>1.149</v>
      </c>
      <c r="U78" s="79">
        <f t="shared" si="42"/>
        <v>0</v>
      </c>
      <c r="V78">
        <f t="shared" si="44"/>
        <v>0</v>
      </c>
    </row>
    <row r="79" spans="1:22">
      <c r="A79" s="4"/>
      <c r="B79" s="5" t="s">
        <v>95</v>
      </c>
      <c r="C79" s="4" t="s">
        <v>96</v>
      </c>
      <c r="D79" s="6">
        <v>1</v>
      </c>
      <c r="E79" s="6">
        <f t="shared" si="35"/>
        <v>0</v>
      </c>
      <c r="F79" s="6">
        <f t="shared" si="36"/>
        <v>0</v>
      </c>
      <c r="G79" s="6">
        <f t="shared" si="37"/>
        <v>0</v>
      </c>
      <c r="H79" s="6">
        <f t="shared" si="38"/>
        <v>0</v>
      </c>
      <c r="I79" s="6">
        <f t="shared" si="39"/>
        <v>0</v>
      </c>
      <c r="J79" s="6">
        <f t="shared" si="40"/>
        <v>0</v>
      </c>
      <c r="K79" s="82"/>
      <c r="L79" s="24"/>
      <c r="N79" s="75"/>
      <c r="O79" s="76">
        <f t="shared" si="31"/>
        <v>1.149</v>
      </c>
      <c r="P79" s="77">
        <f t="shared" si="41"/>
        <v>0</v>
      </c>
      <c r="Q79" s="78">
        <f t="shared" si="43"/>
        <v>0</v>
      </c>
      <c r="R79" s="78"/>
      <c r="S79" s="79"/>
      <c r="T79" s="80">
        <f t="shared" si="33"/>
        <v>1.149</v>
      </c>
      <c r="U79" s="79">
        <f t="shared" si="42"/>
        <v>0</v>
      </c>
      <c r="V79">
        <f t="shared" si="44"/>
        <v>0</v>
      </c>
    </row>
    <row r="80" spans="1:22">
      <c r="A80" s="4"/>
      <c r="B80" s="5" t="s">
        <v>26</v>
      </c>
      <c r="C80" s="4" t="s">
        <v>26</v>
      </c>
      <c r="D80" s="6"/>
      <c r="E80" s="6"/>
      <c r="F80" s="6"/>
      <c r="G80" s="6"/>
      <c r="H80" s="6"/>
      <c r="I80" s="6"/>
      <c r="J80" s="6"/>
      <c r="K80" s="82"/>
      <c r="L80" s="24"/>
      <c r="N80" s="75"/>
      <c r="O80" s="76">
        <f t="shared" si="31"/>
        <v>1.149</v>
      </c>
      <c r="P80" s="77">
        <f t="shared" si="41"/>
        <v>0</v>
      </c>
      <c r="Q80" s="78">
        <f t="shared" si="43"/>
        <v>0</v>
      </c>
      <c r="R80" s="78"/>
      <c r="S80" s="79"/>
      <c r="T80" s="80">
        <f t="shared" si="33"/>
        <v>1.149</v>
      </c>
      <c r="U80" s="79">
        <f t="shared" si="42"/>
        <v>0</v>
      </c>
      <c r="V80">
        <f t="shared" si="44"/>
        <v>0</v>
      </c>
    </row>
    <row r="81" spans="1:22">
      <c r="A81" s="13"/>
      <c r="B81" s="14" t="s">
        <v>97</v>
      </c>
      <c r="C81" s="13" t="s">
        <v>26</v>
      </c>
      <c r="D81" s="15"/>
      <c r="E81" s="15"/>
      <c r="F81" s="15">
        <f>SUM(F35:F80)</f>
        <v>423050.31</v>
      </c>
      <c r="G81" s="15"/>
      <c r="H81" s="15">
        <f>SUM(H35:H80)</f>
        <v>88840.565099999993</v>
      </c>
      <c r="I81" s="15"/>
      <c r="J81" s="15">
        <f>SUM(J35:J80)</f>
        <v>511890.8751</v>
      </c>
      <c r="K81" s="82"/>
      <c r="L81" s="24"/>
      <c r="Q81" s="78">
        <f t="shared" si="43"/>
        <v>0</v>
      </c>
      <c r="V81">
        <f t="shared" si="44"/>
        <v>0</v>
      </c>
    </row>
    <row r="82" spans="1:22">
      <c r="A82" s="4"/>
      <c r="B82" s="5" t="s">
        <v>26</v>
      </c>
      <c r="C82" s="4" t="s">
        <v>26</v>
      </c>
      <c r="D82" s="6"/>
      <c r="E82" s="6"/>
      <c r="F82" s="6"/>
      <c r="G82" s="6"/>
      <c r="H82" s="6"/>
      <c r="I82" s="6"/>
      <c r="J82" s="6"/>
      <c r="K82" s="82"/>
      <c r="L82" s="24"/>
      <c r="Q82" s="78">
        <f t="shared" si="43"/>
        <v>0</v>
      </c>
      <c r="V82">
        <f t="shared" si="44"/>
        <v>0</v>
      </c>
    </row>
    <row r="83" spans="1:22">
      <c r="A83" s="13"/>
      <c r="B83" s="14" t="s">
        <v>98</v>
      </c>
      <c r="C83" s="13" t="s">
        <v>26</v>
      </c>
      <c r="D83" s="15"/>
      <c r="E83" s="15"/>
      <c r="F83" s="15"/>
      <c r="G83" s="15"/>
      <c r="H83" s="15"/>
      <c r="I83" s="15"/>
      <c r="J83" s="15"/>
      <c r="K83" s="82"/>
      <c r="L83" s="24"/>
      <c r="Q83" s="78">
        <f t="shared" si="43"/>
        <v>0</v>
      </c>
      <c r="V83">
        <f t="shared" si="44"/>
        <v>0</v>
      </c>
    </row>
    <row r="84" spans="1:22">
      <c r="A84" s="4"/>
      <c r="B84" s="5" t="s">
        <v>26</v>
      </c>
      <c r="C84" s="4" t="s">
        <v>26</v>
      </c>
      <c r="D84" s="6"/>
      <c r="E84" s="6"/>
      <c r="F84" s="6"/>
      <c r="G84" s="6"/>
      <c r="H84" s="6"/>
      <c r="I84" s="6"/>
      <c r="J84" s="6"/>
      <c r="K84" s="82"/>
      <c r="L84" s="24"/>
      <c r="Q84" s="78">
        <f t="shared" si="43"/>
        <v>0</v>
      </c>
      <c r="V84">
        <f t="shared" si="44"/>
        <v>0</v>
      </c>
    </row>
    <row r="85" spans="1:22" ht="21.9">
      <c r="A85" s="4"/>
      <c r="B85" s="5" t="s">
        <v>99</v>
      </c>
      <c r="C85" s="4" t="s">
        <v>36</v>
      </c>
      <c r="D85" s="6">
        <v>1</v>
      </c>
      <c r="E85" s="6">
        <f t="shared" ref="E85:E116" si="45">SUM(P85)</f>
        <v>80694.27</v>
      </c>
      <c r="F85" s="6">
        <f t="shared" ref="F85:F116" si="46">D85*E85</f>
        <v>80694.27</v>
      </c>
      <c r="G85" s="6">
        <f t="shared" ref="G85:G116" si="47">SUM(U85)</f>
        <v>16945.796699999999</v>
      </c>
      <c r="H85" s="6">
        <f t="shared" ref="H85:H116" si="48">D85*G85</f>
        <v>16945.796699999999</v>
      </c>
      <c r="I85" s="6">
        <f t="shared" ref="I85:I116" si="49">E85+G85</f>
        <v>97640.066699999996</v>
      </c>
      <c r="J85" s="6">
        <f t="shared" ref="J85:J116" si="50">F85+H85</f>
        <v>97640.066699999996</v>
      </c>
      <c r="K85" s="82"/>
      <c r="L85" s="24"/>
      <c r="N85" s="155">
        <v>70230</v>
      </c>
      <c r="O85" s="76">
        <f t="shared" ref="O85:O116" si="51">$O$1</f>
        <v>1.149</v>
      </c>
      <c r="P85" s="77">
        <f t="shared" ref="P85:P116" si="52">SUM(O85*N85)</f>
        <v>80694.27</v>
      </c>
      <c r="Q85" s="78">
        <f t="shared" si="43"/>
        <v>70230</v>
      </c>
      <c r="R85" s="78"/>
      <c r="S85" s="79">
        <f>SUM(N85*0.21)</f>
        <v>14748.3</v>
      </c>
      <c r="T85" s="80">
        <f t="shared" ref="T85:T116" si="53">$T$1</f>
        <v>1.149</v>
      </c>
      <c r="U85" s="79">
        <f t="shared" ref="U85:U116" si="54">SUM(T85*S85)</f>
        <v>16945.796699999999</v>
      </c>
      <c r="V85">
        <f t="shared" si="44"/>
        <v>14748.3</v>
      </c>
    </row>
    <row r="86" spans="1:22">
      <c r="A86" s="4"/>
      <c r="B86" s="5" t="s">
        <v>26</v>
      </c>
      <c r="C86" s="4" t="s">
        <v>26</v>
      </c>
      <c r="D86" s="6"/>
      <c r="E86" s="6">
        <f t="shared" si="45"/>
        <v>0</v>
      </c>
      <c r="F86" s="6">
        <f t="shared" si="46"/>
        <v>0</v>
      </c>
      <c r="G86" s="6">
        <f t="shared" si="47"/>
        <v>0</v>
      </c>
      <c r="H86" s="6">
        <f t="shared" si="48"/>
        <v>0</v>
      </c>
      <c r="I86" s="6">
        <f t="shared" si="49"/>
        <v>0</v>
      </c>
      <c r="J86" s="6">
        <f t="shared" si="50"/>
        <v>0</v>
      </c>
      <c r="K86" s="82"/>
      <c r="L86" s="24"/>
      <c r="N86" s="75"/>
      <c r="O86" s="76">
        <f t="shared" si="51"/>
        <v>1.149</v>
      </c>
      <c r="P86" s="77">
        <f t="shared" si="52"/>
        <v>0</v>
      </c>
      <c r="Q86" s="78">
        <f t="shared" si="43"/>
        <v>0</v>
      </c>
      <c r="R86" s="78"/>
      <c r="S86" s="79"/>
      <c r="T86" s="80">
        <f t="shared" si="53"/>
        <v>1.149</v>
      </c>
      <c r="U86" s="79">
        <f t="shared" si="54"/>
        <v>0</v>
      </c>
      <c r="V86">
        <f t="shared" si="44"/>
        <v>0</v>
      </c>
    </row>
    <row r="87" spans="1:22">
      <c r="A87" s="4"/>
      <c r="B87" s="5" t="s">
        <v>100</v>
      </c>
      <c r="C87" s="4" t="s">
        <v>55</v>
      </c>
      <c r="D87" s="6">
        <v>1</v>
      </c>
      <c r="E87" s="6">
        <f t="shared" si="45"/>
        <v>0</v>
      </c>
      <c r="F87" s="6">
        <f t="shared" si="46"/>
        <v>0</v>
      </c>
      <c r="G87" s="6">
        <f t="shared" si="47"/>
        <v>0</v>
      </c>
      <c r="H87" s="6">
        <f t="shared" si="48"/>
        <v>0</v>
      </c>
      <c r="I87" s="6">
        <f t="shared" si="49"/>
        <v>0</v>
      </c>
      <c r="J87" s="6">
        <f t="shared" si="50"/>
        <v>0</v>
      </c>
      <c r="K87" s="82"/>
      <c r="L87" s="24"/>
      <c r="N87" s="75"/>
      <c r="O87" s="76">
        <f t="shared" si="51"/>
        <v>1.149</v>
      </c>
      <c r="P87" s="77">
        <f t="shared" si="52"/>
        <v>0</v>
      </c>
      <c r="Q87" s="78">
        <f t="shared" si="43"/>
        <v>0</v>
      </c>
      <c r="R87" s="78"/>
      <c r="S87" s="79"/>
      <c r="T87" s="80">
        <f t="shared" si="53"/>
        <v>1.149</v>
      </c>
      <c r="U87" s="79">
        <f t="shared" si="54"/>
        <v>0</v>
      </c>
      <c r="V87">
        <f t="shared" si="44"/>
        <v>0</v>
      </c>
    </row>
    <row r="88" spans="1:22">
      <c r="A88" s="4"/>
      <c r="B88" s="5" t="s">
        <v>101</v>
      </c>
      <c r="C88" s="4" t="s">
        <v>55</v>
      </c>
      <c r="D88" s="6">
        <v>1</v>
      </c>
      <c r="E88" s="6">
        <f t="shared" si="45"/>
        <v>0</v>
      </c>
      <c r="F88" s="6">
        <f t="shared" si="46"/>
        <v>0</v>
      </c>
      <c r="G88" s="6">
        <f t="shared" si="47"/>
        <v>0</v>
      </c>
      <c r="H88" s="6">
        <f t="shared" si="48"/>
        <v>0</v>
      </c>
      <c r="I88" s="6">
        <f t="shared" si="49"/>
        <v>0</v>
      </c>
      <c r="J88" s="6">
        <f t="shared" si="50"/>
        <v>0</v>
      </c>
      <c r="K88" s="82"/>
      <c r="L88" s="24"/>
      <c r="N88" s="75"/>
      <c r="O88" s="76">
        <f t="shared" si="51"/>
        <v>1.149</v>
      </c>
      <c r="P88" s="77">
        <f t="shared" si="52"/>
        <v>0</v>
      </c>
      <c r="Q88" s="78">
        <f t="shared" si="43"/>
        <v>0</v>
      </c>
      <c r="R88" s="78"/>
      <c r="S88" s="79"/>
      <c r="T88" s="80">
        <f t="shared" si="53"/>
        <v>1.149</v>
      </c>
      <c r="U88" s="79">
        <f t="shared" si="54"/>
        <v>0</v>
      </c>
      <c r="V88">
        <f t="shared" si="44"/>
        <v>0</v>
      </c>
    </row>
    <row r="89" spans="1:22">
      <c r="A89" s="4"/>
      <c r="B89" s="5" t="s">
        <v>61</v>
      </c>
      <c r="C89" s="4" t="s">
        <v>55</v>
      </c>
      <c r="D89" s="6">
        <v>3</v>
      </c>
      <c r="E89" s="6">
        <f t="shared" si="45"/>
        <v>0</v>
      </c>
      <c r="F89" s="6">
        <f t="shared" si="46"/>
        <v>0</v>
      </c>
      <c r="G89" s="6">
        <f t="shared" si="47"/>
        <v>0</v>
      </c>
      <c r="H89" s="6">
        <f t="shared" si="48"/>
        <v>0</v>
      </c>
      <c r="I89" s="6">
        <f t="shared" si="49"/>
        <v>0</v>
      </c>
      <c r="J89" s="6">
        <f t="shared" si="50"/>
        <v>0</v>
      </c>
      <c r="K89" s="82"/>
      <c r="L89" s="24"/>
      <c r="N89" s="75"/>
      <c r="O89" s="76">
        <f t="shared" si="51"/>
        <v>1.149</v>
      </c>
      <c r="P89" s="77">
        <f t="shared" si="52"/>
        <v>0</v>
      </c>
      <c r="Q89" s="78">
        <f t="shared" si="43"/>
        <v>0</v>
      </c>
      <c r="R89" s="78"/>
      <c r="S89" s="79"/>
      <c r="T89" s="80">
        <f t="shared" si="53"/>
        <v>1.149</v>
      </c>
      <c r="U89" s="79">
        <f t="shared" si="54"/>
        <v>0</v>
      </c>
      <c r="V89">
        <f t="shared" si="44"/>
        <v>0</v>
      </c>
    </row>
    <row r="90" spans="1:22">
      <c r="A90" s="4"/>
      <c r="B90" s="5" t="s">
        <v>62</v>
      </c>
      <c r="C90" s="4" t="s">
        <v>55</v>
      </c>
      <c r="D90" s="6">
        <v>3</v>
      </c>
      <c r="E90" s="6">
        <f t="shared" si="45"/>
        <v>0</v>
      </c>
      <c r="F90" s="6">
        <f t="shared" si="46"/>
        <v>0</v>
      </c>
      <c r="G90" s="6">
        <f t="shared" si="47"/>
        <v>0</v>
      </c>
      <c r="H90" s="6">
        <f t="shared" si="48"/>
        <v>0</v>
      </c>
      <c r="I90" s="6">
        <f t="shared" si="49"/>
        <v>0</v>
      </c>
      <c r="J90" s="6">
        <f t="shared" si="50"/>
        <v>0</v>
      </c>
      <c r="K90" s="82"/>
      <c r="L90" s="24"/>
      <c r="N90" s="75"/>
      <c r="O90" s="76">
        <f t="shared" si="51"/>
        <v>1.149</v>
      </c>
      <c r="P90" s="77">
        <f t="shared" si="52"/>
        <v>0</v>
      </c>
      <c r="Q90" s="78">
        <f t="shared" si="43"/>
        <v>0</v>
      </c>
      <c r="R90" s="78"/>
      <c r="S90" s="79"/>
      <c r="T90" s="80">
        <f t="shared" si="53"/>
        <v>1.149</v>
      </c>
      <c r="U90" s="79">
        <f t="shared" si="54"/>
        <v>0</v>
      </c>
      <c r="V90">
        <f t="shared" si="44"/>
        <v>0</v>
      </c>
    </row>
    <row r="91" spans="1:22" ht="21.9">
      <c r="A91" s="4"/>
      <c r="B91" s="5" t="s">
        <v>63</v>
      </c>
      <c r="C91" s="4" t="s">
        <v>55</v>
      </c>
      <c r="D91" s="6">
        <v>1</v>
      </c>
      <c r="E91" s="6">
        <f t="shared" si="45"/>
        <v>0</v>
      </c>
      <c r="F91" s="6">
        <f t="shared" si="46"/>
        <v>0</v>
      </c>
      <c r="G91" s="6">
        <f t="shared" si="47"/>
        <v>0</v>
      </c>
      <c r="H91" s="6">
        <f t="shared" si="48"/>
        <v>0</v>
      </c>
      <c r="I91" s="6">
        <f t="shared" si="49"/>
        <v>0</v>
      </c>
      <c r="J91" s="6">
        <f t="shared" si="50"/>
        <v>0</v>
      </c>
      <c r="K91" s="82"/>
      <c r="L91" s="24"/>
      <c r="N91" s="75"/>
      <c r="O91" s="76">
        <f t="shared" si="51"/>
        <v>1.149</v>
      </c>
      <c r="P91" s="77">
        <f t="shared" si="52"/>
        <v>0</v>
      </c>
      <c r="Q91" s="78">
        <f t="shared" si="43"/>
        <v>0</v>
      </c>
      <c r="R91" s="78"/>
      <c r="S91" s="79"/>
      <c r="T91" s="80">
        <f t="shared" si="53"/>
        <v>1.149</v>
      </c>
      <c r="U91" s="79">
        <f t="shared" si="54"/>
        <v>0</v>
      </c>
      <c r="V91">
        <f t="shared" si="44"/>
        <v>0</v>
      </c>
    </row>
    <row r="92" spans="1:22">
      <c r="A92" s="4"/>
      <c r="B92" s="5" t="s">
        <v>102</v>
      </c>
      <c r="C92" s="4" t="s">
        <v>55</v>
      </c>
      <c r="D92" s="6">
        <v>1</v>
      </c>
      <c r="E92" s="6">
        <f t="shared" si="45"/>
        <v>0</v>
      </c>
      <c r="F92" s="6">
        <f t="shared" si="46"/>
        <v>0</v>
      </c>
      <c r="G92" s="6">
        <f t="shared" si="47"/>
        <v>0</v>
      </c>
      <c r="H92" s="6">
        <f t="shared" si="48"/>
        <v>0</v>
      </c>
      <c r="I92" s="6">
        <f t="shared" si="49"/>
        <v>0</v>
      </c>
      <c r="J92" s="6">
        <f t="shared" si="50"/>
        <v>0</v>
      </c>
      <c r="K92" s="82"/>
      <c r="L92" s="24"/>
      <c r="N92" s="75"/>
      <c r="O92" s="76">
        <f t="shared" si="51"/>
        <v>1.149</v>
      </c>
      <c r="P92" s="77">
        <f t="shared" si="52"/>
        <v>0</v>
      </c>
      <c r="Q92" s="78">
        <f t="shared" si="43"/>
        <v>0</v>
      </c>
      <c r="R92" s="78"/>
      <c r="S92" s="79"/>
      <c r="T92" s="80">
        <f t="shared" si="53"/>
        <v>1.149</v>
      </c>
      <c r="U92" s="79">
        <f t="shared" si="54"/>
        <v>0</v>
      </c>
      <c r="V92">
        <f t="shared" si="44"/>
        <v>0</v>
      </c>
    </row>
    <row r="93" spans="1:22">
      <c r="A93" s="4"/>
      <c r="B93" s="5" t="s">
        <v>66</v>
      </c>
      <c r="C93" s="4" t="s">
        <v>55</v>
      </c>
      <c r="D93" s="6">
        <v>1</v>
      </c>
      <c r="E93" s="6">
        <f t="shared" si="45"/>
        <v>0</v>
      </c>
      <c r="F93" s="6">
        <f t="shared" si="46"/>
        <v>0</v>
      </c>
      <c r="G93" s="6">
        <f t="shared" si="47"/>
        <v>0</v>
      </c>
      <c r="H93" s="6">
        <f t="shared" si="48"/>
        <v>0</v>
      </c>
      <c r="I93" s="6">
        <f t="shared" si="49"/>
        <v>0</v>
      </c>
      <c r="J93" s="6">
        <f t="shared" si="50"/>
        <v>0</v>
      </c>
      <c r="K93" s="82"/>
      <c r="L93" s="24"/>
      <c r="N93" s="75"/>
      <c r="O93" s="76">
        <f t="shared" si="51"/>
        <v>1.149</v>
      </c>
      <c r="P93" s="77">
        <f t="shared" si="52"/>
        <v>0</v>
      </c>
      <c r="Q93" s="78">
        <f t="shared" si="43"/>
        <v>0</v>
      </c>
      <c r="R93" s="78"/>
      <c r="S93" s="79"/>
      <c r="T93" s="80">
        <f t="shared" si="53"/>
        <v>1.149</v>
      </c>
      <c r="U93" s="79">
        <f t="shared" si="54"/>
        <v>0</v>
      </c>
      <c r="V93">
        <f t="shared" si="44"/>
        <v>0</v>
      </c>
    </row>
    <row r="94" spans="1:22">
      <c r="A94" s="4"/>
      <c r="B94" s="5" t="s">
        <v>103</v>
      </c>
      <c r="C94" s="4" t="s">
        <v>55</v>
      </c>
      <c r="D94" s="6">
        <v>1</v>
      </c>
      <c r="E94" s="6">
        <f t="shared" si="45"/>
        <v>0</v>
      </c>
      <c r="F94" s="6">
        <f t="shared" si="46"/>
        <v>0</v>
      </c>
      <c r="G94" s="6">
        <f t="shared" si="47"/>
        <v>0</v>
      </c>
      <c r="H94" s="6">
        <f t="shared" si="48"/>
        <v>0</v>
      </c>
      <c r="I94" s="6">
        <f t="shared" si="49"/>
        <v>0</v>
      </c>
      <c r="J94" s="6">
        <f t="shared" si="50"/>
        <v>0</v>
      </c>
      <c r="K94" s="82"/>
      <c r="L94" s="24"/>
      <c r="N94" s="75"/>
      <c r="O94" s="76">
        <f t="shared" si="51"/>
        <v>1.149</v>
      </c>
      <c r="P94" s="77">
        <f t="shared" si="52"/>
        <v>0</v>
      </c>
      <c r="Q94" s="78">
        <f t="shared" si="43"/>
        <v>0</v>
      </c>
      <c r="R94" s="78"/>
      <c r="S94" s="79"/>
      <c r="T94" s="80">
        <f t="shared" si="53"/>
        <v>1.149</v>
      </c>
      <c r="U94" s="79">
        <f t="shared" si="54"/>
        <v>0</v>
      </c>
      <c r="V94">
        <f t="shared" si="44"/>
        <v>0</v>
      </c>
    </row>
    <row r="95" spans="1:22">
      <c r="A95" s="4"/>
      <c r="B95" s="5" t="s">
        <v>68</v>
      </c>
      <c r="C95" s="4" t="s">
        <v>55</v>
      </c>
      <c r="D95" s="6">
        <v>5</v>
      </c>
      <c r="E95" s="6">
        <f t="shared" si="45"/>
        <v>0</v>
      </c>
      <c r="F95" s="6">
        <f t="shared" si="46"/>
        <v>0</v>
      </c>
      <c r="G95" s="6">
        <f t="shared" si="47"/>
        <v>0</v>
      </c>
      <c r="H95" s="6">
        <f t="shared" si="48"/>
        <v>0</v>
      </c>
      <c r="I95" s="6">
        <f t="shared" si="49"/>
        <v>0</v>
      </c>
      <c r="J95" s="6">
        <f t="shared" si="50"/>
        <v>0</v>
      </c>
      <c r="K95" s="82"/>
      <c r="L95" s="24"/>
      <c r="N95" s="75"/>
      <c r="O95" s="76">
        <f t="shared" si="51"/>
        <v>1.149</v>
      </c>
      <c r="P95" s="77">
        <f t="shared" si="52"/>
        <v>0</v>
      </c>
      <c r="Q95" s="78">
        <f t="shared" si="43"/>
        <v>0</v>
      </c>
      <c r="R95" s="78"/>
      <c r="S95" s="79"/>
      <c r="T95" s="80">
        <f t="shared" si="53"/>
        <v>1.149</v>
      </c>
      <c r="U95" s="79">
        <f t="shared" si="54"/>
        <v>0</v>
      </c>
      <c r="V95">
        <f t="shared" si="44"/>
        <v>0</v>
      </c>
    </row>
    <row r="96" spans="1:22">
      <c r="A96" s="4"/>
      <c r="B96" s="5" t="s">
        <v>104</v>
      </c>
      <c r="C96" s="4" t="s">
        <v>55</v>
      </c>
      <c r="D96" s="6">
        <v>10</v>
      </c>
      <c r="E96" s="6">
        <f t="shared" si="45"/>
        <v>0</v>
      </c>
      <c r="F96" s="6">
        <f t="shared" si="46"/>
        <v>0</v>
      </c>
      <c r="G96" s="6">
        <f t="shared" si="47"/>
        <v>0</v>
      </c>
      <c r="H96" s="6">
        <f t="shared" si="48"/>
        <v>0</v>
      </c>
      <c r="I96" s="6">
        <f t="shared" si="49"/>
        <v>0</v>
      </c>
      <c r="J96" s="6">
        <f t="shared" si="50"/>
        <v>0</v>
      </c>
      <c r="K96" s="82"/>
      <c r="L96" s="24"/>
      <c r="N96" s="75"/>
      <c r="O96" s="76">
        <f t="shared" si="51"/>
        <v>1.149</v>
      </c>
      <c r="P96" s="77">
        <f t="shared" si="52"/>
        <v>0</v>
      </c>
      <c r="Q96" s="78">
        <f t="shared" si="43"/>
        <v>0</v>
      </c>
      <c r="R96" s="78"/>
      <c r="S96" s="79"/>
      <c r="T96" s="80">
        <f t="shared" si="53"/>
        <v>1.149</v>
      </c>
      <c r="U96" s="79">
        <f t="shared" si="54"/>
        <v>0</v>
      </c>
      <c r="V96">
        <f t="shared" si="44"/>
        <v>0</v>
      </c>
    </row>
    <row r="97" spans="1:22">
      <c r="A97" s="4"/>
      <c r="B97" s="5" t="s">
        <v>105</v>
      </c>
      <c r="C97" s="4" t="s">
        <v>55</v>
      </c>
      <c r="D97" s="6">
        <v>16</v>
      </c>
      <c r="E97" s="6">
        <f t="shared" si="45"/>
        <v>0</v>
      </c>
      <c r="F97" s="6">
        <f t="shared" si="46"/>
        <v>0</v>
      </c>
      <c r="G97" s="6">
        <f t="shared" si="47"/>
        <v>0</v>
      </c>
      <c r="H97" s="6">
        <f t="shared" si="48"/>
        <v>0</v>
      </c>
      <c r="I97" s="6">
        <f t="shared" si="49"/>
        <v>0</v>
      </c>
      <c r="J97" s="6">
        <f t="shared" si="50"/>
        <v>0</v>
      </c>
      <c r="K97" s="82"/>
      <c r="L97" s="24"/>
      <c r="N97" s="75"/>
      <c r="O97" s="76">
        <f t="shared" si="51"/>
        <v>1.149</v>
      </c>
      <c r="P97" s="77">
        <f t="shared" si="52"/>
        <v>0</v>
      </c>
      <c r="Q97" s="78">
        <f t="shared" si="43"/>
        <v>0</v>
      </c>
      <c r="R97" s="78"/>
      <c r="S97" s="79"/>
      <c r="T97" s="80">
        <f t="shared" si="53"/>
        <v>1.149</v>
      </c>
      <c r="U97" s="79">
        <f t="shared" si="54"/>
        <v>0</v>
      </c>
      <c r="V97">
        <f t="shared" si="44"/>
        <v>0</v>
      </c>
    </row>
    <row r="98" spans="1:22">
      <c r="A98" s="4"/>
      <c r="B98" s="5" t="s">
        <v>106</v>
      </c>
      <c r="C98" s="4" t="s">
        <v>55</v>
      </c>
      <c r="D98" s="6">
        <v>3</v>
      </c>
      <c r="E98" s="6">
        <f t="shared" si="45"/>
        <v>0</v>
      </c>
      <c r="F98" s="6">
        <f t="shared" si="46"/>
        <v>0</v>
      </c>
      <c r="G98" s="6">
        <f t="shared" si="47"/>
        <v>0</v>
      </c>
      <c r="H98" s="6">
        <f t="shared" si="48"/>
        <v>0</v>
      </c>
      <c r="I98" s="6">
        <f t="shared" si="49"/>
        <v>0</v>
      </c>
      <c r="J98" s="6">
        <f t="shared" si="50"/>
        <v>0</v>
      </c>
      <c r="K98" s="82"/>
      <c r="L98" s="24"/>
      <c r="N98" s="75"/>
      <c r="O98" s="76">
        <f t="shared" si="51"/>
        <v>1.149</v>
      </c>
      <c r="P98" s="77">
        <f t="shared" si="52"/>
        <v>0</v>
      </c>
      <c r="Q98" s="78">
        <f t="shared" si="43"/>
        <v>0</v>
      </c>
      <c r="R98" s="78"/>
      <c r="S98" s="79"/>
      <c r="T98" s="80">
        <f t="shared" si="53"/>
        <v>1.149</v>
      </c>
      <c r="U98" s="79">
        <f t="shared" si="54"/>
        <v>0</v>
      </c>
      <c r="V98">
        <f t="shared" si="44"/>
        <v>0</v>
      </c>
    </row>
    <row r="99" spans="1:22">
      <c r="A99" s="4"/>
      <c r="B99" s="5" t="s">
        <v>107</v>
      </c>
      <c r="C99" s="4" t="s">
        <v>55</v>
      </c>
      <c r="D99" s="6">
        <v>3</v>
      </c>
      <c r="E99" s="6">
        <f t="shared" si="45"/>
        <v>0</v>
      </c>
      <c r="F99" s="6">
        <f t="shared" si="46"/>
        <v>0</v>
      </c>
      <c r="G99" s="6">
        <f t="shared" si="47"/>
        <v>0</v>
      </c>
      <c r="H99" s="6">
        <f t="shared" si="48"/>
        <v>0</v>
      </c>
      <c r="I99" s="6">
        <f t="shared" si="49"/>
        <v>0</v>
      </c>
      <c r="J99" s="6">
        <f t="shared" si="50"/>
        <v>0</v>
      </c>
      <c r="K99" s="82"/>
      <c r="L99" s="24"/>
      <c r="N99" s="75"/>
      <c r="O99" s="76">
        <f t="shared" si="51"/>
        <v>1.149</v>
      </c>
      <c r="P99" s="77">
        <f t="shared" si="52"/>
        <v>0</v>
      </c>
      <c r="Q99" s="78">
        <f t="shared" si="43"/>
        <v>0</v>
      </c>
      <c r="R99" s="78"/>
      <c r="S99" s="79"/>
      <c r="T99" s="80">
        <f t="shared" si="53"/>
        <v>1.149</v>
      </c>
      <c r="U99" s="79">
        <f t="shared" si="54"/>
        <v>0</v>
      </c>
      <c r="V99">
        <f t="shared" si="44"/>
        <v>0</v>
      </c>
    </row>
    <row r="100" spans="1:22">
      <c r="A100" s="4"/>
      <c r="B100" s="5" t="s">
        <v>108</v>
      </c>
      <c r="C100" s="4" t="s">
        <v>55</v>
      </c>
      <c r="D100" s="6">
        <v>1</v>
      </c>
      <c r="E100" s="6">
        <f t="shared" si="45"/>
        <v>0</v>
      </c>
      <c r="F100" s="6">
        <f t="shared" si="46"/>
        <v>0</v>
      </c>
      <c r="G100" s="6">
        <f t="shared" si="47"/>
        <v>0</v>
      </c>
      <c r="H100" s="6">
        <f t="shared" si="48"/>
        <v>0</v>
      </c>
      <c r="I100" s="6">
        <f t="shared" si="49"/>
        <v>0</v>
      </c>
      <c r="J100" s="6">
        <f t="shared" si="50"/>
        <v>0</v>
      </c>
      <c r="K100" s="82"/>
      <c r="L100" s="24"/>
      <c r="N100" s="75"/>
      <c r="O100" s="76">
        <f t="shared" si="51"/>
        <v>1.149</v>
      </c>
      <c r="P100" s="77">
        <f t="shared" si="52"/>
        <v>0</v>
      </c>
      <c r="Q100" s="78">
        <f t="shared" si="43"/>
        <v>0</v>
      </c>
      <c r="R100" s="78"/>
      <c r="S100" s="79"/>
      <c r="T100" s="80">
        <f t="shared" si="53"/>
        <v>1.149</v>
      </c>
      <c r="U100" s="79">
        <f t="shared" si="54"/>
        <v>0</v>
      </c>
      <c r="V100">
        <f t="shared" si="44"/>
        <v>0</v>
      </c>
    </row>
    <row r="101" spans="1:22">
      <c r="A101" s="4"/>
      <c r="B101" s="5" t="s">
        <v>73</v>
      </c>
      <c r="C101" s="4" t="s">
        <v>55</v>
      </c>
      <c r="D101" s="6">
        <v>2</v>
      </c>
      <c r="E101" s="6">
        <f t="shared" si="45"/>
        <v>0</v>
      </c>
      <c r="F101" s="6">
        <f t="shared" si="46"/>
        <v>0</v>
      </c>
      <c r="G101" s="6">
        <f t="shared" si="47"/>
        <v>0</v>
      </c>
      <c r="H101" s="6">
        <f t="shared" si="48"/>
        <v>0</v>
      </c>
      <c r="I101" s="6">
        <f t="shared" si="49"/>
        <v>0</v>
      </c>
      <c r="J101" s="6">
        <f t="shared" si="50"/>
        <v>0</v>
      </c>
      <c r="K101" s="82"/>
      <c r="L101" s="24"/>
      <c r="N101" s="75"/>
      <c r="O101" s="76">
        <f t="shared" si="51"/>
        <v>1.149</v>
      </c>
      <c r="P101" s="77">
        <f t="shared" si="52"/>
        <v>0</v>
      </c>
      <c r="Q101" s="78">
        <f t="shared" si="43"/>
        <v>0</v>
      </c>
      <c r="R101" s="78"/>
      <c r="S101" s="79"/>
      <c r="T101" s="80">
        <f t="shared" si="53"/>
        <v>1.149</v>
      </c>
      <c r="U101" s="79">
        <f t="shared" si="54"/>
        <v>0</v>
      </c>
      <c r="V101">
        <f t="shared" si="44"/>
        <v>0</v>
      </c>
    </row>
    <row r="102" spans="1:22">
      <c r="A102" s="4"/>
      <c r="B102" s="5" t="s">
        <v>81</v>
      </c>
      <c r="C102" s="4" t="s">
        <v>55</v>
      </c>
      <c r="D102" s="6">
        <v>2</v>
      </c>
      <c r="E102" s="6">
        <f t="shared" si="45"/>
        <v>0</v>
      </c>
      <c r="F102" s="6">
        <f t="shared" si="46"/>
        <v>0</v>
      </c>
      <c r="G102" s="6">
        <f t="shared" si="47"/>
        <v>0</v>
      </c>
      <c r="H102" s="6">
        <f t="shared" si="48"/>
        <v>0</v>
      </c>
      <c r="I102" s="6">
        <f t="shared" si="49"/>
        <v>0</v>
      </c>
      <c r="J102" s="6">
        <f t="shared" si="50"/>
        <v>0</v>
      </c>
      <c r="K102" s="82"/>
      <c r="L102" s="24"/>
      <c r="N102" s="75"/>
      <c r="O102" s="76">
        <f t="shared" si="51"/>
        <v>1.149</v>
      </c>
      <c r="P102" s="77">
        <f t="shared" si="52"/>
        <v>0</v>
      </c>
      <c r="Q102" s="78">
        <f t="shared" si="43"/>
        <v>0</v>
      </c>
      <c r="R102" s="78"/>
      <c r="S102" s="79"/>
      <c r="T102" s="80">
        <f t="shared" si="53"/>
        <v>1.149</v>
      </c>
      <c r="U102" s="79">
        <f t="shared" si="54"/>
        <v>0</v>
      </c>
      <c r="V102">
        <f t="shared" si="44"/>
        <v>0</v>
      </c>
    </row>
    <row r="103" spans="1:22">
      <c r="A103" s="4"/>
      <c r="B103" s="5" t="s">
        <v>109</v>
      </c>
      <c r="C103" s="4" t="s">
        <v>55</v>
      </c>
      <c r="D103" s="6">
        <v>1</v>
      </c>
      <c r="E103" s="6">
        <f t="shared" si="45"/>
        <v>0</v>
      </c>
      <c r="F103" s="6">
        <f t="shared" si="46"/>
        <v>0</v>
      </c>
      <c r="G103" s="6">
        <f t="shared" si="47"/>
        <v>0</v>
      </c>
      <c r="H103" s="6">
        <f t="shared" si="48"/>
        <v>0</v>
      </c>
      <c r="I103" s="6">
        <f t="shared" si="49"/>
        <v>0</v>
      </c>
      <c r="J103" s="6">
        <f t="shared" si="50"/>
        <v>0</v>
      </c>
      <c r="K103" s="82"/>
      <c r="L103" s="24"/>
      <c r="N103" s="75"/>
      <c r="O103" s="76">
        <f t="shared" si="51"/>
        <v>1.149</v>
      </c>
      <c r="P103" s="77">
        <f t="shared" si="52"/>
        <v>0</v>
      </c>
      <c r="Q103" s="78">
        <f t="shared" si="43"/>
        <v>0</v>
      </c>
      <c r="R103" s="78"/>
      <c r="S103" s="79"/>
      <c r="T103" s="80">
        <f t="shared" si="53"/>
        <v>1.149</v>
      </c>
      <c r="U103" s="79">
        <f t="shared" si="54"/>
        <v>0</v>
      </c>
      <c r="V103">
        <f t="shared" si="44"/>
        <v>0</v>
      </c>
    </row>
    <row r="104" spans="1:22">
      <c r="A104" s="4"/>
      <c r="B104" s="5" t="s">
        <v>80</v>
      </c>
      <c r="C104" s="4" t="s">
        <v>55</v>
      </c>
      <c r="D104" s="6">
        <v>9</v>
      </c>
      <c r="E104" s="6">
        <f t="shared" si="45"/>
        <v>0</v>
      </c>
      <c r="F104" s="6">
        <f t="shared" si="46"/>
        <v>0</v>
      </c>
      <c r="G104" s="6">
        <f t="shared" si="47"/>
        <v>0</v>
      </c>
      <c r="H104" s="6">
        <f t="shared" si="48"/>
        <v>0</v>
      </c>
      <c r="I104" s="6">
        <f t="shared" si="49"/>
        <v>0</v>
      </c>
      <c r="J104" s="6">
        <f t="shared" si="50"/>
        <v>0</v>
      </c>
      <c r="K104" s="82"/>
      <c r="L104" s="24"/>
      <c r="N104" s="75"/>
      <c r="O104" s="76">
        <f t="shared" si="51"/>
        <v>1.149</v>
      </c>
      <c r="P104" s="77">
        <f t="shared" si="52"/>
        <v>0</v>
      </c>
      <c r="Q104" s="78">
        <f t="shared" si="43"/>
        <v>0</v>
      </c>
      <c r="R104" s="78"/>
      <c r="S104" s="79"/>
      <c r="T104" s="80">
        <f t="shared" si="53"/>
        <v>1.149</v>
      </c>
      <c r="U104" s="79">
        <f t="shared" si="54"/>
        <v>0</v>
      </c>
      <c r="V104">
        <f t="shared" si="44"/>
        <v>0</v>
      </c>
    </row>
    <row r="105" spans="1:22">
      <c r="A105" s="4"/>
      <c r="B105" s="5" t="s">
        <v>110</v>
      </c>
      <c r="C105" s="4" t="s">
        <v>55</v>
      </c>
      <c r="D105" s="6">
        <v>6</v>
      </c>
      <c r="E105" s="6">
        <f t="shared" si="45"/>
        <v>0</v>
      </c>
      <c r="F105" s="6">
        <f t="shared" si="46"/>
        <v>0</v>
      </c>
      <c r="G105" s="6">
        <f t="shared" si="47"/>
        <v>0</v>
      </c>
      <c r="H105" s="6">
        <f t="shared" si="48"/>
        <v>0</v>
      </c>
      <c r="I105" s="6">
        <f t="shared" si="49"/>
        <v>0</v>
      </c>
      <c r="J105" s="6">
        <f t="shared" si="50"/>
        <v>0</v>
      </c>
      <c r="K105" s="82"/>
      <c r="L105" s="24"/>
      <c r="N105" s="75"/>
      <c r="O105" s="76">
        <f t="shared" si="51"/>
        <v>1.149</v>
      </c>
      <c r="P105" s="77">
        <f t="shared" si="52"/>
        <v>0</v>
      </c>
      <c r="Q105" s="78">
        <f t="shared" si="43"/>
        <v>0</v>
      </c>
      <c r="R105" s="78"/>
      <c r="S105" s="79"/>
      <c r="T105" s="80">
        <f t="shared" si="53"/>
        <v>1.149</v>
      </c>
      <c r="U105" s="79">
        <f t="shared" si="54"/>
        <v>0</v>
      </c>
      <c r="V105">
        <f t="shared" si="44"/>
        <v>0</v>
      </c>
    </row>
    <row r="106" spans="1:22">
      <c r="A106" s="4"/>
      <c r="B106" s="5" t="s">
        <v>83</v>
      </c>
      <c r="C106" s="4" t="s">
        <v>55</v>
      </c>
      <c r="D106" s="6">
        <v>1</v>
      </c>
      <c r="E106" s="6">
        <f t="shared" si="45"/>
        <v>0</v>
      </c>
      <c r="F106" s="6">
        <f t="shared" si="46"/>
        <v>0</v>
      </c>
      <c r="G106" s="6">
        <f t="shared" si="47"/>
        <v>0</v>
      </c>
      <c r="H106" s="6">
        <f t="shared" si="48"/>
        <v>0</v>
      </c>
      <c r="I106" s="6">
        <f t="shared" si="49"/>
        <v>0</v>
      </c>
      <c r="J106" s="6">
        <f t="shared" si="50"/>
        <v>0</v>
      </c>
      <c r="K106" s="82"/>
      <c r="L106" s="24"/>
      <c r="N106" s="75"/>
      <c r="O106" s="76">
        <f t="shared" si="51"/>
        <v>1.149</v>
      </c>
      <c r="P106" s="77">
        <f t="shared" si="52"/>
        <v>0</v>
      </c>
      <c r="Q106" s="78">
        <f t="shared" si="43"/>
        <v>0</v>
      </c>
      <c r="R106" s="78"/>
      <c r="S106" s="79"/>
      <c r="T106" s="80">
        <f t="shared" si="53"/>
        <v>1.149</v>
      </c>
      <c r="U106" s="79">
        <f t="shared" si="54"/>
        <v>0</v>
      </c>
      <c r="V106">
        <f t="shared" si="44"/>
        <v>0</v>
      </c>
    </row>
    <row r="107" spans="1:22">
      <c r="A107" s="4"/>
      <c r="B107" s="5" t="s">
        <v>84</v>
      </c>
      <c r="C107" s="4" t="s">
        <v>55</v>
      </c>
      <c r="D107" s="6">
        <v>1</v>
      </c>
      <c r="E107" s="6">
        <f t="shared" si="45"/>
        <v>0</v>
      </c>
      <c r="F107" s="6">
        <f t="shared" si="46"/>
        <v>0</v>
      </c>
      <c r="G107" s="6">
        <f t="shared" si="47"/>
        <v>0</v>
      </c>
      <c r="H107" s="6">
        <f t="shared" si="48"/>
        <v>0</v>
      </c>
      <c r="I107" s="6">
        <f t="shared" si="49"/>
        <v>0</v>
      </c>
      <c r="J107" s="6">
        <f t="shared" si="50"/>
        <v>0</v>
      </c>
      <c r="K107" s="82"/>
      <c r="L107" s="24"/>
      <c r="N107" s="75"/>
      <c r="O107" s="76">
        <f t="shared" si="51"/>
        <v>1.149</v>
      </c>
      <c r="P107" s="77">
        <f t="shared" si="52"/>
        <v>0</v>
      </c>
      <c r="Q107" s="78">
        <f t="shared" si="43"/>
        <v>0</v>
      </c>
      <c r="R107" s="78"/>
      <c r="S107" s="79"/>
      <c r="T107" s="80">
        <f t="shared" si="53"/>
        <v>1.149</v>
      </c>
      <c r="U107" s="79">
        <f t="shared" si="54"/>
        <v>0</v>
      </c>
      <c r="V107">
        <f t="shared" si="44"/>
        <v>0</v>
      </c>
    </row>
    <row r="108" spans="1:22">
      <c r="A108" s="4"/>
      <c r="B108" s="5" t="s">
        <v>85</v>
      </c>
      <c r="C108" s="4" t="s">
        <v>55</v>
      </c>
      <c r="D108" s="6">
        <v>1</v>
      </c>
      <c r="E108" s="6">
        <f t="shared" si="45"/>
        <v>0</v>
      </c>
      <c r="F108" s="6">
        <f t="shared" si="46"/>
        <v>0</v>
      </c>
      <c r="G108" s="6">
        <f t="shared" si="47"/>
        <v>0</v>
      </c>
      <c r="H108" s="6">
        <f t="shared" si="48"/>
        <v>0</v>
      </c>
      <c r="I108" s="6">
        <f t="shared" si="49"/>
        <v>0</v>
      </c>
      <c r="J108" s="6">
        <f t="shared" si="50"/>
        <v>0</v>
      </c>
      <c r="K108" s="82"/>
      <c r="L108" s="24"/>
      <c r="N108" s="75"/>
      <c r="O108" s="76">
        <f t="shared" si="51"/>
        <v>1.149</v>
      </c>
      <c r="P108" s="77">
        <f t="shared" si="52"/>
        <v>0</v>
      </c>
      <c r="Q108" s="78">
        <f t="shared" si="43"/>
        <v>0</v>
      </c>
      <c r="R108" s="78"/>
      <c r="S108" s="79"/>
      <c r="T108" s="80">
        <f t="shared" si="53"/>
        <v>1.149</v>
      </c>
      <c r="U108" s="79">
        <f t="shared" si="54"/>
        <v>0</v>
      </c>
      <c r="V108">
        <f t="shared" si="44"/>
        <v>0</v>
      </c>
    </row>
    <row r="109" spans="1:22">
      <c r="A109" s="4"/>
      <c r="B109" s="5" t="s">
        <v>87</v>
      </c>
      <c r="C109" s="4" t="s">
        <v>55</v>
      </c>
      <c r="D109" s="6">
        <v>1</v>
      </c>
      <c r="E109" s="6">
        <f t="shared" si="45"/>
        <v>0</v>
      </c>
      <c r="F109" s="6">
        <f t="shared" si="46"/>
        <v>0</v>
      </c>
      <c r="G109" s="6">
        <f t="shared" si="47"/>
        <v>0</v>
      </c>
      <c r="H109" s="6">
        <f t="shared" si="48"/>
        <v>0</v>
      </c>
      <c r="I109" s="6">
        <f t="shared" si="49"/>
        <v>0</v>
      </c>
      <c r="J109" s="6">
        <f t="shared" si="50"/>
        <v>0</v>
      </c>
      <c r="K109" s="82"/>
      <c r="L109" s="24"/>
      <c r="N109" s="75"/>
      <c r="O109" s="76">
        <f t="shared" si="51"/>
        <v>1.149</v>
      </c>
      <c r="P109" s="77">
        <f t="shared" si="52"/>
        <v>0</v>
      </c>
      <c r="Q109" s="78">
        <f t="shared" si="43"/>
        <v>0</v>
      </c>
      <c r="R109" s="78"/>
      <c r="S109" s="79"/>
      <c r="T109" s="80">
        <f t="shared" si="53"/>
        <v>1.149</v>
      </c>
      <c r="U109" s="79">
        <f t="shared" si="54"/>
        <v>0</v>
      </c>
      <c r="V109">
        <f t="shared" si="44"/>
        <v>0</v>
      </c>
    </row>
    <row r="110" spans="1:22" ht="21.9">
      <c r="A110" s="4"/>
      <c r="B110" s="5" t="s">
        <v>111</v>
      </c>
      <c r="C110" s="4" t="s">
        <v>36</v>
      </c>
      <c r="D110" s="6">
        <v>1</v>
      </c>
      <c r="E110" s="6">
        <f t="shared" si="45"/>
        <v>0</v>
      </c>
      <c r="F110" s="6">
        <f t="shared" si="46"/>
        <v>0</v>
      </c>
      <c r="G110" s="6">
        <f t="shared" si="47"/>
        <v>0</v>
      </c>
      <c r="H110" s="6">
        <f t="shared" si="48"/>
        <v>0</v>
      </c>
      <c r="I110" s="6">
        <f t="shared" si="49"/>
        <v>0</v>
      </c>
      <c r="J110" s="6">
        <f t="shared" si="50"/>
        <v>0</v>
      </c>
      <c r="K110" s="82"/>
      <c r="L110" s="24"/>
      <c r="N110" s="75"/>
      <c r="O110" s="76">
        <f t="shared" si="51"/>
        <v>1.149</v>
      </c>
      <c r="P110" s="77">
        <f t="shared" si="52"/>
        <v>0</v>
      </c>
      <c r="Q110" s="78">
        <f t="shared" si="43"/>
        <v>0</v>
      </c>
      <c r="R110" s="78"/>
      <c r="S110" s="79"/>
      <c r="T110" s="80">
        <f t="shared" si="53"/>
        <v>1.149</v>
      </c>
      <c r="U110" s="79">
        <f t="shared" si="54"/>
        <v>0</v>
      </c>
      <c r="V110">
        <f t="shared" si="44"/>
        <v>0</v>
      </c>
    </row>
    <row r="111" spans="1:22">
      <c r="A111" s="4"/>
      <c r="B111" s="5" t="s">
        <v>92</v>
      </c>
      <c r="C111" s="4" t="s">
        <v>55</v>
      </c>
      <c r="D111" s="6">
        <v>3</v>
      </c>
      <c r="E111" s="6">
        <f t="shared" si="45"/>
        <v>0</v>
      </c>
      <c r="F111" s="6">
        <f t="shared" si="46"/>
        <v>0</v>
      </c>
      <c r="G111" s="6">
        <f t="shared" si="47"/>
        <v>0</v>
      </c>
      <c r="H111" s="6">
        <f t="shared" si="48"/>
        <v>0</v>
      </c>
      <c r="I111" s="6">
        <f t="shared" si="49"/>
        <v>0</v>
      </c>
      <c r="J111" s="6">
        <f t="shared" si="50"/>
        <v>0</v>
      </c>
      <c r="K111" s="82"/>
      <c r="L111" s="24"/>
      <c r="N111" s="75"/>
      <c r="O111" s="76">
        <f t="shared" si="51"/>
        <v>1.149</v>
      </c>
      <c r="P111" s="77">
        <f t="shared" si="52"/>
        <v>0</v>
      </c>
      <c r="Q111" s="78">
        <f t="shared" si="43"/>
        <v>0</v>
      </c>
      <c r="R111" s="78"/>
      <c r="S111" s="79"/>
      <c r="T111" s="80">
        <f t="shared" si="53"/>
        <v>1.149</v>
      </c>
      <c r="U111" s="79">
        <f t="shared" si="54"/>
        <v>0</v>
      </c>
      <c r="V111">
        <f t="shared" si="44"/>
        <v>0</v>
      </c>
    </row>
    <row r="112" spans="1:22">
      <c r="A112" s="4"/>
      <c r="B112" s="5" t="s">
        <v>91</v>
      </c>
      <c r="C112" s="4" t="s">
        <v>55</v>
      </c>
      <c r="D112" s="6">
        <v>2</v>
      </c>
      <c r="E112" s="6">
        <f t="shared" si="45"/>
        <v>0</v>
      </c>
      <c r="F112" s="6">
        <f t="shared" si="46"/>
        <v>0</v>
      </c>
      <c r="G112" s="6">
        <f t="shared" si="47"/>
        <v>0</v>
      </c>
      <c r="H112" s="6">
        <f t="shared" si="48"/>
        <v>0</v>
      </c>
      <c r="I112" s="6">
        <f t="shared" si="49"/>
        <v>0</v>
      </c>
      <c r="J112" s="6">
        <f t="shared" si="50"/>
        <v>0</v>
      </c>
      <c r="K112" s="82"/>
      <c r="L112" s="24"/>
      <c r="N112" s="75"/>
      <c r="O112" s="76">
        <f t="shared" si="51"/>
        <v>1.149</v>
      </c>
      <c r="P112" s="77">
        <f t="shared" si="52"/>
        <v>0</v>
      </c>
      <c r="Q112" s="78">
        <f t="shared" si="43"/>
        <v>0</v>
      </c>
      <c r="R112" s="78"/>
      <c r="S112" s="79"/>
      <c r="T112" s="80">
        <f t="shared" si="53"/>
        <v>1.149</v>
      </c>
      <c r="U112" s="79">
        <f t="shared" si="54"/>
        <v>0</v>
      </c>
      <c r="V112">
        <f t="shared" si="44"/>
        <v>0</v>
      </c>
    </row>
    <row r="113" spans="1:22">
      <c r="A113" s="4"/>
      <c r="B113" s="5" t="s">
        <v>90</v>
      </c>
      <c r="C113" s="4" t="s">
        <v>55</v>
      </c>
      <c r="D113" s="6">
        <v>1</v>
      </c>
      <c r="E113" s="6">
        <f t="shared" si="45"/>
        <v>0</v>
      </c>
      <c r="F113" s="6">
        <f t="shared" si="46"/>
        <v>0</v>
      </c>
      <c r="G113" s="6">
        <f t="shared" si="47"/>
        <v>0</v>
      </c>
      <c r="H113" s="6">
        <f t="shared" si="48"/>
        <v>0</v>
      </c>
      <c r="I113" s="6">
        <f t="shared" si="49"/>
        <v>0</v>
      </c>
      <c r="J113" s="6">
        <f t="shared" si="50"/>
        <v>0</v>
      </c>
      <c r="K113" s="82"/>
      <c r="L113" s="24"/>
      <c r="N113" s="75"/>
      <c r="O113" s="76">
        <f t="shared" si="51"/>
        <v>1.149</v>
      </c>
      <c r="P113" s="77">
        <f t="shared" si="52"/>
        <v>0</v>
      </c>
      <c r="Q113" s="78">
        <f t="shared" si="43"/>
        <v>0</v>
      </c>
      <c r="R113" s="78"/>
      <c r="S113" s="79"/>
      <c r="T113" s="80">
        <f t="shared" si="53"/>
        <v>1.149</v>
      </c>
      <c r="U113" s="79">
        <f t="shared" si="54"/>
        <v>0</v>
      </c>
      <c r="V113">
        <f t="shared" si="44"/>
        <v>0</v>
      </c>
    </row>
    <row r="114" spans="1:22">
      <c r="A114" s="4"/>
      <c r="B114" s="5" t="s">
        <v>93</v>
      </c>
      <c r="C114" s="4" t="s">
        <v>36</v>
      </c>
      <c r="D114" s="6">
        <v>2</v>
      </c>
      <c r="E114" s="6">
        <f t="shared" si="45"/>
        <v>0</v>
      </c>
      <c r="F114" s="6">
        <f t="shared" si="46"/>
        <v>0</v>
      </c>
      <c r="G114" s="6">
        <f t="shared" si="47"/>
        <v>0</v>
      </c>
      <c r="H114" s="6">
        <f t="shared" si="48"/>
        <v>0</v>
      </c>
      <c r="I114" s="6">
        <f t="shared" si="49"/>
        <v>0</v>
      </c>
      <c r="J114" s="6">
        <f t="shared" si="50"/>
        <v>0</v>
      </c>
      <c r="K114" s="82"/>
      <c r="L114" s="24"/>
      <c r="N114" s="75"/>
      <c r="O114" s="76">
        <f t="shared" si="51"/>
        <v>1.149</v>
      </c>
      <c r="P114" s="77">
        <f t="shared" si="52"/>
        <v>0</v>
      </c>
      <c r="Q114" s="78">
        <f t="shared" si="43"/>
        <v>0</v>
      </c>
      <c r="R114" s="78"/>
      <c r="S114" s="79"/>
      <c r="T114" s="80">
        <f t="shared" si="53"/>
        <v>1.149</v>
      </c>
      <c r="U114" s="79">
        <f t="shared" si="54"/>
        <v>0</v>
      </c>
      <c r="V114">
        <f t="shared" si="44"/>
        <v>0</v>
      </c>
    </row>
    <row r="115" spans="1:22">
      <c r="A115" s="4"/>
      <c r="B115" s="5" t="s">
        <v>94</v>
      </c>
      <c r="C115" s="4" t="s">
        <v>36</v>
      </c>
      <c r="D115" s="6">
        <v>2</v>
      </c>
      <c r="E115" s="6">
        <f t="shared" si="45"/>
        <v>0</v>
      </c>
      <c r="F115" s="6">
        <f t="shared" si="46"/>
        <v>0</v>
      </c>
      <c r="G115" s="6">
        <f t="shared" si="47"/>
        <v>0</v>
      </c>
      <c r="H115" s="6">
        <f t="shared" si="48"/>
        <v>0</v>
      </c>
      <c r="I115" s="6">
        <f t="shared" si="49"/>
        <v>0</v>
      </c>
      <c r="J115" s="6">
        <f t="shared" si="50"/>
        <v>0</v>
      </c>
      <c r="K115" s="82"/>
      <c r="L115" s="24"/>
      <c r="N115" s="75"/>
      <c r="O115" s="76">
        <f t="shared" si="51"/>
        <v>1.149</v>
      </c>
      <c r="P115" s="77">
        <f t="shared" si="52"/>
        <v>0</v>
      </c>
      <c r="Q115" s="78">
        <f t="shared" si="43"/>
        <v>0</v>
      </c>
      <c r="R115" s="78"/>
      <c r="S115" s="79"/>
      <c r="T115" s="80">
        <f t="shared" si="53"/>
        <v>1.149</v>
      </c>
      <c r="U115" s="79">
        <f t="shared" si="54"/>
        <v>0</v>
      </c>
      <c r="V115">
        <f t="shared" si="44"/>
        <v>0</v>
      </c>
    </row>
    <row r="116" spans="1:22">
      <c r="A116" s="4"/>
      <c r="B116" s="5" t="s">
        <v>95</v>
      </c>
      <c r="C116" s="4" t="s">
        <v>96</v>
      </c>
      <c r="D116" s="6">
        <v>1</v>
      </c>
      <c r="E116" s="6">
        <f t="shared" si="45"/>
        <v>0</v>
      </c>
      <c r="F116" s="6">
        <f t="shared" si="46"/>
        <v>0</v>
      </c>
      <c r="G116" s="6">
        <f t="shared" si="47"/>
        <v>0</v>
      </c>
      <c r="H116" s="6">
        <f t="shared" si="48"/>
        <v>0</v>
      </c>
      <c r="I116" s="6">
        <f t="shared" si="49"/>
        <v>0</v>
      </c>
      <c r="J116" s="6">
        <f t="shared" si="50"/>
        <v>0</v>
      </c>
      <c r="K116" s="82"/>
      <c r="L116" s="24"/>
      <c r="N116" s="75"/>
      <c r="O116" s="76">
        <f t="shared" si="51"/>
        <v>1.149</v>
      </c>
      <c r="P116" s="77">
        <f t="shared" si="52"/>
        <v>0</v>
      </c>
      <c r="Q116" s="78">
        <f t="shared" si="43"/>
        <v>0</v>
      </c>
      <c r="R116" s="78"/>
      <c r="S116" s="79"/>
      <c r="T116" s="80">
        <f t="shared" si="53"/>
        <v>1.149</v>
      </c>
      <c r="U116" s="79">
        <f t="shared" si="54"/>
        <v>0</v>
      </c>
      <c r="V116">
        <f t="shared" si="44"/>
        <v>0</v>
      </c>
    </row>
    <row r="117" spans="1:22">
      <c r="A117" s="4"/>
      <c r="B117" s="5" t="s">
        <v>26</v>
      </c>
      <c r="C117" s="4" t="s">
        <v>26</v>
      </c>
      <c r="D117" s="6"/>
      <c r="E117" s="6"/>
      <c r="F117" s="6"/>
      <c r="G117" s="6"/>
      <c r="H117" s="6"/>
      <c r="I117" s="6"/>
      <c r="J117" s="6"/>
      <c r="K117" s="82"/>
      <c r="L117" s="24"/>
      <c r="Q117" s="78">
        <f t="shared" si="43"/>
        <v>0</v>
      </c>
      <c r="V117">
        <f t="shared" si="44"/>
        <v>0</v>
      </c>
    </row>
    <row r="118" spans="1:22">
      <c r="A118" s="13"/>
      <c r="B118" s="14" t="s">
        <v>112</v>
      </c>
      <c r="C118" s="13" t="s">
        <v>26</v>
      </c>
      <c r="D118" s="15"/>
      <c r="E118" s="15"/>
      <c r="F118" s="15">
        <f>SUM(F84:F117)</f>
        <v>80694.27</v>
      </c>
      <c r="G118" s="15"/>
      <c r="H118" s="15">
        <f>SUM(H84:H117)</f>
        <v>16945.796699999999</v>
      </c>
      <c r="I118" s="15"/>
      <c r="J118" s="15">
        <f>SUM(J84:J117)</f>
        <v>97640.066699999996</v>
      </c>
      <c r="K118" s="82"/>
      <c r="L118" s="24"/>
      <c r="Q118" s="78">
        <f t="shared" si="43"/>
        <v>0</v>
      </c>
      <c r="V118">
        <f t="shared" si="44"/>
        <v>0</v>
      </c>
    </row>
    <row r="119" spans="1:22" s="153" customFormat="1">
      <c r="A119" s="148"/>
      <c r="B119" s="149"/>
      <c r="C119" s="148"/>
      <c r="D119" s="150"/>
      <c r="E119" s="150"/>
      <c r="F119" s="150"/>
      <c r="G119" s="150"/>
      <c r="H119" s="150"/>
      <c r="I119" s="150"/>
      <c r="J119" s="150"/>
      <c r="K119" s="151"/>
      <c r="L119" s="152"/>
      <c r="Q119" s="78">
        <f t="shared" si="43"/>
        <v>0</v>
      </c>
      <c r="V119">
        <f t="shared" si="44"/>
        <v>0</v>
      </c>
    </row>
    <row r="120" spans="1:22">
      <c r="A120" s="13"/>
      <c r="B120" s="14" t="s">
        <v>113</v>
      </c>
      <c r="C120" s="13" t="s">
        <v>26</v>
      </c>
      <c r="D120" s="15"/>
      <c r="E120" s="15"/>
      <c r="F120" s="15"/>
      <c r="G120" s="15"/>
      <c r="H120" s="15"/>
      <c r="I120" s="15"/>
      <c r="J120" s="15"/>
      <c r="K120" s="82"/>
      <c r="L120" s="24"/>
      <c r="Q120" s="78">
        <f t="shared" si="43"/>
        <v>0</v>
      </c>
      <c r="V120">
        <f t="shared" si="44"/>
        <v>0</v>
      </c>
    </row>
    <row r="121" spans="1:22">
      <c r="A121" s="4"/>
      <c r="B121" s="5" t="s">
        <v>26</v>
      </c>
      <c r="C121" s="4" t="s">
        <v>26</v>
      </c>
      <c r="D121" s="6"/>
      <c r="E121" s="6"/>
      <c r="F121" s="6"/>
      <c r="G121" s="6"/>
      <c r="H121" s="6"/>
      <c r="I121" s="6"/>
      <c r="J121" s="6"/>
      <c r="K121" s="82"/>
      <c r="L121" s="24"/>
      <c r="Q121" s="78">
        <f t="shared" si="43"/>
        <v>0</v>
      </c>
      <c r="V121">
        <f t="shared" si="44"/>
        <v>0</v>
      </c>
    </row>
    <row r="122" spans="1:22">
      <c r="A122" s="19"/>
      <c r="B122" s="20" t="s">
        <v>114</v>
      </c>
      <c r="C122" s="19" t="s">
        <v>26</v>
      </c>
      <c r="D122" s="21"/>
      <c r="E122" s="21"/>
      <c r="F122" s="21"/>
      <c r="G122" s="21"/>
      <c r="H122" s="21"/>
      <c r="I122" s="21"/>
      <c r="J122" s="21"/>
      <c r="K122" s="82"/>
      <c r="L122" s="24"/>
      <c r="Q122" s="78">
        <f t="shared" si="43"/>
        <v>0</v>
      </c>
      <c r="V122">
        <f t="shared" si="44"/>
        <v>0</v>
      </c>
    </row>
    <row r="123" spans="1:22">
      <c r="A123" s="4"/>
      <c r="B123" s="5" t="s">
        <v>115</v>
      </c>
      <c r="C123" s="4" t="s">
        <v>36</v>
      </c>
      <c r="D123" s="6">
        <v>2</v>
      </c>
      <c r="E123" s="6">
        <f t="shared" ref="E123:E128" si="55">SUM(P123)</f>
        <v>2402.3231526315794</v>
      </c>
      <c r="F123" s="6">
        <f t="shared" ref="F123:F128" si="56">D123*E123</f>
        <v>4804.6463052631589</v>
      </c>
      <c r="G123" s="6">
        <f t="shared" ref="G123:G128" si="57">SUM(U123)</f>
        <v>402.15000000000003</v>
      </c>
      <c r="H123" s="6">
        <f t="shared" ref="H123:H128" si="58">D123*G123</f>
        <v>804.30000000000007</v>
      </c>
      <c r="I123" s="6">
        <f t="shared" ref="I123:I128" si="59">E123+G123</f>
        <v>2804.4731526315795</v>
      </c>
      <c r="J123" s="6">
        <f t="shared" ref="J123:J128" si="60">F123+H123</f>
        <v>5608.946305263159</v>
      </c>
      <c r="K123" s="82"/>
      <c r="L123" s="24"/>
      <c r="N123" s="75">
        <f>SUM([2]SIL!$U$12:$V$12)</f>
        <v>2090.7947368421055</v>
      </c>
      <c r="O123" s="76">
        <f t="shared" ref="O123:O128" si="61">$O$1</f>
        <v>1.149</v>
      </c>
      <c r="P123" s="77">
        <f t="shared" ref="P123:P128" si="62">SUM(O123*N123)</f>
        <v>2402.3231526315794</v>
      </c>
      <c r="Q123" s="78">
        <f t="shared" si="43"/>
        <v>4181.589473684211</v>
      </c>
      <c r="R123" s="78"/>
      <c r="S123" s="79">
        <v>350</v>
      </c>
      <c r="T123" s="80">
        <f t="shared" ref="T123:T128" si="63">$T$1</f>
        <v>1.149</v>
      </c>
      <c r="U123" s="79">
        <f t="shared" ref="U123:U128" si="64">SUM(T123*S123)</f>
        <v>402.15000000000003</v>
      </c>
      <c r="V123">
        <f t="shared" si="44"/>
        <v>700</v>
      </c>
    </row>
    <row r="124" spans="1:22">
      <c r="A124" s="4"/>
      <c r="B124" s="5" t="s">
        <v>116</v>
      </c>
      <c r="C124" s="4" t="s">
        <v>36</v>
      </c>
      <c r="D124" s="6">
        <v>1</v>
      </c>
      <c r="E124" s="6">
        <f t="shared" si="55"/>
        <v>1870.1547315789476</v>
      </c>
      <c r="F124" s="6">
        <f t="shared" si="56"/>
        <v>1870.1547315789476</v>
      </c>
      <c r="G124" s="6">
        <f t="shared" si="57"/>
        <v>402.15000000000003</v>
      </c>
      <c r="H124" s="6">
        <f t="shared" si="58"/>
        <v>402.15000000000003</v>
      </c>
      <c r="I124" s="6">
        <f t="shared" si="59"/>
        <v>2272.3047315789477</v>
      </c>
      <c r="J124" s="6">
        <f t="shared" si="60"/>
        <v>2272.3047315789477</v>
      </c>
      <c r="K124" s="82"/>
      <c r="L124" s="24"/>
      <c r="N124" s="75">
        <f>SUM([2]SIL!$U$13:$V$13)</f>
        <v>1627.6368421052632</v>
      </c>
      <c r="O124" s="76">
        <f t="shared" si="61"/>
        <v>1.149</v>
      </c>
      <c r="P124" s="77">
        <f t="shared" si="62"/>
        <v>1870.1547315789476</v>
      </c>
      <c r="Q124" s="78">
        <f t="shared" si="43"/>
        <v>1627.6368421052632</v>
      </c>
      <c r="R124" s="78"/>
      <c r="S124" s="79">
        <v>350</v>
      </c>
      <c r="T124" s="80">
        <f t="shared" si="63"/>
        <v>1.149</v>
      </c>
      <c r="U124" s="79">
        <f t="shared" si="64"/>
        <v>402.15000000000003</v>
      </c>
      <c r="V124">
        <f t="shared" si="44"/>
        <v>350</v>
      </c>
    </row>
    <row r="125" spans="1:22">
      <c r="A125" s="4"/>
      <c r="B125" s="5" t="s">
        <v>117</v>
      </c>
      <c r="C125" s="4" t="s">
        <v>36</v>
      </c>
      <c r="D125" s="6">
        <v>2</v>
      </c>
      <c r="E125" s="6">
        <f t="shared" si="55"/>
        <v>1706.8757842105265</v>
      </c>
      <c r="F125" s="6">
        <f t="shared" si="56"/>
        <v>3413.751568421053</v>
      </c>
      <c r="G125" s="6">
        <f t="shared" si="57"/>
        <v>402.15000000000003</v>
      </c>
      <c r="H125" s="6">
        <f t="shared" si="58"/>
        <v>804.30000000000007</v>
      </c>
      <c r="I125" s="6">
        <f t="shared" si="59"/>
        <v>2109.0257842105266</v>
      </c>
      <c r="J125" s="6">
        <f t="shared" si="60"/>
        <v>4218.0515684210532</v>
      </c>
      <c r="K125" s="82"/>
      <c r="L125" s="24"/>
      <c r="N125" s="75">
        <f>SUM([2]SIL!$U$14:$V$14)</f>
        <v>1485.5315789473686</v>
      </c>
      <c r="O125" s="76">
        <f t="shared" si="61"/>
        <v>1.149</v>
      </c>
      <c r="P125" s="77">
        <f t="shared" si="62"/>
        <v>1706.8757842105265</v>
      </c>
      <c r="Q125" s="78">
        <f t="shared" si="43"/>
        <v>2971.0631578947373</v>
      </c>
      <c r="R125" s="78"/>
      <c r="S125" s="79">
        <v>350</v>
      </c>
      <c r="T125" s="80">
        <f t="shared" si="63"/>
        <v>1.149</v>
      </c>
      <c r="U125" s="79">
        <f t="shared" si="64"/>
        <v>402.15000000000003</v>
      </c>
      <c r="V125">
        <f t="shared" si="44"/>
        <v>700</v>
      </c>
    </row>
    <row r="126" spans="1:22">
      <c r="A126" s="4"/>
      <c r="B126" s="5" t="s">
        <v>118</v>
      </c>
      <c r="C126" s="4" t="s">
        <v>36</v>
      </c>
      <c r="D126" s="6">
        <v>5</v>
      </c>
      <c r="E126" s="6">
        <f t="shared" si="55"/>
        <v>1845.5056578947369</v>
      </c>
      <c r="F126" s="6">
        <f t="shared" si="56"/>
        <v>9227.5282894736847</v>
      </c>
      <c r="G126" s="6">
        <f t="shared" si="57"/>
        <v>402.15000000000003</v>
      </c>
      <c r="H126" s="6">
        <f t="shared" si="58"/>
        <v>2010.7500000000002</v>
      </c>
      <c r="I126" s="6">
        <f t="shared" si="59"/>
        <v>2247.655657894737</v>
      </c>
      <c r="J126" s="6">
        <f t="shared" si="60"/>
        <v>11238.278289473685</v>
      </c>
      <c r="K126" s="82"/>
      <c r="L126" s="24"/>
      <c r="N126" s="75">
        <f>SUM([2]SIL!$U$15:$V$15)</f>
        <v>1606.1842105263158</v>
      </c>
      <c r="O126" s="76">
        <f t="shared" si="61"/>
        <v>1.149</v>
      </c>
      <c r="P126" s="77">
        <f t="shared" si="62"/>
        <v>1845.5056578947369</v>
      </c>
      <c r="Q126" s="78">
        <f t="shared" si="43"/>
        <v>8030.9210526315792</v>
      </c>
      <c r="R126" s="78"/>
      <c r="S126" s="79">
        <v>350</v>
      </c>
      <c r="T126" s="80">
        <f t="shared" si="63"/>
        <v>1.149</v>
      </c>
      <c r="U126" s="79">
        <f t="shared" si="64"/>
        <v>402.15000000000003</v>
      </c>
      <c r="V126">
        <f t="shared" si="44"/>
        <v>1750</v>
      </c>
    </row>
    <row r="127" spans="1:22" ht="21.9">
      <c r="A127" s="4"/>
      <c r="B127" s="5" t="s">
        <v>119</v>
      </c>
      <c r="C127" s="4" t="s">
        <v>36</v>
      </c>
      <c r="D127" s="6">
        <v>1</v>
      </c>
      <c r="E127" s="6">
        <f t="shared" si="55"/>
        <v>3646.6550778947376</v>
      </c>
      <c r="F127" s="6">
        <f t="shared" si="56"/>
        <v>3646.6550778947376</v>
      </c>
      <c r="G127" s="6">
        <f t="shared" si="57"/>
        <v>631.95000000000005</v>
      </c>
      <c r="H127" s="6">
        <f t="shared" si="58"/>
        <v>631.95000000000005</v>
      </c>
      <c r="I127" s="6">
        <f t="shared" si="59"/>
        <v>4278.6050778947374</v>
      </c>
      <c r="J127" s="6">
        <f t="shared" si="60"/>
        <v>4278.6050778947374</v>
      </c>
      <c r="K127" s="82"/>
      <c r="L127" s="24"/>
      <c r="N127" s="75">
        <f>SUM([2]SIL!$U$16:$V$16)</f>
        <v>3173.7642105263162</v>
      </c>
      <c r="O127" s="76">
        <f t="shared" si="61"/>
        <v>1.149</v>
      </c>
      <c r="P127" s="77">
        <f t="shared" si="62"/>
        <v>3646.6550778947376</v>
      </c>
      <c r="Q127" s="78">
        <f t="shared" si="43"/>
        <v>3173.7642105263162</v>
      </c>
      <c r="R127" s="78"/>
      <c r="S127" s="79">
        <v>550</v>
      </c>
      <c r="T127" s="80">
        <f t="shared" si="63"/>
        <v>1.149</v>
      </c>
      <c r="U127" s="79">
        <f t="shared" si="64"/>
        <v>631.95000000000005</v>
      </c>
      <c r="V127">
        <f t="shared" si="44"/>
        <v>550</v>
      </c>
    </row>
    <row r="128" spans="1:22">
      <c r="A128" s="4"/>
      <c r="B128" s="5" t="s">
        <v>120</v>
      </c>
      <c r="C128" s="4" t="s">
        <v>36</v>
      </c>
      <c r="D128" s="6">
        <v>1</v>
      </c>
      <c r="E128" s="6">
        <f t="shared" si="55"/>
        <v>202.34494736842109</v>
      </c>
      <c r="F128" s="6">
        <f t="shared" si="56"/>
        <v>202.34494736842109</v>
      </c>
      <c r="G128" s="6">
        <f t="shared" si="57"/>
        <v>517.04999999999995</v>
      </c>
      <c r="H128" s="6">
        <f t="shared" si="58"/>
        <v>517.04999999999995</v>
      </c>
      <c r="I128" s="6">
        <f t="shared" si="59"/>
        <v>719.39494736842107</v>
      </c>
      <c r="J128" s="6">
        <f t="shared" si="60"/>
        <v>719.39494736842107</v>
      </c>
      <c r="K128" s="82"/>
      <c r="L128" s="24"/>
      <c r="N128" s="75">
        <v>176.10526315789477</v>
      </c>
      <c r="O128" s="76">
        <f t="shared" si="61"/>
        <v>1.149</v>
      </c>
      <c r="P128" s="77">
        <f t="shared" si="62"/>
        <v>202.34494736842109</v>
      </c>
      <c r="Q128" s="78">
        <f t="shared" si="43"/>
        <v>176.10526315789477</v>
      </c>
      <c r="R128" s="78"/>
      <c r="S128" s="79">
        <v>450</v>
      </c>
      <c r="T128" s="80">
        <f t="shared" si="63"/>
        <v>1.149</v>
      </c>
      <c r="U128" s="79">
        <f t="shared" si="64"/>
        <v>517.04999999999995</v>
      </c>
      <c r="V128">
        <f t="shared" si="44"/>
        <v>450</v>
      </c>
    </row>
    <row r="129" spans="1:22">
      <c r="A129" s="19"/>
      <c r="B129" s="20" t="s">
        <v>121</v>
      </c>
      <c r="C129" s="19" t="s">
        <v>26</v>
      </c>
      <c r="D129" s="21"/>
      <c r="E129" s="21"/>
      <c r="F129" s="21"/>
      <c r="G129" s="21"/>
      <c r="H129" s="21"/>
      <c r="I129" s="21"/>
      <c r="J129" s="21"/>
      <c r="K129" s="82"/>
      <c r="L129" s="24"/>
      <c r="Q129" s="78">
        <f t="shared" si="43"/>
        <v>0</v>
      </c>
      <c r="V129">
        <f t="shared" si="44"/>
        <v>0</v>
      </c>
    </row>
    <row r="130" spans="1:22">
      <c r="A130" s="4"/>
      <c r="B130" s="5" t="s">
        <v>122</v>
      </c>
      <c r="C130" s="4" t="s">
        <v>36</v>
      </c>
      <c r="D130" s="6">
        <v>30</v>
      </c>
      <c r="E130" s="6">
        <f>SUM(P130)</f>
        <v>4150.3924010526325</v>
      </c>
      <c r="F130" s="6">
        <f t="shared" ref="F130" si="65">D130*E130</f>
        <v>124511.77203157898</v>
      </c>
      <c r="G130" s="6">
        <f>SUM(U130)</f>
        <v>482.58</v>
      </c>
      <c r="H130" s="6">
        <f t="shared" ref="H130" si="66">D130*G130</f>
        <v>14477.4</v>
      </c>
      <c r="I130" s="6">
        <f t="shared" ref="I130" si="67">E130+G130</f>
        <v>4632.9724010526324</v>
      </c>
      <c r="J130" s="6">
        <f t="shared" ref="J130" si="68">F130+H130</f>
        <v>138989.17203157899</v>
      </c>
      <c r="K130" s="82"/>
      <c r="L130" s="24"/>
      <c r="N130" s="75">
        <f>SUM([3]SIL!$U$19:$V$19)</f>
        <v>3612.1778947368425</v>
      </c>
      <c r="O130" s="76">
        <f>$O$1</f>
        <v>1.149</v>
      </c>
      <c r="P130" s="77">
        <f>SUM(O130*N130)</f>
        <v>4150.3924010526325</v>
      </c>
      <c r="Q130" s="78">
        <f t="shared" si="43"/>
        <v>108365.33684210527</v>
      </c>
      <c r="R130" s="78"/>
      <c r="S130" s="79">
        <v>420</v>
      </c>
      <c r="T130" s="80">
        <f>$T$1</f>
        <v>1.149</v>
      </c>
      <c r="U130" s="79">
        <f>SUM(T130*S130)</f>
        <v>482.58</v>
      </c>
      <c r="V130">
        <f t="shared" si="44"/>
        <v>12600</v>
      </c>
    </row>
    <row r="131" spans="1:22">
      <c r="A131" s="19"/>
      <c r="B131" s="20" t="s">
        <v>123</v>
      </c>
      <c r="C131" s="19" t="s">
        <v>26</v>
      </c>
      <c r="D131" s="21"/>
      <c r="E131" s="21"/>
      <c r="F131" s="21"/>
      <c r="G131" s="21"/>
      <c r="H131" s="21"/>
      <c r="I131" s="21"/>
      <c r="J131" s="21"/>
      <c r="K131" s="82"/>
      <c r="L131" s="24"/>
      <c r="Q131" s="78">
        <f t="shared" si="43"/>
        <v>0</v>
      </c>
      <c r="V131">
        <f t="shared" si="44"/>
        <v>0</v>
      </c>
    </row>
    <row r="132" spans="1:22">
      <c r="A132" s="4"/>
      <c r="B132" s="5" t="s">
        <v>124</v>
      </c>
      <c r="C132" s="4" t="s">
        <v>36</v>
      </c>
      <c r="D132" s="6">
        <v>4</v>
      </c>
      <c r="E132" s="6">
        <f>SUM(P132)</f>
        <v>6955.5186694736849</v>
      </c>
      <c r="F132" s="6">
        <f t="shared" ref="F132" si="69">D132*E132</f>
        <v>27822.07467789474</v>
      </c>
      <c r="G132" s="6">
        <f>SUM(U132)</f>
        <v>252.78</v>
      </c>
      <c r="H132" s="6">
        <f t="shared" ref="H132" si="70">D132*G132</f>
        <v>1011.12</v>
      </c>
      <c r="I132" s="6">
        <f t="shared" ref="I132" si="71">E132+G132</f>
        <v>7208.2986694736846</v>
      </c>
      <c r="J132" s="6">
        <f t="shared" ref="J132" si="72">F132+H132</f>
        <v>28833.194677894739</v>
      </c>
      <c r="K132" s="82"/>
      <c r="L132" s="24"/>
      <c r="N132" s="75">
        <v>6053.5410526315791</v>
      </c>
      <c r="O132" s="76">
        <f>$O$1</f>
        <v>1.149</v>
      </c>
      <c r="P132" s="77">
        <f>SUM(O132*N132)</f>
        <v>6955.5186694736849</v>
      </c>
      <c r="Q132" s="78">
        <f t="shared" si="43"/>
        <v>24214.164210526316</v>
      </c>
      <c r="R132" s="78"/>
      <c r="S132" s="79">
        <v>220</v>
      </c>
      <c r="T132" s="80">
        <f>$T$1</f>
        <v>1.149</v>
      </c>
      <c r="U132" s="79">
        <f>SUM(T132*S132)</f>
        <v>252.78</v>
      </c>
      <c r="V132">
        <f t="shared" si="44"/>
        <v>880</v>
      </c>
    </row>
    <row r="133" spans="1:22">
      <c r="A133" s="19"/>
      <c r="B133" s="20" t="s">
        <v>125</v>
      </c>
      <c r="C133" s="19" t="s">
        <v>26</v>
      </c>
      <c r="D133" s="21"/>
      <c r="E133" s="21"/>
      <c r="F133" s="21"/>
      <c r="G133" s="21"/>
      <c r="H133" s="21"/>
      <c r="I133" s="21"/>
      <c r="J133" s="21"/>
      <c r="K133" s="82"/>
      <c r="L133" s="24"/>
      <c r="Q133" s="78">
        <f t="shared" si="43"/>
        <v>0</v>
      </c>
      <c r="V133">
        <f t="shared" si="44"/>
        <v>0</v>
      </c>
    </row>
    <row r="134" spans="1:22">
      <c r="A134" s="4"/>
      <c r="B134" s="5" t="s">
        <v>126</v>
      </c>
      <c r="C134" s="4" t="s">
        <v>36</v>
      </c>
      <c r="D134" s="6">
        <v>1</v>
      </c>
      <c r="E134" s="6">
        <f t="shared" ref="E134:E137" si="73">SUM(P134)</f>
        <v>598.26615789473692</v>
      </c>
      <c r="F134" s="6">
        <f t="shared" ref="F134:F137" si="74">D134*E134</f>
        <v>598.26615789473692</v>
      </c>
      <c r="G134" s="6">
        <f t="shared" ref="G134:G137" si="75">SUM(U134)</f>
        <v>574.5</v>
      </c>
      <c r="H134" s="6">
        <f t="shared" ref="H134:H137" si="76">D134*G134</f>
        <v>574.5</v>
      </c>
      <c r="I134" s="6">
        <f t="shared" ref="I134:I137" si="77">E134+G134</f>
        <v>1172.7661578947368</v>
      </c>
      <c r="J134" s="6">
        <f t="shared" ref="J134:J137" si="78">F134+H134</f>
        <v>1172.7661578947368</v>
      </c>
      <c r="K134" s="82"/>
      <c r="L134" s="24"/>
      <c r="N134" s="75">
        <v>520.68421052631584</v>
      </c>
      <c r="O134" s="76">
        <f t="shared" ref="O134:O137" si="79">$O$1</f>
        <v>1.149</v>
      </c>
      <c r="P134" s="77">
        <f t="shared" ref="P134:P137" si="80">SUM(O134*N134)</f>
        <v>598.26615789473692</v>
      </c>
      <c r="Q134" s="78">
        <f t="shared" si="43"/>
        <v>520.68421052631584</v>
      </c>
      <c r="R134" s="78"/>
      <c r="S134" s="79">
        <v>500</v>
      </c>
      <c r="T134" s="80">
        <f t="shared" ref="T134:T137" si="81">$T$1</f>
        <v>1.149</v>
      </c>
      <c r="U134" s="79">
        <f t="shared" ref="U134:U137" si="82">SUM(T134*S134)</f>
        <v>574.5</v>
      </c>
      <c r="V134">
        <f t="shared" si="44"/>
        <v>500</v>
      </c>
    </row>
    <row r="135" spans="1:22">
      <c r="A135" s="4"/>
      <c r="B135" s="5" t="s">
        <v>127</v>
      </c>
      <c r="C135" s="4" t="s">
        <v>36</v>
      </c>
      <c r="D135" s="6">
        <v>1</v>
      </c>
      <c r="E135" s="6">
        <f t="shared" si="73"/>
        <v>1364.770105263158</v>
      </c>
      <c r="F135" s="6">
        <f t="shared" si="74"/>
        <v>1364.770105263158</v>
      </c>
      <c r="G135" s="6">
        <f t="shared" si="75"/>
        <v>804.30000000000007</v>
      </c>
      <c r="H135" s="6">
        <f t="shared" si="76"/>
        <v>804.30000000000007</v>
      </c>
      <c r="I135" s="6">
        <f t="shared" si="77"/>
        <v>2169.070105263158</v>
      </c>
      <c r="J135" s="6">
        <f t="shared" si="78"/>
        <v>2169.070105263158</v>
      </c>
      <c r="K135" s="82"/>
      <c r="L135" s="24"/>
      <c r="N135" s="75">
        <v>1187.7894736842106</v>
      </c>
      <c r="O135" s="76">
        <f t="shared" si="79"/>
        <v>1.149</v>
      </c>
      <c r="P135" s="77">
        <f t="shared" si="80"/>
        <v>1364.770105263158</v>
      </c>
      <c r="Q135" s="78">
        <f t="shared" si="43"/>
        <v>1187.7894736842106</v>
      </c>
      <c r="R135" s="78"/>
      <c r="S135" s="79">
        <v>700</v>
      </c>
      <c r="T135" s="80">
        <f t="shared" si="81"/>
        <v>1.149</v>
      </c>
      <c r="U135" s="79">
        <f t="shared" si="82"/>
        <v>804.30000000000007</v>
      </c>
      <c r="V135">
        <f t="shared" si="44"/>
        <v>700</v>
      </c>
    </row>
    <row r="136" spans="1:22">
      <c r="A136" s="4"/>
      <c r="B136" s="5" t="s">
        <v>128</v>
      </c>
      <c r="C136" s="4" t="s">
        <v>36</v>
      </c>
      <c r="D136" s="6">
        <v>1</v>
      </c>
      <c r="E136" s="6">
        <f t="shared" si="73"/>
        <v>1743.698210526316</v>
      </c>
      <c r="F136" s="6">
        <f t="shared" si="74"/>
        <v>1743.698210526316</v>
      </c>
      <c r="G136" s="6">
        <f t="shared" si="75"/>
        <v>919.2</v>
      </c>
      <c r="H136" s="6">
        <f t="shared" si="76"/>
        <v>919.2</v>
      </c>
      <c r="I136" s="6">
        <f t="shared" si="77"/>
        <v>2662.8982105263158</v>
      </c>
      <c r="J136" s="6">
        <f t="shared" si="78"/>
        <v>2662.8982105263158</v>
      </c>
      <c r="K136" s="82"/>
      <c r="L136" s="24"/>
      <c r="N136" s="75">
        <v>1517.5789473684213</v>
      </c>
      <c r="O136" s="76">
        <f t="shared" si="79"/>
        <v>1.149</v>
      </c>
      <c r="P136" s="77">
        <f t="shared" si="80"/>
        <v>1743.698210526316</v>
      </c>
      <c r="Q136" s="78">
        <f t="shared" si="43"/>
        <v>1517.5789473684213</v>
      </c>
      <c r="R136" s="78"/>
      <c r="S136" s="79">
        <v>800</v>
      </c>
      <c r="T136" s="80">
        <f t="shared" si="81"/>
        <v>1.149</v>
      </c>
      <c r="U136" s="79">
        <f t="shared" si="82"/>
        <v>919.2</v>
      </c>
      <c r="V136">
        <f t="shared" si="44"/>
        <v>800</v>
      </c>
    </row>
    <row r="137" spans="1:22">
      <c r="A137" s="4"/>
      <c r="B137" s="5" t="s">
        <v>129</v>
      </c>
      <c r="C137" s="4" t="s">
        <v>36</v>
      </c>
      <c r="D137" s="6">
        <v>1</v>
      </c>
      <c r="E137" s="6">
        <f t="shared" si="73"/>
        <v>1647.0007894736843</v>
      </c>
      <c r="F137" s="6">
        <f t="shared" si="74"/>
        <v>1647.0007894736843</v>
      </c>
      <c r="G137" s="6">
        <f t="shared" si="75"/>
        <v>919.2</v>
      </c>
      <c r="H137" s="6">
        <f t="shared" si="76"/>
        <v>919.2</v>
      </c>
      <c r="I137" s="6">
        <f t="shared" si="77"/>
        <v>2566.2007894736844</v>
      </c>
      <c r="J137" s="6">
        <f t="shared" si="78"/>
        <v>2566.2007894736844</v>
      </c>
      <c r="K137" s="82"/>
      <c r="L137" s="24"/>
      <c r="N137" s="75">
        <v>1433.421052631579</v>
      </c>
      <c r="O137" s="76">
        <f t="shared" si="79"/>
        <v>1.149</v>
      </c>
      <c r="P137" s="77">
        <f t="shared" si="80"/>
        <v>1647.0007894736843</v>
      </c>
      <c r="Q137" s="78">
        <f t="shared" ref="Q137:Q200" si="83">SUM(N137*D137)</f>
        <v>1433.421052631579</v>
      </c>
      <c r="R137" s="78"/>
      <c r="S137" s="79">
        <v>800</v>
      </c>
      <c r="T137" s="80">
        <f t="shared" si="81"/>
        <v>1.149</v>
      </c>
      <c r="U137" s="79">
        <f t="shared" si="82"/>
        <v>919.2</v>
      </c>
      <c r="V137">
        <f t="shared" ref="V137:V200" si="84">SUM(S137*D137)</f>
        <v>800</v>
      </c>
    </row>
    <row r="138" spans="1:22">
      <c r="A138" s="4"/>
      <c r="B138" s="5" t="s">
        <v>26</v>
      </c>
      <c r="C138" s="4" t="s">
        <v>26</v>
      </c>
      <c r="D138" s="6"/>
      <c r="E138" s="6"/>
      <c r="F138" s="6"/>
      <c r="G138" s="6"/>
      <c r="H138" s="6"/>
      <c r="I138" s="6"/>
      <c r="J138" s="6"/>
      <c r="K138" s="82"/>
      <c r="L138" s="24"/>
      <c r="Q138" s="78">
        <f t="shared" si="83"/>
        <v>0</v>
      </c>
      <c r="V138">
        <f t="shared" si="84"/>
        <v>0</v>
      </c>
    </row>
    <row r="139" spans="1:22">
      <c r="A139" s="13"/>
      <c r="B139" s="14" t="s">
        <v>130</v>
      </c>
      <c r="C139" s="13" t="s">
        <v>26</v>
      </c>
      <c r="D139" s="15"/>
      <c r="E139" s="15"/>
      <c r="F139" s="15">
        <f>SUM(F121:F138)</f>
        <v>180852.6628926316</v>
      </c>
      <c r="G139" s="15"/>
      <c r="H139" s="15">
        <f>SUM(H121:H138)</f>
        <v>23876.22</v>
      </c>
      <c r="I139" s="15"/>
      <c r="J139" s="15">
        <f>SUM(J121:J138)</f>
        <v>204728.88289263163</v>
      </c>
      <c r="K139" s="82"/>
      <c r="L139" s="24"/>
      <c r="Q139" s="78">
        <f t="shared" si="83"/>
        <v>0</v>
      </c>
      <c r="V139">
        <f t="shared" si="84"/>
        <v>0</v>
      </c>
    </row>
    <row r="140" spans="1:22">
      <c r="A140" s="4"/>
      <c r="B140" s="5" t="s">
        <v>26</v>
      </c>
      <c r="C140" s="4" t="s">
        <v>26</v>
      </c>
      <c r="D140" s="6"/>
      <c r="E140" s="6"/>
      <c r="F140" s="6"/>
      <c r="G140" s="6"/>
      <c r="H140" s="6"/>
      <c r="I140" s="6"/>
      <c r="J140" s="6"/>
      <c r="K140" s="82"/>
      <c r="L140" s="24"/>
      <c r="Q140" s="78">
        <f t="shared" si="83"/>
        <v>0</v>
      </c>
      <c r="V140">
        <f t="shared" si="84"/>
        <v>0</v>
      </c>
    </row>
    <row r="141" spans="1:22">
      <c r="A141" s="13"/>
      <c r="B141" s="14" t="s">
        <v>131</v>
      </c>
      <c r="C141" s="13" t="s">
        <v>26</v>
      </c>
      <c r="D141" s="15"/>
      <c r="E141" s="15"/>
      <c r="F141" s="15"/>
      <c r="G141" s="15"/>
      <c r="H141" s="15"/>
      <c r="I141" s="15"/>
      <c r="J141" s="15"/>
      <c r="K141" s="82"/>
      <c r="L141" s="24"/>
      <c r="Q141" s="78">
        <f t="shared" si="83"/>
        <v>0</v>
      </c>
      <c r="V141">
        <f t="shared" si="84"/>
        <v>0</v>
      </c>
    </row>
    <row r="142" spans="1:22">
      <c r="A142" s="4"/>
      <c r="B142" s="5" t="s">
        <v>26</v>
      </c>
      <c r="C142" s="4" t="s">
        <v>26</v>
      </c>
      <c r="D142" s="6"/>
      <c r="E142" s="6"/>
      <c r="F142" s="6"/>
      <c r="G142" s="6"/>
      <c r="H142" s="6"/>
      <c r="I142" s="6"/>
      <c r="J142" s="6"/>
      <c r="K142" s="82"/>
      <c r="L142" s="24"/>
      <c r="Q142" s="78">
        <f t="shared" si="83"/>
        <v>0</v>
      </c>
      <c r="V142">
        <f t="shared" si="84"/>
        <v>0</v>
      </c>
    </row>
    <row r="143" spans="1:22">
      <c r="A143" s="19"/>
      <c r="B143" s="20" t="s">
        <v>132</v>
      </c>
      <c r="C143" s="19" t="s">
        <v>26</v>
      </c>
      <c r="D143" s="21"/>
      <c r="E143" s="21"/>
      <c r="F143" s="21"/>
      <c r="G143" s="21"/>
      <c r="H143" s="21"/>
      <c r="I143" s="21"/>
      <c r="J143" s="21"/>
      <c r="K143" s="82"/>
      <c r="L143" s="24"/>
      <c r="Q143" s="78">
        <f t="shared" si="83"/>
        <v>0</v>
      </c>
      <c r="V143">
        <f t="shared" si="84"/>
        <v>0</v>
      </c>
    </row>
    <row r="144" spans="1:22" ht="21.9">
      <c r="A144" s="4"/>
      <c r="B144" s="5" t="s">
        <v>133</v>
      </c>
      <c r="C144" s="4" t="s">
        <v>36</v>
      </c>
      <c r="D144" s="6">
        <v>4</v>
      </c>
      <c r="E144" s="6">
        <f t="shared" ref="E144:E146" si="85">SUM(P144)</f>
        <v>2589.9669473684216</v>
      </c>
      <c r="F144" s="6">
        <f t="shared" ref="F144:F146" si="86">D144*E144</f>
        <v>10359.867789473687</v>
      </c>
      <c r="G144" s="6">
        <f t="shared" ref="G144:G146" si="87">SUM(U144)</f>
        <v>861.75</v>
      </c>
      <c r="H144" s="6">
        <f t="shared" ref="H144:H146" si="88">D144*G144</f>
        <v>3447</v>
      </c>
      <c r="I144" s="6">
        <f t="shared" ref="I144:I146" si="89">E144+G144</f>
        <v>3451.7169473684216</v>
      </c>
      <c r="J144" s="6">
        <f t="shared" ref="J144:J146" si="90">F144+H144</f>
        <v>13806.867789473687</v>
      </c>
      <c r="K144" s="82"/>
      <c r="L144" s="24"/>
      <c r="N144" s="75">
        <f>SUM([2]SIL!$U$33:$U$35)</f>
        <v>2254.105263157895</v>
      </c>
      <c r="O144" s="76">
        <f t="shared" ref="O144:O146" si="91">$O$1</f>
        <v>1.149</v>
      </c>
      <c r="P144" s="77">
        <f t="shared" ref="P144:P146" si="92">SUM(O144*N144)</f>
        <v>2589.9669473684216</v>
      </c>
      <c r="Q144" s="78">
        <f t="shared" si="83"/>
        <v>9016.4210526315801</v>
      </c>
      <c r="R144" s="78"/>
      <c r="S144" s="79">
        <v>750</v>
      </c>
      <c r="T144" s="80">
        <f t="shared" ref="T144:T146" si="93">$T$1</f>
        <v>1.149</v>
      </c>
      <c r="U144" s="79">
        <f t="shared" ref="U144:U146" si="94">SUM(T144*S144)</f>
        <v>861.75</v>
      </c>
      <c r="V144">
        <f t="shared" si="84"/>
        <v>3000</v>
      </c>
    </row>
    <row r="145" spans="1:22" ht="21.9">
      <c r="A145" s="4"/>
      <c r="B145" s="5" t="s">
        <v>134</v>
      </c>
      <c r="C145" s="4" t="s">
        <v>36</v>
      </c>
      <c r="D145" s="6">
        <v>16</v>
      </c>
      <c r="E145" s="6">
        <f t="shared" si="85"/>
        <v>71.842736842105268</v>
      </c>
      <c r="F145" s="6">
        <f t="shared" si="86"/>
        <v>1149.4837894736843</v>
      </c>
      <c r="G145" s="6">
        <f t="shared" si="87"/>
        <v>103.41</v>
      </c>
      <c r="H145" s="6">
        <f t="shared" si="88"/>
        <v>1654.56</v>
      </c>
      <c r="I145" s="6">
        <f t="shared" si="89"/>
        <v>175.25273684210526</v>
      </c>
      <c r="J145" s="6">
        <f t="shared" si="90"/>
        <v>2804.0437894736842</v>
      </c>
      <c r="K145" s="82"/>
      <c r="L145" s="24"/>
      <c r="N145" s="75">
        <f>SUM([2]SIL!$U$36)</f>
        <v>62.526315789473685</v>
      </c>
      <c r="O145" s="76">
        <f t="shared" si="91"/>
        <v>1.149</v>
      </c>
      <c r="P145" s="77">
        <f t="shared" si="92"/>
        <v>71.842736842105268</v>
      </c>
      <c r="Q145" s="78">
        <f t="shared" si="83"/>
        <v>1000.421052631579</v>
      </c>
      <c r="R145" s="78"/>
      <c r="S145" s="79">
        <v>90</v>
      </c>
      <c r="T145" s="80">
        <f t="shared" si="93"/>
        <v>1.149</v>
      </c>
      <c r="U145" s="79">
        <f t="shared" si="94"/>
        <v>103.41</v>
      </c>
      <c r="V145">
        <f t="shared" si="84"/>
        <v>1440</v>
      </c>
    </row>
    <row r="146" spans="1:22" ht="32.15">
      <c r="A146" s="4"/>
      <c r="B146" s="5" t="s">
        <v>135</v>
      </c>
      <c r="C146" s="4" t="s">
        <v>36</v>
      </c>
      <c r="D146" s="6">
        <v>4</v>
      </c>
      <c r="E146" s="6">
        <f t="shared" si="85"/>
        <v>920.89326315789481</v>
      </c>
      <c r="F146" s="6">
        <f t="shared" si="86"/>
        <v>3683.5730526315792</v>
      </c>
      <c r="G146" s="6">
        <f t="shared" si="87"/>
        <v>103.41</v>
      </c>
      <c r="H146" s="6">
        <f t="shared" si="88"/>
        <v>413.64</v>
      </c>
      <c r="I146" s="6">
        <f t="shared" si="89"/>
        <v>1024.3032631578949</v>
      </c>
      <c r="J146" s="6">
        <f t="shared" si="90"/>
        <v>4097.2130526315796</v>
      </c>
      <c r="K146" s="82"/>
      <c r="L146" s="24"/>
      <c r="N146" s="75">
        <v>801.47368421052636</v>
      </c>
      <c r="O146" s="76">
        <f t="shared" si="91"/>
        <v>1.149</v>
      </c>
      <c r="P146" s="77">
        <f t="shared" si="92"/>
        <v>920.89326315789481</v>
      </c>
      <c r="Q146" s="78">
        <f t="shared" si="83"/>
        <v>3205.8947368421054</v>
      </c>
      <c r="R146" s="78"/>
      <c r="S146" s="79">
        <v>90</v>
      </c>
      <c r="T146" s="80">
        <f t="shared" si="93"/>
        <v>1.149</v>
      </c>
      <c r="U146" s="79">
        <f t="shared" si="94"/>
        <v>103.41</v>
      </c>
      <c r="V146">
        <f t="shared" si="84"/>
        <v>360</v>
      </c>
    </row>
    <row r="147" spans="1:22" ht="24">
      <c r="A147" s="19"/>
      <c r="B147" s="20" t="s">
        <v>136</v>
      </c>
      <c r="C147" s="19" t="s">
        <v>26</v>
      </c>
      <c r="D147" s="21"/>
      <c r="E147" s="21"/>
      <c r="F147" s="21"/>
      <c r="G147" s="21"/>
      <c r="H147" s="21"/>
      <c r="I147" s="21"/>
      <c r="J147" s="21"/>
      <c r="K147" s="82"/>
      <c r="L147" s="24"/>
      <c r="Q147" s="78">
        <f t="shared" si="83"/>
        <v>0</v>
      </c>
      <c r="V147">
        <f t="shared" si="84"/>
        <v>0</v>
      </c>
    </row>
    <row r="148" spans="1:22">
      <c r="A148" s="4"/>
      <c r="B148" s="5" t="s">
        <v>137</v>
      </c>
      <c r="C148" s="4" t="s">
        <v>36</v>
      </c>
      <c r="D148" s="6">
        <v>6</v>
      </c>
      <c r="E148" s="6">
        <f t="shared" ref="E148:E149" si="95">SUM(P148)</f>
        <v>102.94051612903225</v>
      </c>
      <c r="F148" s="6">
        <f t="shared" ref="F148:F149" si="96">D148*E148</f>
        <v>617.64309677419351</v>
      </c>
      <c r="G148" s="6">
        <f t="shared" ref="G148:G149" si="97">SUM(U148)</f>
        <v>103.41</v>
      </c>
      <c r="H148" s="6">
        <f t="shared" ref="H148:H149" si="98">D148*G148</f>
        <v>620.46</v>
      </c>
      <c r="I148" s="6">
        <f t="shared" ref="I148:I149" si="99">E148+G148</f>
        <v>206.35051612903226</v>
      </c>
      <c r="J148" s="6">
        <f t="shared" ref="J148:J149" si="100">F148+H148</f>
        <v>1238.1030967741935</v>
      </c>
      <c r="K148" s="82"/>
      <c r="L148" s="24"/>
      <c r="N148" s="75">
        <f>SUM([2]SIL!$U$39:$U$41)</f>
        <v>89.591397849462354</v>
      </c>
      <c r="O148" s="76">
        <f t="shared" ref="O148:O149" si="101">$O$1</f>
        <v>1.149</v>
      </c>
      <c r="P148" s="77">
        <f t="shared" ref="P148:P149" si="102">SUM(O148*N148)</f>
        <v>102.94051612903225</v>
      </c>
      <c r="Q148" s="78">
        <f t="shared" si="83"/>
        <v>537.54838709677415</v>
      </c>
      <c r="R148" s="78"/>
      <c r="S148" s="79">
        <v>90</v>
      </c>
      <c r="T148" s="80">
        <f t="shared" ref="T148:T149" si="103">$T$1</f>
        <v>1.149</v>
      </c>
      <c r="U148" s="79">
        <f t="shared" ref="U148:U149" si="104">SUM(T148*S148)</f>
        <v>103.41</v>
      </c>
      <c r="V148">
        <f t="shared" si="84"/>
        <v>540</v>
      </c>
    </row>
    <row r="149" spans="1:22">
      <c r="A149" s="4"/>
      <c r="B149" s="5" t="s">
        <v>138</v>
      </c>
      <c r="C149" s="4" t="s">
        <v>36</v>
      </c>
      <c r="D149" s="6">
        <v>3</v>
      </c>
      <c r="E149" s="6">
        <f t="shared" si="95"/>
        <v>196.42958064516128</v>
      </c>
      <c r="F149" s="6">
        <f t="shared" si="96"/>
        <v>589.28874193548381</v>
      </c>
      <c r="G149" s="6">
        <f t="shared" si="97"/>
        <v>103.41</v>
      </c>
      <c r="H149" s="6">
        <f t="shared" si="98"/>
        <v>310.23</v>
      </c>
      <c r="I149" s="6">
        <f t="shared" si="99"/>
        <v>299.83958064516128</v>
      </c>
      <c r="J149" s="6">
        <f t="shared" si="100"/>
        <v>899.51874193548383</v>
      </c>
      <c r="K149" s="82"/>
      <c r="L149" s="24"/>
      <c r="N149" s="75">
        <f>SUM([2]SIL!$X$42:$X$44)</f>
        <v>170.95698924731181</v>
      </c>
      <c r="O149" s="76">
        <f t="shared" si="101"/>
        <v>1.149</v>
      </c>
      <c r="P149" s="77">
        <f t="shared" si="102"/>
        <v>196.42958064516128</v>
      </c>
      <c r="Q149" s="78">
        <f t="shared" si="83"/>
        <v>512.87096774193537</v>
      </c>
      <c r="R149" s="78"/>
      <c r="S149" s="79">
        <v>90</v>
      </c>
      <c r="T149" s="80">
        <f t="shared" si="103"/>
        <v>1.149</v>
      </c>
      <c r="U149" s="79">
        <f t="shared" si="104"/>
        <v>103.41</v>
      </c>
      <c r="V149">
        <f t="shared" si="84"/>
        <v>270</v>
      </c>
    </row>
    <row r="150" spans="1:22" ht="24">
      <c r="A150" s="19"/>
      <c r="B150" s="20" t="s">
        <v>139</v>
      </c>
      <c r="C150" s="19" t="s">
        <v>26</v>
      </c>
      <c r="D150" s="21"/>
      <c r="E150" s="21"/>
      <c r="F150" s="21"/>
      <c r="G150" s="21"/>
      <c r="H150" s="21"/>
      <c r="I150" s="21"/>
      <c r="J150" s="21"/>
      <c r="K150" s="82"/>
      <c r="L150" s="24"/>
      <c r="Q150" s="78">
        <f t="shared" si="83"/>
        <v>0</v>
      </c>
      <c r="V150">
        <f t="shared" si="84"/>
        <v>0</v>
      </c>
    </row>
    <row r="151" spans="1:22">
      <c r="A151" s="4"/>
      <c r="B151" s="5" t="s">
        <v>137</v>
      </c>
      <c r="C151" s="4" t="s">
        <v>36</v>
      </c>
      <c r="D151" s="6">
        <v>9</v>
      </c>
      <c r="E151" s="6">
        <f>SUM(P151)</f>
        <v>183.49406451612901</v>
      </c>
      <c r="F151" s="6">
        <f t="shared" ref="F151" si="105">D151*E151</f>
        <v>1651.4465806451612</v>
      </c>
      <c r="G151" s="6">
        <f>SUM(U151)</f>
        <v>103.41</v>
      </c>
      <c r="H151" s="6">
        <f t="shared" ref="H151" si="106">D151*G151</f>
        <v>930.68999999999994</v>
      </c>
      <c r="I151" s="6">
        <f t="shared" ref="I151" si="107">E151+G151</f>
        <v>286.90406451612898</v>
      </c>
      <c r="J151" s="6">
        <f t="shared" ref="J151" si="108">F151+H151</f>
        <v>2582.1365806451613</v>
      </c>
      <c r="K151" s="82"/>
      <c r="L151" s="24"/>
      <c r="N151" s="75">
        <f>SUM([2]SIL!$U$46:$U$48)</f>
        <v>159.69892473118279</v>
      </c>
      <c r="O151" s="76">
        <f>$O$1</f>
        <v>1.149</v>
      </c>
      <c r="P151" s="77">
        <f>SUM(O151*N151)</f>
        <v>183.49406451612901</v>
      </c>
      <c r="Q151" s="78">
        <f t="shared" si="83"/>
        <v>1437.2903225806451</v>
      </c>
      <c r="R151" s="78"/>
      <c r="S151" s="79">
        <v>90</v>
      </c>
      <c r="T151" s="80">
        <f>$T$1</f>
        <v>1.149</v>
      </c>
      <c r="U151" s="79">
        <f>SUM(T151*S151)</f>
        <v>103.41</v>
      </c>
      <c r="V151">
        <f t="shared" si="84"/>
        <v>810</v>
      </c>
    </row>
    <row r="152" spans="1:22" ht="24">
      <c r="A152" s="19"/>
      <c r="B152" s="20" t="s">
        <v>140</v>
      </c>
      <c r="C152" s="19" t="s">
        <v>26</v>
      </c>
      <c r="D152" s="21"/>
      <c r="E152" s="21"/>
      <c r="F152" s="21"/>
      <c r="G152" s="21"/>
      <c r="H152" s="21"/>
      <c r="I152" s="21"/>
      <c r="J152" s="21"/>
      <c r="K152" s="82"/>
      <c r="L152" s="24"/>
      <c r="Q152" s="78">
        <f t="shared" si="83"/>
        <v>0</v>
      </c>
      <c r="V152">
        <f t="shared" si="84"/>
        <v>0</v>
      </c>
    </row>
    <row r="153" spans="1:22" ht="21.9">
      <c r="A153" s="4"/>
      <c r="B153" s="5" t="s">
        <v>141</v>
      </c>
      <c r="C153" s="4" t="s">
        <v>36</v>
      </c>
      <c r="D153" s="6">
        <v>1</v>
      </c>
      <c r="E153" s="6">
        <f>SUM(P153)</f>
        <v>183.49406451612901</v>
      </c>
      <c r="F153" s="6">
        <f t="shared" ref="F153" si="109">D153*E153</f>
        <v>183.49406451612901</v>
      </c>
      <c r="G153" s="6">
        <f>SUM(U153)</f>
        <v>103.41</v>
      </c>
      <c r="H153" s="6">
        <f t="shared" ref="H153" si="110">D153*G153</f>
        <v>103.41</v>
      </c>
      <c r="I153" s="6">
        <f t="shared" ref="I153" si="111">E153+G153</f>
        <v>286.90406451612898</v>
      </c>
      <c r="J153" s="6">
        <f t="shared" ref="J153" si="112">F153+H153</f>
        <v>286.90406451612898</v>
      </c>
      <c r="K153" s="82"/>
      <c r="L153" s="24"/>
      <c r="N153" s="75">
        <f>SUM([2]SIL!$U$50:$U$52)</f>
        <v>159.69892473118279</v>
      </c>
      <c r="O153" s="76">
        <f>$O$1</f>
        <v>1.149</v>
      </c>
      <c r="P153" s="77">
        <f>SUM(O153*N153)</f>
        <v>183.49406451612901</v>
      </c>
      <c r="Q153" s="78">
        <f t="shared" si="83"/>
        <v>159.69892473118279</v>
      </c>
      <c r="R153" s="78"/>
      <c r="S153" s="79">
        <v>90</v>
      </c>
      <c r="T153" s="80">
        <f>$T$1</f>
        <v>1.149</v>
      </c>
      <c r="U153" s="79">
        <f>SUM(T153*S153)</f>
        <v>103.41</v>
      </c>
      <c r="V153">
        <f t="shared" si="84"/>
        <v>90</v>
      </c>
    </row>
    <row r="154" spans="1:22">
      <c r="A154" s="19"/>
      <c r="B154" s="20" t="s">
        <v>142</v>
      </c>
      <c r="C154" s="19" t="s">
        <v>26</v>
      </c>
      <c r="D154" s="22"/>
      <c r="E154" s="22"/>
      <c r="F154" s="22"/>
      <c r="G154" s="22"/>
      <c r="H154" s="22"/>
      <c r="I154" s="22"/>
      <c r="J154" s="22"/>
      <c r="K154" s="82"/>
      <c r="L154" s="24"/>
      <c r="Q154" s="78">
        <f t="shared" si="83"/>
        <v>0</v>
      </c>
      <c r="V154">
        <f t="shared" si="84"/>
        <v>0</v>
      </c>
    </row>
    <row r="155" spans="1:22">
      <c r="A155" s="4"/>
      <c r="B155" s="5" t="s">
        <v>143</v>
      </c>
      <c r="C155" s="4" t="s">
        <v>36</v>
      </c>
      <c r="D155" s="6">
        <v>6</v>
      </c>
      <c r="E155" s="6">
        <f>SUM(P155)</f>
        <v>284.80686315789472</v>
      </c>
      <c r="F155" s="6">
        <f t="shared" ref="F155" si="113">D155*E155</f>
        <v>1708.8411789473685</v>
      </c>
      <c r="G155" s="6">
        <f>SUM(U155)</f>
        <v>172.35</v>
      </c>
      <c r="H155" s="6">
        <f t="shared" ref="H155" si="114">D155*G155</f>
        <v>1034.0999999999999</v>
      </c>
      <c r="I155" s="6">
        <f t="shared" ref="I155" si="115">E155+G155</f>
        <v>457.15686315789469</v>
      </c>
      <c r="J155" s="6">
        <f t="shared" ref="J155" si="116">F155+H155</f>
        <v>2742.9411789473684</v>
      </c>
      <c r="K155" s="82"/>
      <c r="L155" s="24"/>
      <c r="N155" s="75">
        <f>SUM([2]SIL!$U$54)</f>
        <v>247.87368421052631</v>
      </c>
      <c r="O155" s="76">
        <f>$O$1</f>
        <v>1.149</v>
      </c>
      <c r="P155" s="77">
        <f>SUM(O155*N155)</f>
        <v>284.80686315789472</v>
      </c>
      <c r="Q155" s="78">
        <f t="shared" si="83"/>
        <v>1487.2421052631578</v>
      </c>
      <c r="R155" s="78"/>
      <c r="S155" s="79">
        <v>150</v>
      </c>
      <c r="T155" s="80">
        <f>$T$1</f>
        <v>1.149</v>
      </c>
      <c r="U155" s="79">
        <f>SUM(T155*S155)</f>
        <v>172.35</v>
      </c>
      <c r="V155">
        <f t="shared" si="84"/>
        <v>900</v>
      </c>
    </row>
    <row r="156" spans="1:22">
      <c r="A156" s="19"/>
      <c r="B156" s="20" t="s">
        <v>144</v>
      </c>
      <c r="C156" s="19" t="s">
        <v>26</v>
      </c>
      <c r="D156" s="21"/>
      <c r="E156" s="21"/>
      <c r="F156" s="21"/>
      <c r="G156" s="21"/>
      <c r="H156" s="21"/>
      <c r="I156" s="21"/>
      <c r="J156" s="21"/>
      <c r="K156" s="82"/>
      <c r="L156" s="24"/>
      <c r="Q156" s="78">
        <f t="shared" si="83"/>
        <v>0</v>
      </c>
      <c r="V156">
        <f t="shared" si="84"/>
        <v>0</v>
      </c>
    </row>
    <row r="157" spans="1:22" ht="42.45">
      <c r="A157" s="4"/>
      <c r="B157" s="5" t="s">
        <v>145</v>
      </c>
      <c r="C157" s="4" t="s">
        <v>36</v>
      </c>
      <c r="D157" s="6">
        <v>14</v>
      </c>
      <c r="E157" s="6">
        <f>SUM(P157)</f>
        <v>4429.6248000000005</v>
      </c>
      <c r="F157" s="6">
        <f t="shared" ref="F157" si="117">D157*E157</f>
        <v>62014.747200000005</v>
      </c>
      <c r="G157" s="6">
        <f>SUM(U157)</f>
        <v>517.04999999999995</v>
      </c>
      <c r="H157" s="6">
        <f t="shared" ref="H157" si="118">D157*G157</f>
        <v>7238.6999999999989</v>
      </c>
      <c r="I157" s="6">
        <f t="shared" ref="I157" si="119">E157+G157</f>
        <v>4946.6748000000007</v>
      </c>
      <c r="J157" s="6">
        <f t="shared" ref="J157" si="120">F157+H157</f>
        <v>69253.44720000001</v>
      </c>
      <c r="K157" s="82"/>
      <c r="L157" s="24"/>
      <c r="N157" s="75">
        <v>3855.2000000000003</v>
      </c>
      <c r="O157" s="76">
        <f>$O$1</f>
        <v>1.149</v>
      </c>
      <c r="P157" s="77">
        <f>SUM(O157*N157)</f>
        <v>4429.6248000000005</v>
      </c>
      <c r="Q157" s="78">
        <f t="shared" si="83"/>
        <v>53972.800000000003</v>
      </c>
      <c r="R157" s="78"/>
      <c r="S157" s="79">
        <v>450</v>
      </c>
      <c r="T157" s="80">
        <f>$T$1</f>
        <v>1.149</v>
      </c>
      <c r="U157" s="79">
        <f>SUM(T157*S157)</f>
        <v>517.04999999999995</v>
      </c>
      <c r="V157">
        <f t="shared" si="84"/>
        <v>6300</v>
      </c>
    </row>
    <row r="158" spans="1:22">
      <c r="A158" s="19"/>
      <c r="B158" s="20" t="s">
        <v>146</v>
      </c>
      <c r="C158" s="19" t="s">
        <v>26</v>
      </c>
      <c r="D158" s="22"/>
      <c r="E158" s="22"/>
      <c r="F158" s="22"/>
      <c r="G158" s="22"/>
      <c r="H158" s="22"/>
      <c r="I158" s="22"/>
      <c r="J158" s="22"/>
      <c r="K158" s="82"/>
      <c r="L158" s="24"/>
      <c r="Q158" s="78">
        <f t="shared" si="83"/>
        <v>0</v>
      </c>
      <c r="V158">
        <f t="shared" si="84"/>
        <v>0</v>
      </c>
    </row>
    <row r="159" spans="1:22">
      <c r="A159" s="4"/>
      <c r="B159" s="5" t="s">
        <v>147</v>
      </c>
      <c r="C159" s="4" t="s">
        <v>36</v>
      </c>
      <c r="D159" s="6">
        <v>1</v>
      </c>
      <c r="E159" s="6">
        <f>SUM(P159)</f>
        <v>599.89894736842109</v>
      </c>
      <c r="F159" s="6">
        <f t="shared" ref="F159" si="121">D159*E159</f>
        <v>599.89894736842109</v>
      </c>
      <c r="G159" s="6">
        <f>SUM(U159)</f>
        <v>218.31</v>
      </c>
      <c r="H159" s="6">
        <f t="shared" ref="H159" si="122">D159*G159</f>
        <v>218.31</v>
      </c>
      <c r="I159" s="6">
        <f t="shared" ref="I159" si="123">E159+G159</f>
        <v>818.20894736842115</v>
      </c>
      <c r="J159" s="6">
        <f t="shared" ref="J159" si="124">F159+H159</f>
        <v>818.20894736842115</v>
      </c>
      <c r="K159" s="82"/>
      <c r="L159" s="24"/>
      <c r="N159" s="75">
        <v>522.1052631578948</v>
      </c>
      <c r="O159" s="76">
        <f>$O$1</f>
        <v>1.149</v>
      </c>
      <c r="P159" s="77">
        <f>SUM(O159*N159)</f>
        <v>599.89894736842109</v>
      </c>
      <c r="Q159" s="78">
        <f t="shared" si="83"/>
        <v>522.1052631578948</v>
      </c>
      <c r="R159" s="78"/>
      <c r="S159" s="79">
        <v>190</v>
      </c>
      <c r="T159" s="80">
        <f>$T$1</f>
        <v>1.149</v>
      </c>
      <c r="U159" s="79">
        <f>SUM(T159*S159)</f>
        <v>218.31</v>
      </c>
      <c r="V159">
        <f t="shared" si="84"/>
        <v>190</v>
      </c>
    </row>
    <row r="160" spans="1:22">
      <c r="A160" s="19"/>
      <c r="B160" s="20" t="s">
        <v>148</v>
      </c>
      <c r="C160" s="19" t="s">
        <v>26</v>
      </c>
      <c r="D160" s="22"/>
      <c r="E160" s="22"/>
      <c r="F160" s="22"/>
      <c r="G160" s="22"/>
      <c r="H160" s="22"/>
      <c r="I160" s="22"/>
      <c r="J160" s="22"/>
      <c r="K160" s="82"/>
      <c r="L160" s="24"/>
      <c r="Q160" s="78">
        <f t="shared" si="83"/>
        <v>0</v>
      </c>
      <c r="V160">
        <f t="shared" si="84"/>
        <v>0</v>
      </c>
    </row>
    <row r="161" spans="1:22">
      <c r="A161" s="4"/>
      <c r="B161" s="5" t="s">
        <v>149</v>
      </c>
      <c r="C161" s="4" t="s">
        <v>36</v>
      </c>
      <c r="D161" s="6">
        <v>2</v>
      </c>
      <c r="E161" s="6">
        <f>SUM(P161)</f>
        <v>567.75113684210532</v>
      </c>
      <c r="F161" s="6">
        <f t="shared" ref="F161" si="125">D161*E161</f>
        <v>1135.5022736842106</v>
      </c>
      <c r="G161" s="6">
        <f>SUM(U161)</f>
        <v>218.31</v>
      </c>
      <c r="H161" s="6">
        <f t="shared" ref="H161" si="126">D161*G161</f>
        <v>436.62</v>
      </c>
      <c r="I161" s="6">
        <f t="shared" ref="I161" si="127">E161+G161</f>
        <v>786.06113684210527</v>
      </c>
      <c r="J161" s="6">
        <f t="shared" ref="J161" si="128">F161+H161</f>
        <v>1572.1222736842105</v>
      </c>
      <c r="K161" s="82"/>
      <c r="L161" s="24"/>
      <c r="N161" s="75">
        <v>494.12631578947372</v>
      </c>
      <c r="O161" s="76">
        <f>$O$1</f>
        <v>1.149</v>
      </c>
      <c r="P161" s="77">
        <f>SUM(O161*N161)</f>
        <v>567.75113684210532</v>
      </c>
      <c r="Q161" s="78">
        <f t="shared" si="83"/>
        <v>988.25263157894744</v>
      </c>
      <c r="R161" s="78"/>
      <c r="S161" s="79">
        <v>190</v>
      </c>
      <c r="T161" s="80">
        <f>$T$1</f>
        <v>1.149</v>
      </c>
      <c r="U161" s="79">
        <f>SUM(T161*S161)</f>
        <v>218.31</v>
      </c>
      <c r="V161">
        <f t="shared" si="84"/>
        <v>380</v>
      </c>
    </row>
    <row r="162" spans="1:22">
      <c r="A162" s="19"/>
      <c r="B162" s="20" t="s">
        <v>150</v>
      </c>
      <c r="C162" s="19" t="s">
        <v>26</v>
      </c>
      <c r="D162" s="22"/>
      <c r="E162" s="22"/>
      <c r="F162" s="22"/>
      <c r="G162" s="22"/>
      <c r="H162" s="22"/>
      <c r="I162" s="22"/>
      <c r="J162" s="22"/>
      <c r="K162" s="82"/>
      <c r="L162" s="24"/>
      <c r="Q162" s="78">
        <f t="shared" si="83"/>
        <v>0</v>
      </c>
      <c r="V162">
        <f t="shared" si="84"/>
        <v>0</v>
      </c>
    </row>
    <row r="163" spans="1:22">
      <c r="A163" s="4"/>
      <c r="B163" s="5" t="s">
        <v>151</v>
      </c>
      <c r="C163" s="4" t="s">
        <v>36</v>
      </c>
      <c r="D163" s="6">
        <v>2</v>
      </c>
      <c r="E163" s="6">
        <f>SUM(P163)</f>
        <v>318.50279999999998</v>
      </c>
      <c r="F163" s="6">
        <f t="shared" ref="F163" si="129">D163*E163</f>
        <v>637.00559999999996</v>
      </c>
      <c r="G163" s="6">
        <f>SUM(U163)</f>
        <v>103.41</v>
      </c>
      <c r="H163" s="6">
        <f t="shared" ref="H163" si="130">D163*G163</f>
        <v>206.82</v>
      </c>
      <c r="I163" s="6">
        <f t="shared" ref="I163" si="131">E163+G163</f>
        <v>421.91279999999995</v>
      </c>
      <c r="J163" s="6">
        <f t="shared" ref="J163" si="132">F163+H163</f>
        <v>843.82559999999989</v>
      </c>
      <c r="K163" s="82"/>
      <c r="L163" s="24"/>
      <c r="N163" s="75">
        <v>277.2</v>
      </c>
      <c r="O163" s="76">
        <f>$O$1</f>
        <v>1.149</v>
      </c>
      <c r="P163" s="77">
        <f>SUM(O163*N163)</f>
        <v>318.50279999999998</v>
      </c>
      <c r="Q163" s="78">
        <f t="shared" si="83"/>
        <v>554.4</v>
      </c>
      <c r="R163" s="78"/>
      <c r="S163" s="79">
        <v>90</v>
      </c>
      <c r="T163" s="80">
        <f>$T$1</f>
        <v>1.149</v>
      </c>
      <c r="U163" s="79">
        <f>SUM(T163*S163)</f>
        <v>103.41</v>
      </c>
      <c r="V163">
        <f t="shared" si="84"/>
        <v>180</v>
      </c>
    </row>
    <row r="164" spans="1:22" ht="24">
      <c r="A164" s="19"/>
      <c r="B164" s="20" t="s">
        <v>152</v>
      </c>
      <c r="C164" s="19" t="s">
        <v>26</v>
      </c>
      <c r="D164" s="21"/>
      <c r="E164" s="21"/>
      <c r="F164" s="21"/>
      <c r="G164" s="21"/>
      <c r="H164" s="21"/>
      <c r="I164" s="21"/>
      <c r="J164" s="21"/>
      <c r="K164" s="82"/>
      <c r="L164" s="24"/>
      <c r="Q164" s="78">
        <f t="shared" si="83"/>
        <v>0</v>
      </c>
      <c r="V164">
        <f t="shared" si="84"/>
        <v>0</v>
      </c>
    </row>
    <row r="165" spans="1:22" ht="21.9">
      <c r="A165" s="4"/>
      <c r="B165" s="5" t="s">
        <v>153</v>
      </c>
      <c r="C165" s="4" t="s">
        <v>36</v>
      </c>
      <c r="D165" s="6">
        <v>2</v>
      </c>
      <c r="E165" s="6">
        <f>SUM(P165)</f>
        <v>604.97873684210526</v>
      </c>
      <c r="F165" s="6">
        <f t="shared" ref="F165" si="133">D165*E165</f>
        <v>1209.9574736842105</v>
      </c>
      <c r="G165" s="6">
        <f>SUM(U165)</f>
        <v>402.15000000000003</v>
      </c>
      <c r="H165" s="6">
        <f t="shared" ref="H165" si="134">D165*G165</f>
        <v>804.30000000000007</v>
      </c>
      <c r="I165" s="6">
        <f t="shared" ref="I165" si="135">E165+G165</f>
        <v>1007.1287368421054</v>
      </c>
      <c r="J165" s="6">
        <f t="shared" ref="J165" si="136">F165+H165</f>
        <v>2014.2574736842107</v>
      </c>
      <c r="K165" s="82"/>
      <c r="L165" s="24"/>
      <c r="N165" s="75">
        <v>526.52631578947364</v>
      </c>
      <c r="O165" s="76">
        <f>$O$1</f>
        <v>1.149</v>
      </c>
      <c r="P165" s="77">
        <f>SUM(O165*N165)</f>
        <v>604.97873684210526</v>
      </c>
      <c r="Q165" s="78">
        <f t="shared" si="83"/>
        <v>1053.0526315789473</v>
      </c>
      <c r="R165" s="78"/>
      <c r="S165" s="79">
        <v>350</v>
      </c>
      <c r="T165" s="80">
        <f>$T$1</f>
        <v>1.149</v>
      </c>
      <c r="U165" s="79">
        <f>SUM(T165*S165)</f>
        <v>402.15000000000003</v>
      </c>
      <c r="V165">
        <f t="shared" si="84"/>
        <v>700</v>
      </c>
    </row>
    <row r="166" spans="1:22" ht="24">
      <c r="A166" s="19"/>
      <c r="B166" s="20" t="s">
        <v>154</v>
      </c>
      <c r="C166" s="19" t="s">
        <v>26</v>
      </c>
      <c r="D166" s="21"/>
      <c r="E166" s="21"/>
      <c r="F166" s="21"/>
      <c r="G166" s="21"/>
      <c r="H166" s="21"/>
      <c r="I166" s="21"/>
      <c r="J166" s="21"/>
      <c r="K166" s="82"/>
      <c r="L166" s="24"/>
      <c r="Q166" s="78">
        <f t="shared" si="83"/>
        <v>0</v>
      </c>
      <c r="V166">
        <f t="shared" si="84"/>
        <v>0</v>
      </c>
    </row>
    <row r="167" spans="1:22" ht="21.9">
      <c r="A167" s="4"/>
      <c r="B167" s="5" t="s">
        <v>155</v>
      </c>
      <c r="C167" s="4" t="s">
        <v>36</v>
      </c>
      <c r="D167" s="6">
        <v>2</v>
      </c>
      <c r="E167" s="6">
        <f>SUM(P167)</f>
        <v>2565.0621935483873</v>
      </c>
      <c r="F167" s="6">
        <f t="shared" ref="F167" si="137">D167*E167</f>
        <v>5130.1243870967746</v>
      </c>
      <c r="G167" s="6">
        <f>SUM(U167)</f>
        <v>172.35</v>
      </c>
      <c r="H167" s="6">
        <f t="shared" ref="H167" si="138">D167*G167</f>
        <v>344.7</v>
      </c>
      <c r="I167" s="6">
        <f t="shared" ref="I167" si="139">E167+G167</f>
        <v>2737.4121935483872</v>
      </c>
      <c r="J167" s="6">
        <f t="shared" ref="J167" si="140">F167+H167</f>
        <v>5474.8243870967744</v>
      </c>
      <c r="K167" s="82"/>
      <c r="L167" s="24"/>
      <c r="N167" s="75">
        <f>SUM([2]SIL!$U$66:$U$68)</f>
        <v>2232.4301075268818</v>
      </c>
      <c r="O167" s="76">
        <f>$O$1</f>
        <v>1.149</v>
      </c>
      <c r="P167" s="77">
        <f>SUM(O167*N167)</f>
        <v>2565.0621935483873</v>
      </c>
      <c r="Q167" s="78">
        <f t="shared" si="83"/>
        <v>4464.8602150537636</v>
      </c>
      <c r="R167" s="78"/>
      <c r="S167" s="79">
        <v>150</v>
      </c>
      <c r="T167" s="80">
        <f>$T$1</f>
        <v>1.149</v>
      </c>
      <c r="U167" s="79">
        <f>SUM(T167*S167)</f>
        <v>172.35</v>
      </c>
      <c r="V167">
        <f t="shared" si="84"/>
        <v>300</v>
      </c>
    </row>
    <row r="168" spans="1:22" ht="24">
      <c r="A168" s="19"/>
      <c r="B168" s="20" t="s">
        <v>156</v>
      </c>
      <c r="C168" s="19" t="s">
        <v>26</v>
      </c>
      <c r="D168" s="21"/>
      <c r="E168" s="21"/>
      <c r="F168" s="21"/>
      <c r="G168" s="21"/>
      <c r="H168" s="21"/>
      <c r="I168" s="21"/>
      <c r="J168" s="21"/>
      <c r="K168" s="82"/>
      <c r="L168" s="24"/>
      <c r="Q168" s="78">
        <f t="shared" si="83"/>
        <v>0</v>
      </c>
      <c r="V168">
        <f t="shared" si="84"/>
        <v>0</v>
      </c>
    </row>
    <row r="169" spans="1:22">
      <c r="A169" s="4"/>
      <c r="B169" s="5" t="s">
        <v>157</v>
      </c>
      <c r="C169" s="4" t="s">
        <v>36</v>
      </c>
      <c r="D169" s="6">
        <v>2</v>
      </c>
      <c r="E169" s="6">
        <f>SUM(P169)</f>
        <v>359.21368421052637</v>
      </c>
      <c r="F169" s="6">
        <f t="shared" ref="F169" si="141">D169*E169</f>
        <v>718.42736842105273</v>
      </c>
      <c r="G169" s="6">
        <f>SUM(U169)</f>
        <v>103.41</v>
      </c>
      <c r="H169" s="6">
        <f t="shared" ref="H169" si="142">D169*G169</f>
        <v>206.82</v>
      </c>
      <c r="I169" s="6">
        <f t="shared" ref="I169" si="143">E169+G169</f>
        <v>462.62368421052633</v>
      </c>
      <c r="J169" s="6">
        <f t="shared" ref="J169" si="144">F169+H169</f>
        <v>925.24736842105267</v>
      </c>
      <c r="K169" s="82"/>
      <c r="L169" s="24"/>
      <c r="N169" s="75">
        <v>312.63157894736844</v>
      </c>
      <c r="O169" s="76">
        <f>$O$1</f>
        <v>1.149</v>
      </c>
      <c r="P169" s="77">
        <f>SUM(O169*N169)</f>
        <v>359.21368421052637</v>
      </c>
      <c r="Q169" s="78">
        <f t="shared" si="83"/>
        <v>625.26315789473688</v>
      </c>
      <c r="R169" s="78"/>
      <c r="S169" s="79">
        <v>90</v>
      </c>
      <c r="T169" s="80">
        <f>$T$1</f>
        <v>1.149</v>
      </c>
      <c r="U169" s="79">
        <f>SUM(T169*S169)</f>
        <v>103.41</v>
      </c>
      <c r="V169">
        <f t="shared" si="84"/>
        <v>180</v>
      </c>
    </row>
    <row r="170" spans="1:22" ht="24">
      <c r="A170" s="19"/>
      <c r="B170" s="20" t="s">
        <v>158</v>
      </c>
      <c r="C170" s="19" t="s">
        <v>26</v>
      </c>
      <c r="D170" s="21"/>
      <c r="E170" s="21"/>
      <c r="F170" s="21"/>
      <c r="G170" s="21"/>
      <c r="H170" s="21"/>
      <c r="I170" s="21"/>
      <c r="J170" s="21"/>
      <c r="K170" s="82"/>
      <c r="L170" s="24"/>
      <c r="Q170" s="78">
        <f t="shared" si="83"/>
        <v>0</v>
      </c>
      <c r="V170">
        <f t="shared" si="84"/>
        <v>0</v>
      </c>
    </row>
    <row r="171" spans="1:22" ht="21.9">
      <c r="A171" s="4"/>
      <c r="B171" s="5" t="s">
        <v>159</v>
      </c>
      <c r="C171" s="4" t="s">
        <v>36</v>
      </c>
      <c r="D171" s="6">
        <v>1</v>
      </c>
      <c r="E171" s="6">
        <f>SUM(P171)</f>
        <v>0</v>
      </c>
      <c r="F171" s="6">
        <f t="shared" ref="F171:F172" si="145">D171*E171</f>
        <v>0</v>
      </c>
      <c r="G171" s="6">
        <f>SUM(U171)</f>
        <v>172.35</v>
      </c>
      <c r="H171" s="6">
        <f t="shared" ref="H171:H172" si="146">D171*G171</f>
        <v>172.35</v>
      </c>
      <c r="I171" s="6">
        <f t="shared" ref="I171:I172" si="147">E171+G171</f>
        <v>172.35</v>
      </c>
      <c r="J171" s="6">
        <f t="shared" ref="J171:J172" si="148">F171+H171</f>
        <v>172.35</v>
      </c>
      <c r="K171" s="82" t="s">
        <v>160</v>
      </c>
      <c r="L171" s="24"/>
      <c r="N171" s="75"/>
      <c r="O171" s="76">
        <f>$O$1</f>
        <v>1.149</v>
      </c>
      <c r="P171" s="77">
        <f>SUM(O171*N171)</f>
        <v>0</v>
      </c>
      <c r="Q171" s="78">
        <f t="shared" si="83"/>
        <v>0</v>
      </c>
      <c r="R171" s="78"/>
      <c r="S171" s="79">
        <v>150</v>
      </c>
      <c r="T171" s="80">
        <f>$T$1</f>
        <v>1.149</v>
      </c>
      <c r="U171" s="79">
        <f>SUM(T171*S171)</f>
        <v>172.35</v>
      </c>
      <c r="V171">
        <f t="shared" si="84"/>
        <v>150</v>
      </c>
    </row>
    <row r="172" spans="1:22" ht="21.9">
      <c r="A172" s="4"/>
      <c r="B172" s="5" t="s">
        <v>161</v>
      </c>
      <c r="C172" s="4" t="s">
        <v>36</v>
      </c>
      <c r="D172" s="6">
        <v>4</v>
      </c>
      <c r="E172" s="6">
        <f>SUM(P172)</f>
        <v>382.25870967741935</v>
      </c>
      <c r="F172" s="6">
        <f t="shared" si="145"/>
        <v>1529.0348387096774</v>
      </c>
      <c r="G172" s="6">
        <f>SUM(U172)</f>
        <v>172.35</v>
      </c>
      <c r="H172" s="6">
        <f t="shared" si="146"/>
        <v>689.4</v>
      </c>
      <c r="I172" s="6">
        <f t="shared" si="147"/>
        <v>554.60870967741937</v>
      </c>
      <c r="J172" s="6">
        <f t="shared" si="148"/>
        <v>2218.4348387096775</v>
      </c>
      <c r="K172" s="82"/>
      <c r="L172" s="24"/>
      <c r="N172" s="75">
        <f>SUM([2]SIL!$U$73:$U$75)</f>
        <v>332.68817204301075</v>
      </c>
      <c r="O172" s="76">
        <f>$O$1</f>
        <v>1.149</v>
      </c>
      <c r="P172" s="77">
        <f>SUM(O172*N172)</f>
        <v>382.25870967741935</v>
      </c>
      <c r="Q172" s="78">
        <f t="shared" si="83"/>
        <v>1330.752688172043</v>
      </c>
      <c r="R172" s="78"/>
      <c r="S172" s="79">
        <v>150</v>
      </c>
      <c r="T172" s="80">
        <f>$T$1</f>
        <v>1.149</v>
      </c>
      <c r="U172" s="79">
        <f>SUM(T172*S172)</f>
        <v>172.35</v>
      </c>
      <c r="V172">
        <f t="shared" si="84"/>
        <v>600</v>
      </c>
    </row>
    <row r="173" spans="1:22" ht="24">
      <c r="A173" s="19"/>
      <c r="B173" s="20" t="s">
        <v>162</v>
      </c>
      <c r="C173" s="19" t="s">
        <v>26</v>
      </c>
      <c r="D173" s="21"/>
      <c r="E173" s="21"/>
      <c r="F173" s="21"/>
      <c r="G173" s="21"/>
      <c r="H173" s="21"/>
      <c r="I173" s="21"/>
      <c r="J173" s="21"/>
      <c r="K173" s="82"/>
      <c r="L173" s="24"/>
      <c r="Q173" s="78">
        <f t="shared" si="83"/>
        <v>0</v>
      </c>
      <c r="V173">
        <f t="shared" si="84"/>
        <v>0</v>
      </c>
    </row>
    <row r="174" spans="1:22">
      <c r="A174" s="4"/>
      <c r="B174" s="5" t="s">
        <v>163</v>
      </c>
      <c r="C174" s="4" t="s">
        <v>36</v>
      </c>
      <c r="D174" s="6">
        <v>5</v>
      </c>
      <c r="E174" s="6">
        <f t="shared" ref="E174:E175" si="149">SUM(P174)</f>
        <v>104.92964516129031</v>
      </c>
      <c r="F174" s="6">
        <f t="shared" ref="F174:F176" si="150">D174*E174</f>
        <v>524.64822580645159</v>
      </c>
      <c r="G174" s="6">
        <f t="shared" ref="G174:G175" si="151">SUM(U174)</f>
        <v>103.41</v>
      </c>
      <c r="H174" s="6">
        <f t="shared" ref="H174:H176" si="152">D174*G174</f>
        <v>517.04999999999995</v>
      </c>
      <c r="I174" s="6">
        <f t="shared" ref="I174:I176" si="153">E174+G174</f>
        <v>208.33964516129032</v>
      </c>
      <c r="J174" s="6">
        <f t="shared" ref="J174:J176" si="154">F174+H174</f>
        <v>1041.6982258064515</v>
      </c>
      <c r="K174" s="82"/>
      <c r="L174" s="24"/>
      <c r="N174" s="75">
        <f>SUM([2]SIL!$U$77:$U$79)</f>
        <v>91.322580645161281</v>
      </c>
      <c r="O174" s="76">
        <f t="shared" ref="O174:O175" si="155">$O$1</f>
        <v>1.149</v>
      </c>
      <c r="P174" s="77">
        <f t="shared" ref="P174:P175" si="156">SUM(O174*N174)</f>
        <v>104.92964516129031</v>
      </c>
      <c r="Q174" s="78">
        <f t="shared" si="83"/>
        <v>456.61290322580641</v>
      </c>
      <c r="R174" s="78"/>
      <c r="S174" s="79">
        <v>90</v>
      </c>
      <c r="T174" s="80">
        <f t="shared" ref="T174:T175" si="157">$T$1</f>
        <v>1.149</v>
      </c>
      <c r="U174" s="79">
        <f t="shared" ref="U174:U175" si="158">SUM(T174*S174)</f>
        <v>103.41</v>
      </c>
      <c r="V174">
        <f t="shared" si="84"/>
        <v>450</v>
      </c>
    </row>
    <row r="175" spans="1:22">
      <c r="A175" s="4"/>
      <c r="B175" s="5" t="s">
        <v>164</v>
      </c>
      <c r="C175" s="4" t="s">
        <v>36</v>
      </c>
      <c r="D175" s="6">
        <v>7</v>
      </c>
      <c r="E175" s="6">
        <f t="shared" si="149"/>
        <v>340.74645161290323</v>
      </c>
      <c r="F175" s="6">
        <f t="shared" si="150"/>
        <v>2385.2251612903228</v>
      </c>
      <c r="G175" s="6">
        <f t="shared" si="151"/>
        <v>103.41</v>
      </c>
      <c r="H175" s="6">
        <f t="shared" si="152"/>
        <v>723.87</v>
      </c>
      <c r="I175" s="6">
        <f t="shared" si="153"/>
        <v>444.1564516129032</v>
      </c>
      <c r="J175" s="6">
        <f t="shared" si="154"/>
        <v>3109.0951612903227</v>
      </c>
      <c r="K175" s="82"/>
      <c r="L175" s="24"/>
      <c r="N175" s="75">
        <f>SUM([2]SIL!$U$80:$U$82)</f>
        <v>296.55913978494624</v>
      </c>
      <c r="O175" s="76">
        <f t="shared" si="155"/>
        <v>1.149</v>
      </c>
      <c r="P175" s="77">
        <f t="shared" si="156"/>
        <v>340.74645161290323</v>
      </c>
      <c r="Q175" s="78">
        <f t="shared" si="83"/>
        <v>2075.9139784946237</v>
      </c>
      <c r="R175" s="78"/>
      <c r="S175" s="79">
        <v>90</v>
      </c>
      <c r="T175" s="80">
        <f t="shared" si="157"/>
        <v>1.149</v>
      </c>
      <c r="U175" s="79">
        <f t="shared" si="158"/>
        <v>103.41</v>
      </c>
      <c r="V175">
        <f t="shared" si="84"/>
        <v>630</v>
      </c>
    </row>
    <row r="176" spans="1:22">
      <c r="A176" s="4"/>
      <c r="B176" s="5" t="s">
        <v>165</v>
      </c>
      <c r="C176" s="4" t="s">
        <v>36</v>
      </c>
      <c r="D176" s="6">
        <v>1</v>
      </c>
      <c r="E176" s="6">
        <f>SUM(P176)</f>
        <v>202.89116129032257</v>
      </c>
      <c r="F176" s="6">
        <f t="shared" si="150"/>
        <v>202.89116129032257</v>
      </c>
      <c r="G176" s="6">
        <f>SUM(U176)</f>
        <v>103.41</v>
      </c>
      <c r="H176" s="6">
        <f t="shared" si="152"/>
        <v>103.41</v>
      </c>
      <c r="I176" s="6">
        <f t="shared" si="153"/>
        <v>306.30116129032257</v>
      </c>
      <c r="J176" s="6">
        <f t="shared" si="154"/>
        <v>306.30116129032257</v>
      </c>
      <c r="K176" s="82"/>
      <c r="L176" s="24"/>
      <c r="N176" s="75">
        <f>SUM([2]SIL!$U$84:$U$86)</f>
        <v>176.58064516129031</v>
      </c>
      <c r="O176" s="76">
        <f>$O$1</f>
        <v>1.149</v>
      </c>
      <c r="P176" s="77">
        <f>SUM(O176*N176)</f>
        <v>202.89116129032257</v>
      </c>
      <c r="Q176" s="78">
        <f t="shared" si="83"/>
        <v>176.58064516129031</v>
      </c>
      <c r="R176" s="78"/>
      <c r="S176" s="79">
        <v>90</v>
      </c>
      <c r="T176" s="80">
        <f>$T$1</f>
        <v>1.149</v>
      </c>
      <c r="U176" s="79">
        <f>SUM(T176*S176)</f>
        <v>103.41</v>
      </c>
      <c r="V176">
        <f t="shared" si="84"/>
        <v>90</v>
      </c>
    </row>
    <row r="177" spans="1:22" ht="24">
      <c r="A177" s="19"/>
      <c r="B177" s="20" t="s">
        <v>166</v>
      </c>
      <c r="C177" s="19" t="s">
        <v>26</v>
      </c>
      <c r="D177" s="22"/>
      <c r="E177" s="22"/>
      <c r="F177" s="22"/>
      <c r="G177" s="22"/>
      <c r="H177" s="22"/>
      <c r="I177" s="22"/>
      <c r="J177" s="22"/>
      <c r="K177" s="82"/>
      <c r="L177" s="24"/>
      <c r="Q177" s="78">
        <f t="shared" si="83"/>
        <v>0</v>
      </c>
      <c r="V177">
        <f t="shared" si="84"/>
        <v>0</v>
      </c>
    </row>
    <row r="178" spans="1:22">
      <c r="A178" s="4"/>
      <c r="B178" s="5" t="s">
        <v>167</v>
      </c>
      <c r="C178" s="4" t="s">
        <v>36</v>
      </c>
      <c r="D178" s="6">
        <v>1</v>
      </c>
      <c r="E178" s="6">
        <f>SUM(P178)</f>
        <v>197.43032258064514</v>
      </c>
      <c r="F178" s="6">
        <f t="shared" ref="F178" si="159">D178*E178</f>
        <v>197.43032258064514</v>
      </c>
      <c r="G178" s="6">
        <f>SUM(U178)</f>
        <v>103.41</v>
      </c>
      <c r="H178" s="6">
        <f t="shared" ref="H178" si="160">D178*G178</f>
        <v>103.41</v>
      </c>
      <c r="I178" s="6">
        <f t="shared" ref="I178" si="161">E178+G178</f>
        <v>300.84032258064514</v>
      </c>
      <c r="J178" s="6">
        <f t="shared" ref="J178" si="162">F178+H178</f>
        <v>300.84032258064514</v>
      </c>
      <c r="K178" s="82"/>
      <c r="L178" s="24"/>
      <c r="N178" s="75">
        <f>SUM([2]SIL!$U$88:$U$91)</f>
        <v>171.8279569892473</v>
      </c>
      <c r="O178" s="76">
        <f>$O$1</f>
        <v>1.149</v>
      </c>
      <c r="P178" s="77">
        <f>SUM(O178*N178)</f>
        <v>197.43032258064514</v>
      </c>
      <c r="Q178" s="78">
        <f t="shared" si="83"/>
        <v>171.8279569892473</v>
      </c>
      <c r="R178" s="78"/>
      <c r="S178" s="79">
        <v>90</v>
      </c>
      <c r="T178" s="80">
        <f>$T$1</f>
        <v>1.149</v>
      </c>
      <c r="U178" s="79">
        <f>SUM(T178*S178)</f>
        <v>103.41</v>
      </c>
      <c r="V178">
        <f t="shared" si="84"/>
        <v>90</v>
      </c>
    </row>
    <row r="179" spans="1:22">
      <c r="A179" s="19"/>
      <c r="B179" s="20" t="s">
        <v>168</v>
      </c>
      <c r="C179" s="19" t="s">
        <v>26</v>
      </c>
      <c r="D179" s="21"/>
      <c r="E179" s="21"/>
      <c r="F179" s="21"/>
      <c r="G179" s="21"/>
      <c r="H179" s="21"/>
      <c r="I179" s="21"/>
      <c r="J179" s="21"/>
      <c r="K179" s="82"/>
      <c r="L179" s="24"/>
      <c r="Q179" s="78">
        <f t="shared" si="83"/>
        <v>0</v>
      </c>
      <c r="V179">
        <f t="shared" si="84"/>
        <v>0</v>
      </c>
    </row>
    <row r="180" spans="1:22">
      <c r="A180" s="4"/>
      <c r="B180" s="5" t="s">
        <v>169</v>
      </c>
      <c r="C180" s="4" t="s">
        <v>36</v>
      </c>
      <c r="D180" s="6">
        <v>1</v>
      </c>
      <c r="E180" s="6">
        <f>SUM(P180)</f>
        <v>379.29354838709673</v>
      </c>
      <c r="F180" s="6">
        <f t="shared" ref="F180" si="163">D180*E180</f>
        <v>379.29354838709673</v>
      </c>
      <c r="G180" s="6">
        <f>SUM(U180)</f>
        <v>287.25</v>
      </c>
      <c r="H180" s="6">
        <f t="shared" ref="H180" si="164">D180*G180</f>
        <v>287.25</v>
      </c>
      <c r="I180" s="6">
        <f t="shared" ref="I180" si="165">E180+G180</f>
        <v>666.54354838709673</v>
      </c>
      <c r="J180" s="6">
        <f t="shared" ref="J180" si="166">F180+H180</f>
        <v>666.54354838709673</v>
      </c>
      <c r="K180" s="82"/>
      <c r="L180" s="24"/>
      <c r="N180" s="75">
        <v>330.10752688172039</v>
      </c>
      <c r="O180" s="76">
        <f>$O$1</f>
        <v>1.149</v>
      </c>
      <c r="P180" s="77">
        <f>SUM(O180*N180)</f>
        <v>379.29354838709673</v>
      </c>
      <c r="Q180" s="78">
        <f t="shared" si="83"/>
        <v>330.10752688172039</v>
      </c>
      <c r="R180" s="78"/>
      <c r="S180" s="79">
        <v>250</v>
      </c>
      <c r="T180" s="80">
        <f>$T$1</f>
        <v>1.149</v>
      </c>
      <c r="U180" s="79">
        <f>SUM(T180*S180)</f>
        <v>287.25</v>
      </c>
      <c r="V180">
        <f t="shared" si="84"/>
        <v>250</v>
      </c>
    </row>
    <row r="181" spans="1:22" ht="24">
      <c r="A181" s="19"/>
      <c r="B181" s="20" t="s">
        <v>170</v>
      </c>
      <c r="C181" s="19" t="s">
        <v>26</v>
      </c>
      <c r="D181" s="21"/>
      <c r="E181" s="21"/>
      <c r="F181" s="21"/>
      <c r="G181" s="21"/>
      <c r="H181" s="21"/>
      <c r="I181" s="21"/>
      <c r="J181" s="21"/>
      <c r="K181" s="82"/>
      <c r="L181" s="24"/>
      <c r="Q181" s="78">
        <f t="shared" si="83"/>
        <v>0</v>
      </c>
      <c r="V181">
        <f t="shared" si="84"/>
        <v>0</v>
      </c>
    </row>
    <row r="182" spans="1:22">
      <c r="A182" s="4"/>
      <c r="B182" s="5" t="s">
        <v>171</v>
      </c>
      <c r="C182" s="4" t="s">
        <v>36</v>
      </c>
      <c r="D182" s="6">
        <v>1</v>
      </c>
      <c r="E182" s="6">
        <f t="shared" ref="E182:E185" si="167">SUM(P182)</f>
        <v>2074.1627052631584</v>
      </c>
      <c r="F182" s="6">
        <f t="shared" ref="F182:F185" si="168">D182*E182</f>
        <v>2074.1627052631584</v>
      </c>
      <c r="G182" s="6">
        <f t="shared" ref="G182:G185" si="169">SUM(U182)</f>
        <v>5285.4000000000005</v>
      </c>
      <c r="H182" s="6">
        <f t="shared" ref="H182:H185" si="170">D182*G182</f>
        <v>5285.4000000000005</v>
      </c>
      <c r="I182" s="6">
        <f t="shared" ref="I182:I185" si="171">E182+G182</f>
        <v>7359.5627052631589</v>
      </c>
      <c r="J182" s="6">
        <f t="shared" ref="J182:J185" si="172">F182+H182</f>
        <v>7359.5627052631589</v>
      </c>
      <c r="K182" s="82"/>
      <c r="L182" s="24"/>
      <c r="N182" s="75">
        <v>1805.1894736842107</v>
      </c>
      <c r="O182" s="76">
        <f t="shared" ref="O182:O185" si="173">$O$1</f>
        <v>1.149</v>
      </c>
      <c r="P182" s="77">
        <f t="shared" ref="P182:P185" si="174">SUM(O182*N182)</f>
        <v>2074.1627052631584</v>
      </c>
      <c r="Q182" s="78">
        <f t="shared" si="83"/>
        <v>1805.1894736842107</v>
      </c>
      <c r="R182" s="78"/>
      <c r="S182" s="79">
        <v>4600</v>
      </c>
      <c r="T182" s="80">
        <f t="shared" ref="T182:T185" si="175">$T$1</f>
        <v>1.149</v>
      </c>
      <c r="U182" s="79">
        <f t="shared" ref="U182:U185" si="176">SUM(T182*S182)</f>
        <v>5285.4000000000005</v>
      </c>
      <c r="V182">
        <f t="shared" si="84"/>
        <v>4600</v>
      </c>
    </row>
    <row r="183" spans="1:22">
      <c r="A183" s="4"/>
      <c r="B183" s="5" t="s">
        <v>172</v>
      </c>
      <c r="C183" s="4" t="s">
        <v>36</v>
      </c>
      <c r="D183" s="6">
        <v>80</v>
      </c>
      <c r="E183" s="6">
        <f t="shared" si="167"/>
        <v>6.9181894736842109</v>
      </c>
      <c r="F183" s="6">
        <f t="shared" si="168"/>
        <v>553.45515789473689</v>
      </c>
      <c r="G183" s="6">
        <f t="shared" si="169"/>
        <v>74.685000000000002</v>
      </c>
      <c r="H183" s="6">
        <f t="shared" si="170"/>
        <v>5974.8</v>
      </c>
      <c r="I183" s="6">
        <f t="shared" si="171"/>
        <v>81.60318947368421</v>
      </c>
      <c r="J183" s="6">
        <f t="shared" si="172"/>
        <v>6528.2551578947368</v>
      </c>
      <c r="K183" s="82"/>
      <c r="L183" s="24"/>
      <c r="N183" s="75">
        <v>6.0210526315789474</v>
      </c>
      <c r="O183" s="76">
        <f t="shared" si="173"/>
        <v>1.149</v>
      </c>
      <c r="P183" s="77">
        <f t="shared" si="174"/>
        <v>6.9181894736842109</v>
      </c>
      <c r="Q183" s="78">
        <f t="shared" si="83"/>
        <v>481.68421052631578</v>
      </c>
      <c r="R183" s="78"/>
      <c r="S183" s="79">
        <v>65</v>
      </c>
      <c r="T183" s="80">
        <f t="shared" si="175"/>
        <v>1.149</v>
      </c>
      <c r="U183" s="79">
        <f t="shared" si="176"/>
        <v>74.685000000000002</v>
      </c>
      <c r="V183">
        <f t="shared" si="84"/>
        <v>5200</v>
      </c>
    </row>
    <row r="184" spans="1:22">
      <c r="A184" s="4"/>
      <c r="B184" s="5" t="s">
        <v>173</v>
      </c>
      <c r="C184" s="4" t="s">
        <v>36</v>
      </c>
      <c r="D184" s="6">
        <v>10</v>
      </c>
      <c r="E184" s="6">
        <f t="shared" si="167"/>
        <v>12.239873684210528</v>
      </c>
      <c r="F184" s="6">
        <f t="shared" si="168"/>
        <v>122.39873684210528</v>
      </c>
      <c r="G184" s="6">
        <f t="shared" si="169"/>
        <v>97.665000000000006</v>
      </c>
      <c r="H184" s="6">
        <f t="shared" si="170"/>
        <v>976.65000000000009</v>
      </c>
      <c r="I184" s="6">
        <f t="shared" si="171"/>
        <v>109.90487368421053</v>
      </c>
      <c r="J184" s="6">
        <f t="shared" si="172"/>
        <v>1099.0487368421054</v>
      </c>
      <c r="K184" s="82"/>
      <c r="L184" s="24"/>
      <c r="N184" s="75">
        <f>SUM([2]SIL!$U$97:$U$98)</f>
        <v>10.65263157894737</v>
      </c>
      <c r="O184" s="76">
        <f t="shared" si="173"/>
        <v>1.149</v>
      </c>
      <c r="P184" s="77">
        <f t="shared" si="174"/>
        <v>12.239873684210528</v>
      </c>
      <c r="Q184" s="78">
        <f t="shared" si="83"/>
        <v>106.5263157894737</v>
      </c>
      <c r="R184" s="78"/>
      <c r="S184" s="79">
        <v>85</v>
      </c>
      <c r="T184" s="80">
        <f t="shared" si="175"/>
        <v>1.149</v>
      </c>
      <c r="U184" s="79">
        <f t="shared" si="176"/>
        <v>97.665000000000006</v>
      </c>
      <c r="V184">
        <f t="shared" si="84"/>
        <v>850</v>
      </c>
    </row>
    <row r="185" spans="1:22">
      <c r="A185" s="4"/>
      <c r="B185" s="5" t="s">
        <v>174</v>
      </c>
      <c r="C185" s="4" t="s">
        <v>36</v>
      </c>
      <c r="D185" s="6">
        <v>1</v>
      </c>
      <c r="E185" s="6">
        <f t="shared" si="167"/>
        <v>60.981663157894737</v>
      </c>
      <c r="F185" s="6">
        <f t="shared" si="168"/>
        <v>60.981663157894737</v>
      </c>
      <c r="G185" s="6">
        <f t="shared" si="169"/>
        <v>74.685000000000002</v>
      </c>
      <c r="H185" s="6">
        <f t="shared" si="170"/>
        <v>74.685000000000002</v>
      </c>
      <c r="I185" s="6">
        <f t="shared" si="171"/>
        <v>135.66666315789473</v>
      </c>
      <c r="J185" s="6">
        <f t="shared" si="172"/>
        <v>135.66666315789473</v>
      </c>
      <c r="K185" s="82"/>
      <c r="L185" s="24"/>
      <c r="N185" s="75">
        <f>SUM([2]SIL!$U$99:$U$100)</f>
        <v>53.073684210526316</v>
      </c>
      <c r="O185" s="76">
        <f t="shared" si="173"/>
        <v>1.149</v>
      </c>
      <c r="P185" s="77">
        <f t="shared" si="174"/>
        <v>60.981663157894737</v>
      </c>
      <c r="Q185" s="78">
        <f t="shared" si="83"/>
        <v>53.073684210526316</v>
      </c>
      <c r="R185" s="78"/>
      <c r="S185" s="79">
        <v>65</v>
      </c>
      <c r="T185" s="80">
        <f t="shared" si="175"/>
        <v>1.149</v>
      </c>
      <c r="U185" s="79">
        <f t="shared" si="176"/>
        <v>74.685000000000002</v>
      </c>
      <c r="V185">
        <f t="shared" si="84"/>
        <v>65</v>
      </c>
    </row>
    <row r="186" spans="1:22">
      <c r="A186" s="19"/>
      <c r="B186" s="20" t="s">
        <v>175</v>
      </c>
      <c r="C186" s="19" t="s">
        <v>26</v>
      </c>
      <c r="D186" s="21"/>
      <c r="E186" s="21"/>
      <c r="F186" s="21"/>
      <c r="G186" s="21"/>
      <c r="H186" s="21"/>
      <c r="I186" s="21"/>
      <c r="J186" s="21"/>
      <c r="K186" s="82"/>
      <c r="L186" s="24"/>
      <c r="Q186" s="78">
        <f t="shared" si="83"/>
        <v>0</v>
      </c>
      <c r="V186">
        <f t="shared" si="84"/>
        <v>0</v>
      </c>
    </row>
    <row r="187" spans="1:22">
      <c r="A187" s="19"/>
      <c r="B187" s="20" t="s">
        <v>176</v>
      </c>
      <c r="C187" s="19" t="s">
        <v>26</v>
      </c>
      <c r="D187" s="21"/>
      <c r="E187" s="21"/>
      <c r="F187" s="21"/>
      <c r="G187" s="21"/>
      <c r="H187" s="21"/>
      <c r="I187" s="21"/>
      <c r="J187" s="21"/>
      <c r="K187" s="82"/>
      <c r="L187" s="24"/>
      <c r="Q187" s="78">
        <f t="shared" si="83"/>
        <v>0</v>
      </c>
      <c r="V187">
        <f t="shared" si="84"/>
        <v>0</v>
      </c>
    </row>
    <row r="188" spans="1:22">
      <c r="A188" s="19"/>
      <c r="B188" s="20" t="s">
        <v>177</v>
      </c>
      <c r="C188" s="19" t="s">
        <v>26</v>
      </c>
      <c r="D188" s="21"/>
      <c r="E188" s="21"/>
      <c r="F188" s="21"/>
      <c r="G188" s="21"/>
      <c r="H188" s="21"/>
      <c r="I188" s="21"/>
      <c r="J188" s="21"/>
      <c r="K188" s="82"/>
      <c r="L188" s="24"/>
      <c r="Q188" s="78">
        <f t="shared" si="83"/>
        <v>0</v>
      </c>
      <c r="V188">
        <f t="shared" si="84"/>
        <v>0</v>
      </c>
    </row>
    <row r="189" spans="1:22">
      <c r="A189" s="4"/>
      <c r="B189" s="5" t="s">
        <v>178</v>
      </c>
      <c r="C189" s="4" t="s">
        <v>36</v>
      </c>
      <c r="D189" s="6">
        <v>120</v>
      </c>
      <c r="E189" s="6">
        <f t="shared" ref="E189:E191" si="177">SUM(P189)</f>
        <v>90.96451578947368</v>
      </c>
      <c r="F189" s="6">
        <f t="shared" ref="F189:F191" si="178">D189*E189</f>
        <v>10915.741894736842</v>
      </c>
      <c r="G189" s="6">
        <f t="shared" ref="G189:G191" si="179">SUM(U189)</f>
        <v>631.95000000000005</v>
      </c>
      <c r="H189" s="6">
        <f t="shared" ref="H189:H191" si="180">D189*G189</f>
        <v>75834</v>
      </c>
      <c r="I189" s="6">
        <f t="shared" ref="I189:I191" si="181">E189+G189</f>
        <v>722.91451578947374</v>
      </c>
      <c r="J189" s="6">
        <f t="shared" ref="J189:J191" si="182">F189+H189</f>
        <v>86749.741894736842</v>
      </c>
      <c r="K189" s="82"/>
      <c r="L189" s="24"/>
      <c r="N189" s="75">
        <v>79.168421052631572</v>
      </c>
      <c r="O189" s="76">
        <f t="shared" ref="O189:O191" si="183">$O$1</f>
        <v>1.149</v>
      </c>
      <c r="P189" s="77">
        <f t="shared" ref="P189:P191" si="184">SUM(O189*N189)</f>
        <v>90.96451578947368</v>
      </c>
      <c r="Q189" s="78">
        <f t="shared" si="83"/>
        <v>9500.2105263157882</v>
      </c>
      <c r="R189" s="78"/>
      <c r="S189" s="79">
        <v>550</v>
      </c>
      <c r="T189" s="80">
        <f t="shared" ref="T189:T191" si="185">$T$1</f>
        <v>1.149</v>
      </c>
      <c r="U189" s="79">
        <f t="shared" ref="U189:U191" si="186">SUM(T189*S189)</f>
        <v>631.95000000000005</v>
      </c>
      <c r="V189">
        <f t="shared" si="84"/>
        <v>66000</v>
      </c>
    </row>
    <row r="190" spans="1:22">
      <c r="A190" s="4"/>
      <c r="B190" s="5" t="s">
        <v>179</v>
      </c>
      <c r="C190" s="4" t="s">
        <v>36</v>
      </c>
      <c r="D190" s="6">
        <v>420</v>
      </c>
      <c r="E190" s="6">
        <f t="shared" si="177"/>
        <v>3.5437578947368427</v>
      </c>
      <c r="F190" s="6">
        <f t="shared" si="178"/>
        <v>1488.3783157894738</v>
      </c>
      <c r="G190" s="6">
        <f t="shared" si="179"/>
        <v>10.341000000000001</v>
      </c>
      <c r="H190" s="6">
        <f t="shared" si="180"/>
        <v>4343.22</v>
      </c>
      <c r="I190" s="6">
        <f t="shared" si="181"/>
        <v>13.884757894736843</v>
      </c>
      <c r="J190" s="6">
        <f t="shared" si="182"/>
        <v>5831.5983157894743</v>
      </c>
      <c r="K190" s="82"/>
      <c r="L190" s="24"/>
      <c r="N190" s="75">
        <v>3.0842105263157897</v>
      </c>
      <c r="O190" s="76">
        <f t="shared" si="183"/>
        <v>1.149</v>
      </c>
      <c r="P190" s="77">
        <f t="shared" si="184"/>
        <v>3.5437578947368427</v>
      </c>
      <c r="Q190" s="78">
        <f t="shared" si="83"/>
        <v>1295.3684210526317</v>
      </c>
      <c r="R190" s="78"/>
      <c r="S190" s="79">
        <v>9</v>
      </c>
      <c r="T190" s="80">
        <f t="shared" si="185"/>
        <v>1.149</v>
      </c>
      <c r="U190" s="79">
        <f t="shared" si="186"/>
        <v>10.341000000000001</v>
      </c>
      <c r="V190">
        <f t="shared" si="84"/>
        <v>3780</v>
      </c>
    </row>
    <row r="191" spans="1:22">
      <c r="A191" s="4"/>
      <c r="B191" s="5" t="s">
        <v>180</v>
      </c>
      <c r="C191" s="4" t="s">
        <v>36</v>
      </c>
      <c r="D191" s="6">
        <v>160</v>
      </c>
      <c r="E191" s="6">
        <f t="shared" si="177"/>
        <v>3.8703157894736844</v>
      </c>
      <c r="F191" s="6">
        <f t="shared" si="178"/>
        <v>619.25052631578956</v>
      </c>
      <c r="G191" s="6">
        <f t="shared" si="179"/>
        <v>10.341000000000001</v>
      </c>
      <c r="H191" s="6">
        <f t="shared" si="180"/>
        <v>1654.5600000000002</v>
      </c>
      <c r="I191" s="6">
        <f t="shared" si="181"/>
        <v>14.211315789473685</v>
      </c>
      <c r="J191" s="6">
        <f t="shared" si="182"/>
        <v>2273.8105263157895</v>
      </c>
      <c r="K191" s="82"/>
      <c r="L191" s="24"/>
      <c r="N191" s="75">
        <v>3.3684210526315792</v>
      </c>
      <c r="O191" s="76">
        <f t="shared" si="183"/>
        <v>1.149</v>
      </c>
      <c r="P191" s="77">
        <f t="shared" si="184"/>
        <v>3.8703157894736844</v>
      </c>
      <c r="Q191" s="78">
        <f t="shared" si="83"/>
        <v>538.94736842105272</v>
      </c>
      <c r="R191" s="78"/>
      <c r="S191" s="79">
        <v>9</v>
      </c>
      <c r="T191" s="80">
        <f t="shared" si="185"/>
        <v>1.149</v>
      </c>
      <c r="U191" s="79">
        <f t="shared" si="186"/>
        <v>10.341000000000001</v>
      </c>
      <c r="V191">
        <f t="shared" si="84"/>
        <v>1440</v>
      </c>
    </row>
    <row r="192" spans="1:22">
      <c r="A192" s="4"/>
      <c r="B192" s="5" t="s">
        <v>26</v>
      </c>
      <c r="C192" s="4" t="s">
        <v>26</v>
      </c>
      <c r="D192" s="6"/>
      <c r="E192" s="6"/>
      <c r="F192" s="6"/>
      <c r="G192" s="6"/>
      <c r="H192" s="6"/>
      <c r="I192" s="6"/>
      <c r="J192" s="6"/>
      <c r="K192" s="82"/>
      <c r="L192" s="24"/>
      <c r="Q192" s="78">
        <f t="shared" si="83"/>
        <v>0</v>
      </c>
      <c r="V192">
        <f t="shared" si="84"/>
        <v>0</v>
      </c>
    </row>
    <row r="193" spans="1:22">
      <c r="A193" s="13"/>
      <c r="B193" s="14" t="s">
        <v>181</v>
      </c>
      <c r="C193" s="13" t="s">
        <v>26</v>
      </c>
      <c r="D193" s="15"/>
      <c r="E193" s="15"/>
      <c r="F193" s="15">
        <f>SUM(F142:F192)</f>
        <v>112442.19380271649</v>
      </c>
      <c r="G193" s="15"/>
      <c r="H193" s="15">
        <f>SUM(H142:H192)</f>
        <v>114710.41499999999</v>
      </c>
      <c r="I193" s="15"/>
      <c r="J193" s="15">
        <f>SUM(J142:J192)</f>
        <v>227152.60880271651</v>
      </c>
      <c r="K193" s="82"/>
      <c r="L193" s="24"/>
      <c r="Q193" s="78">
        <f t="shared" si="83"/>
        <v>0</v>
      </c>
      <c r="V193">
        <f t="shared" si="84"/>
        <v>0</v>
      </c>
    </row>
    <row r="194" spans="1:22">
      <c r="A194" s="4"/>
      <c r="B194" s="5" t="s">
        <v>26</v>
      </c>
      <c r="C194" s="4" t="s">
        <v>26</v>
      </c>
      <c r="D194" s="6"/>
      <c r="E194" s="6"/>
      <c r="F194" s="6"/>
      <c r="G194" s="6"/>
      <c r="H194" s="6"/>
      <c r="I194" s="6"/>
      <c r="J194" s="6"/>
      <c r="K194" s="82"/>
      <c r="L194" s="24"/>
      <c r="Q194" s="78">
        <f t="shared" si="83"/>
        <v>0</v>
      </c>
      <c r="V194">
        <f t="shared" si="84"/>
        <v>0</v>
      </c>
    </row>
    <row r="195" spans="1:22">
      <c r="A195" s="13"/>
      <c r="B195" s="14" t="s">
        <v>182</v>
      </c>
      <c r="C195" s="13" t="s">
        <v>26</v>
      </c>
      <c r="D195" s="15"/>
      <c r="E195" s="15"/>
      <c r="F195" s="15"/>
      <c r="G195" s="15"/>
      <c r="H195" s="15"/>
      <c r="I195" s="15"/>
      <c r="J195" s="15"/>
      <c r="K195" s="82"/>
      <c r="L195" s="24"/>
      <c r="Q195" s="78">
        <f t="shared" si="83"/>
        <v>0</v>
      </c>
      <c r="V195">
        <f t="shared" si="84"/>
        <v>0</v>
      </c>
    </row>
    <row r="196" spans="1:22">
      <c r="A196" s="4"/>
      <c r="B196" s="5" t="s">
        <v>26</v>
      </c>
      <c r="C196" s="4" t="s">
        <v>26</v>
      </c>
      <c r="D196" s="6"/>
      <c r="E196" s="6"/>
      <c r="F196" s="6"/>
      <c r="G196" s="6"/>
      <c r="H196" s="6"/>
      <c r="I196" s="6"/>
      <c r="J196" s="6"/>
      <c r="K196" s="82"/>
      <c r="L196" s="24"/>
      <c r="Q196" s="78">
        <f t="shared" si="83"/>
        <v>0</v>
      </c>
      <c r="V196">
        <f t="shared" si="84"/>
        <v>0</v>
      </c>
    </row>
    <row r="197" spans="1:22" ht="21.9">
      <c r="A197" s="4"/>
      <c r="B197" s="5" t="s">
        <v>183</v>
      </c>
      <c r="C197" s="4" t="s">
        <v>36</v>
      </c>
      <c r="D197" s="6">
        <v>6</v>
      </c>
      <c r="E197" s="6">
        <f>SUM(P197)</f>
        <v>783.1704947368421</v>
      </c>
      <c r="F197" s="6">
        <f t="shared" ref="F197" si="187">D197*E197</f>
        <v>4699.0229684210526</v>
      </c>
      <c r="G197" s="6">
        <f>SUM(U197)</f>
        <v>1953.3</v>
      </c>
      <c r="H197" s="6">
        <f t="shared" ref="H197" si="188">D197*G197</f>
        <v>11719.8</v>
      </c>
      <c r="I197" s="6">
        <f t="shared" ref="I197" si="189">E197+G197</f>
        <v>2736.4704947368418</v>
      </c>
      <c r="J197" s="6">
        <f t="shared" ref="J197" si="190">F197+H197</f>
        <v>16418.822968421053</v>
      </c>
      <c r="K197" s="82"/>
      <c r="L197" s="24"/>
      <c r="N197" s="75">
        <v>681.61052631578946</v>
      </c>
      <c r="O197" s="76">
        <f>$O$1</f>
        <v>1.149</v>
      </c>
      <c r="P197" s="77">
        <f>SUM(O197*N197)</f>
        <v>783.1704947368421</v>
      </c>
      <c r="Q197" s="78">
        <f t="shared" si="83"/>
        <v>4089.6631578947367</v>
      </c>
      <c r="R197" s="78"/>
      <c r="S197" s="79">
        <v>1700</v>
      </c>
      <c r="T197" s="80">
        <f>$T$1</f>
        <v>1.149</v>
      </c>
      <c r="U197" s="79">
        <f>SUM(T197*S197)</f>
        <v>1953.3</v>
      </c>
      <c r="V197">
        <f t="shared" si="84"/>
        <v>10200</v>
      </c>
    </row>
    <row r="198" spans="1:22">
      <c r="A198" s="4"/>
      <c r="B198" s="5" t="s">
        <v>26</v>
      </c>
      <c r="C198" s="4" t="s">
        <v>26</v>
      </c>
      <c r="D198" s="6"/>
      <c r="E198" s="6"/>
      <c r="F198" s="6"/>
      <c r="G198" s="6"/>
      <c r="H198" s="6"/>
      <c r="I198" s="6"/>
      <c r="J198" s="6"/>
      <c r="K198" s="82"/>
      <c r="L198" s="24"/>
      <c r="Q198" s="78">
        <f t="shared" si="83"/>
        <v>0</v>
      </c>
      <c r="V198">
        <f t="shared" si="84"/>
        <v>0</v>
      </c>
    </row>
    <row r="199" spans="1:22">
      <c r="A199" s="13"/>
      <c r="B199" s="14" t="s">
        <v>184</v>
      </c>
      <c r="C199" s="13" t="s">
        <v>26</v>
      </c>
      <c r="D199" s="15"/>
      <c r="E199" s="15"/>
      <c r="F199" s="15">
        <f>SUM(F196:F198)</f>
        <v>4699.0229684210526</v>
      </c>
      <c r="G199" s="15"/>
      <c r="H199" s="15">
        <f>SUM(H196:H198)</f>
        <v>11719.8</v>
      </c>
      <c r="I199" s="15"/>
      <c r="J199" s="15">
        <f>SUM(J196:J198)</f>
        <v>16418.822968421053</v>
      </c>
      <c r="K199" s="82"/>
      <c r="L199" s="24"/>
      <c r="Q199" s="78">
        <f t="shared" si="83"/>
        <v>0</v>
      </c>
      <c r="V199">
        <f t="shared" si="84"/>
        <v>0</v>
      </c>
    </row>
    <row r="200" spans="1:22">
      <c r="A200" s="4"/>
      <c r="B200" s="5" t="s">
        <v>26</v>
      </c>
      <c r="C200" s="4" t="s">
        <v>26</v>
      </c>
      <c r="D200" s="6"/>
      <c r="E200" s="6"/>
      <c r="F200" s="6"/>
      <c r="G200" s="6"/>
      <c r="H200" s="6"/>
      <c r="I200" s="6"/>
      <c r="J200" s="6"/>
      <c r="K200" s="82"/>
      <c r="L200" s="24"/>
      <c r="Q200" s="78">
        <f t="shared" si="83"/>
        <v>0</v>
      </c>
      <c r="V200">
        <f t="shared" si="84"/>
        <v>0</v>
      </c>
    </row>
    <row r="201" spans="1:22">
      <c r="A201" s="13"/>
      <c r="B201" s="14" t="s">
        <v>185</v>
      </c>
      <c r="C201" s="13" t="s">
        <v>26</v>
      </c>
      <c r="D201" s="15"/>
      <c r="E201" s="15"/>
      <c r="F201" s="15"/>
      <c r="G201" s="15"/>
      <c r="H201" s="15"/>
      <c r="I201" s="15"/>
      <c r="J201" s="15"/>
      <c r="K201" s="82"/>
      <c r="L201" s="24"/>
      <c r="Q201" s="78">
        <f t="shared" ref="Q201:Q264" si="191">SUM(N201*D201)</f>
        <v>0</v>
      </c>
      <c r="V201">
        <f t="shared" ref="V201:V264" si="192">SUM(S201*D201)</f>
        <v>0</v>
      </c>
    </row>
    <row r="202" spans="1:22">
      <c r="A202" s="4"/>
      <c r="B202" s="5" t="s">
        <v>26</v>
      </c>
      <c r="C202" s="4" t="s">
        <v>26</v>
      </c>
      <c r="D202" s="6"/>
      <c r="E202" s="6"/>
      <c r="F202" s="6"/>
      <c r="G202" s="6"/>
      <c r="H202" s="6"/>
      <c r="I202" s="6"/>
      <c r="J202" s="6"/>
      <c r="K202" s="82"/>
      <c r="L202" s="24"/>
      <c r="Q202" s="78">
        <f t="shared" si="191"/>
        <v>0</v>
      </c>
      <c r="V202">
        <f t="shared" si="192"/>
        <v>0</v>
      </c>
    </row>
    <row r="203" spans="1:22">
      <c r="A203" s="19"/>
      <c r="B203" s="20" t="s">
        <v>186</v>
      </c>
      <c r="C203" s="19" t="s">
        <v>26</v>
      </c>
      <c r="D203" s="21"/>
      <c r="E203" s="21"/>
      <c r="F203" s="21"/>
      <c r="G203" s="21"/>
      <c r="H203" s="21"/>
      <c r="I203" s="21"/>
      <c r="J203" s="21"/>
      <c r="K203" s="82"/>
      <c r="L203" s="24"/>
      <c r="Q203" s="78">
        <f t="shared" si="191"/>
        <v>0</v>
      </c>
      <c r="V203">
        <f t="shared" si="192"/>
        <v>0</v>
      </c>
    </row>
    <row r="204" spans="1:22">
      <c r="A204" s="4"/>
      <c r="B204" s="5" t="s">
        <v>187</v>
      </c>
      <c r="C204" s="4" t="s">
        <v>188</v>
      </c>
      <c r="D204" s="6">
        <v>1840</v>
      </c>
      <c r="E204" s="6">
        <f t="shared" ref="E204:E215" si="193">SUM(P204)</f>
        <v>13.618673684210528</v>
      </c>
      <c r="F204" s="6">
        <f t="shared" ref="F204:F215" si="194">D204*E204</f>
        <v>25058.359578947369</v>
      </c>
      <c r="G204" s="6">
        <f t="shared" ref="G204:G215" si="195">SUM(U204)</f>
        <v>25.277999999999999</v>
      </c>
      <c r="H204" s="6">
        <f t="shared" ref="H204:H215" si="196">D204*G204</f>
        <v>46511.519999999997</v>
      </c>
      <c r="I204" s="6">
        <f t="shared" ref="I204:I215" si="197">E204+G204</f>
        <v>38.896673684210526</v>
      </c>
      <c r="J204" s="6">
        <f t="shared" ref="J204:J215" si="198">F204+H204</f>
        <v>71569.879578947366</v>
      </c>
      <c r="K204" s="82"/>
      <c r="L204" s="24"/>
      <c r="N204" s="75">
        <v>11.852631578947369</v>
      </c>
      <c r="O204" s="76">
        <f t="shared" ref="O204:O215" si="199">$O$1</f>
        <v>1.149</v>
      </c>
      <c r="P204" s="77">
        <f t="shared" ref="P204:P215" si="200">SUM(O204*N204)</f>
        <v>13.618673684210528</v>
      </c>
      <c r="Q204" s="78">
        <f t="shared" si="191"/>
        <v>21808.84210526316</v>
      </c>
      <c r="R204" s="78"/>
      <c r="S204" s="79">
        <v>22</v>
      </c>
      <c r="T204" s="80">
        <f t="shared" ref="T204:T215" si="201">$T$1</f>
        <v>1.149</v>
      </c>
      <c r="U204" s="79">
        <f t="shared" ref="U204:U215" si="202">SUM(T204*S204)</f>
        <v>25.277999999999999</v>
      </c>
      <c r="V204">
        <f t="shared" si="192"/>
        <v>40480</v>
      </c>
    </row>
    <row r="205" spans="1:22">
      <c r="A205" s="4"/>
      <c r="B205" s="5" t="s">
        <v>189</v>
      </c>
      <c r="C205" s="4" t="s">
        <v>188</v>
      </c>
      <c r="D205" s="6">
        <v>1650</v>
      </c>
      <c r="E205" s="6">
        <f t="shared" si="193"/>
        <v>22.544589473684212</v>
      </c>
      <c r="F205" s="6">
        <f t="shared" si="194"/>
        <v>37198.572631578951</v>
      </c>
      <c r="G205" s="6">
        <f t="shared" si="195"/>
        <v>25.277999999999999</v>
      </c>
      <c r="H205" s="6">
        <f t="shared" si="196"/>
        <v>41708.699999999997</v>
      </c>
      <c r="I205" s="6">
        <f t="shared" si="197"/>
        <v>47.822589473684211</v>
      </c>
      <c r="J205" s="6">
        <f t="shared" si="198"/>
        <v>78907.272631578948</v>
      </c>
      <c r="K205" s="82"/>
      <c r="L205" s="24"/>
      <c r="N205" s="75">
        <v>19.621052631578948</v>
      </c>
      <c r="O205" s="76">
        <f t="shared" si="199"/>
        <v>1.149</v>
      </c>
      <c r="P205" s="77">
        <f t="shared" si="200"/>
        <v>22.544589473684212</v>
      </c>
      <c r="Q205" s="78">
        <f t="shared" si="191"/>
        <v>32374.736842105263</v>
      </c>
      <c r="R205" s="78"/>
      <c r="S205" s="79">
        <v>22</v>
      </c>
      <c r="T205" s="80">
        <f t="shared" si="201"/>
        <v>1.149</v>
      </c>
      <c r="U205" s="79">
        <f t="shared" si="202"/>
        <v>25.277999999999999</v>
      </c>
      <c r="V205">
        <f t="shared" si="192"/>
        <v>36300</v>
      </c>
    </row>
    <row r="206" spans="1:22">
      <c r="A206" s="4"/>
      <c r="B206" s="5" t="s">
        <v>190</v>
      </c>
      <c r="C206" s="4" t="s">
        <v>188</v>
      </c>
      <c r="D206" s="6">
        <v>10</v>
      </c>
      <c r="E206" s="6">
        <f t="shared" si="193"/>
        <v>37.239694736842111</v>
      </c>
      <c r="F206" s="6">
        <f t="shared" si="194"/>
        <v>372.39694736842114</v>
      </c>
      <c r="G206" s="6">
        <f t="shared" si="195"/>
        <v>25.277999999999999</v>
      </c>
      <c r="H206" s="6">
        <f t="shared" si="196"/>
        <v>252.77999999999997</v>
      </c>
      <c r="I206" s="6">
        <f t="shared" si="197"/>
        <v>62.51769473684211</v>
      </c>
      <c r="J206" s="6">
        <f t="shared" si="198"/>
        <v>625.17694736842111</v>
      </c>
      <c r="K206" s="82"/>
      <c r="L206" s="24"/>
      <c r="N206" s="75">
        <v>32.410526315789475</v>
      </c>
      <c r="O206" s="76">
        <f t="shared" si="199"/>
        <v>1.149</v>
      </c>
      <c r="P206" s="77">
        <f t="shared" si="200"/>
        <v>37.239694736842111</v>
      </c>
      <c r="Q206" s="78">
        <f t="shared" si="191"/>
        <v>324.10526315789474</v>
      </c>
      <c r="R206" s="78"/>
      <c r="S206" s="79">
        <v>22</v>
      </c>
      <c r="T206" s="80">
        <f t="shared" si="201"/>
        <v>1.149</v>
      </c>
      <c r="U206" s="79">
        <f t="shared" si="202"/>
        <v>25.277999999999999</v>
      </c>
      <c r="V206">
        <f t="shared" si="192"/>
        <v>220</v>
      </c>
    </row>
    <row r="207" spans="1:22">
      <c r="A207" s="4"/>
      <c r="B207" s="5" t="s">
        <v>191</v>
      </c>
      <c r="C207" s="4" t="s">
        <v>188</v>
      </c>
      <c r="D207" s="6">
        <v>2840</v>
      </c>
      <c r="E207" s="6">
        <f t="shared" si="193"/>
        <v>22.592968421052632</v>
      </c>
      <c r="F207" s="6">
        <f t="shared" si="194"/>
        <v>64164.030315789474</v>
      </c>
      <c r="G207" s="6">
        <f t="shared" si="195"/>
        <v>25.277999999999999</v>
      </c>
      <c r="H207" s="6">
        <f t="shared" si="196"/>
        <v>71789.51999999999</v>
      </c>
      <c r="I207" s="6">
        <f t="shared" si="197"/>
        <v>47.870968421052631</v>
      </c>
      <c r="J207" s="6">
        <f t="shared" si="198"/>
        <v>135953.55031578947</v>
      </c>
      <c r="K207" s="82"/>
      <c r="L207" s="24"/>
      <c r="N207" s="75">
        <v>19.663157894736841</v>
      </c>
      <c r="O207" s="76">
        <f t="shared" si="199"/>
        <v>1.149</v>
      </c>
      <c r="P207" s="77">
        <f t="shared" si="200"/>
        <v>22.592968421052632</v>
      </c>
      <c r="Q207" s="78">
        <f t="shared" si="191"/>
        <v>55843.368421052626</v>
      </c>
      <c r="R207" s="78"/>
      <c r="S207" s="79">
        <v>22</v>
      </c>
      <c r="T207" s="80">
        <f t="shared" si="201"/>
        <v>1.149</v>
      </c>
      <c r="U207" s="79">
        <f t="shared" si="202"/>
        <v>25.277999999999999</v>
      </c>
      <c r="V207">
        <f t="shared" si="192"/>
        <v>62480</v>
      </c>
    </row>
    <row r="208" spans="1:22">
      <c r="A208" s="4"/>
      <c r="B208" s="5" t="s">
        <v>192</v>
      </c>
      <c r="C208" s="4" t="s">
        <v>188</v>
      </c>
      <c r="D208" s="6">
        <v>3600</v>
      </c>
      <c r="E208" s="6">
        <f t="shared" si="193"/>
        <v>37.155031578947373</v>
      </c>
      <c r="F208" s="6">
        <f t="shared" si="194"/>
        <v>133758.11368421055</v>
      </c>
      <c r="G208" s="6">
        <f t="shared" si="195"/>
        <v>26.427</v>
      </c>
      <c r="H208" s="6">
        <f t="shared" si="196"/>
        <v>95137.2</v>
      </c>
      <c r="I208" s="6">
        <f t="shared" si="197"/>
        <v>63.582031578947372</v>
      </c>
      <c r="J208" s="6">
        <f t="shared" si="198"/>
        <v>228895.31368421053</v>
      </c>
      <c r="K208" s="82"/>
      <c r="L208" s="24"/>
      <c r="N208" s="75">
        <v>32.336842105263159</v>
      </c>
      <c r="O208" s="76">
        <f t="shared" si="199"/>
        <v>1.149</v>
      </c>
      <c r="P208" s="77">
        <f t="shared" si="200"/>
        <v>37.155031578947373</v>
      </c>
      <c r="Q208" s="78">
        <f t="shared" si="191"/>
        <v>116412.63157894737</v>
      </c>
      <c r="R208" s="78"/>
      <c r="S208" s="79">
        <v>23</v>
      </c>
      <c r="T208" s="80">
        <f t="shared" si="201"/>
        <v>1.149</v>
      </c>
      <c r="U208" s="79">
        <f t="shared" si="202"/>
        <v>26.427</v>
      </c>
      <c r="V208">
        <f t="shared" si="192"/>
        <v>82800</v>
      </c>
    </row>
    <row r="209" spans="1:22">
      <c r="A209" s="4"/>
      <c r="B209" s="5" t="s">
        <v>193</v>
      </c>
      <c r="C209" s="4" t="s">
        <v>188</v>
      </c>
      <c r="D209" s="6">
        <v>320</v>
      </c>
      <c r="E209" s="6">
        <f t="shared" si="193"/>
        <v>96.395052631578963</v>
      </c>
      <c r="F209" s="6">
        <f t="shared" si="194"/>
        <v>30846.416842105267</v>
      </c>
      <c r="G209" s="6">
        <f t="shared" si="195"/>
        <v>28.725000000000001</v>
      </c>
      <c r="H209" s="6">
        <f t="shared" si="196"/>
        <v>9192</v>
      </c>
      <c r="I209" s="6">
        <f t="shared" si="197"/>
        <v>125.12005263157897</v>
      </c>
      <c r="J209" s="6">
        <f t="shared" si="198"/>
        <v>40038.416842105267</v>
      </c>
      <c r="K209" s="82"/>
      <c r="L209" s="24"/>
      <c r="N209" s="75">
        <v>83.894736842105274</v>
      </c>
      <c r="O209" s="76">
        <f t="shared" si="199"/>
        <v>1.149</v>
      </c>
      <c r="P209" s="77">
        <f t="shared" si="200"/>
        <v>96.395052631578963</v>
      </c>
      <c r="Q209" s="78">
        <f t="shared" si="191"/>
        <v>26846.315789473687</v>
      </c>
      <c r="R209" s="78"/>
      <c r="S209" s="79">
        <v>25</v>
      </c>
      <c r="T209" s="80">
        <f t="shared" si="201"/>
        <v>1.149</v>
      </c>
      <c r="U209" s="79">
        <f t="shared" si="202"/>
        <v>28.725000000000001</v>
      </c>
      <c r="V209">
        <f t="shared" si="192"/>
        <v>8000</v>
      </c>
    </row>
    <row r="210" spans="1:22">
      <c r="A210" s="4"/>
      <c r="B210" s="5" t="s">
        <v>194</v>
      </c>
      <c r="C210" s="4" t="s">
        <v>188</v>
      </c>
      <c r="D210" s="6">
        <v>350</v>
      </c>
      <c r="E210" s="6">
        <f t="shared" si="193"/>
        <v>88.79955789473685</v>
      </c>
      <c r="F210" s="6">
        <f t="shared" si="194"/>
        <v>31079.845263157898</v>
      </c>
      <c r="G210" s="6">
        <f t="shared" si="195"/>
        <v>28.725000000000001</v>
      </c>
      <c r="H210" s="6">
        <f t="shared" si="196"/>
        <v>10053.75</v>
      </c>
      <c r="I210" s="6">
        <f t="shared" si="197"/>
        <v>117.52455789473686</v>
      </c>
      <c r="J210" s="6">
        <f t="shared" si="198"/>
        <v>41133.595263157898</v>
      </c>
      <c r="K210" s="82"/>
      <c r="L210" s="24"/>
      <c r="N210" s="75">
        <v>77.284210526315789</v>
      </c>
      <c r="O210" s="76">
        <f t="shared" si="199"/>
        <v>1.149</v>
      </c>
      <c r="P210" s="77">
        <f t="shared" si="200"/>
        <v>88.79955789473685</v>
      </c>
      <c r="Q210" s="78">
        <f t="shared" si="191"/>
        <v>27049.473684210527</v>
      </c>
      <c r="R210" s="78"/>
      <c r="S210" s="79">
        <v>25</v>
      </c>
      <c r="T210" s="80">
        <f t="shared" si="201"/>
        <v>1.149</v>
      </c>
      <c r="U210" s="79">
        <f t="shared" si="202"/>
        <v>28.725000000000001</v>
      </c>
      <c r="V210">
        <f t="shared" si="192"/>
        <v>8750</v>
      </c>
    </row>
    <row r="211" spans="1:22">
      <c r="A211" s="4"/>
      <c r="B211" s="5" t="s">
        <v>195</v>
      </c>
      <c r="C211" s="4" t="s">
        <v>188</v>
      </c>
      <c r="D211" s="6">
        <v>1240</v>
      </c>
      <c r="E211" s="6">
        <f t="shared" si="193"/>
        <v>144.02412631578949</v>
      </c>
      <c r="F211" s="6">
        <f t="shared" si="194"/>
        <v>178589.91663157896</v>
      </c>
      <c r="G211" s="6">
        <f t="shared" si="195"/>
        <v>32.171999999999997</v>
      </c>
      <c r="H211" s="6">
        <f t="shared" si="196"/>
        <v>39893.279999999999</v>
      </c>
      <c r="I211" s="6">
        <f t="shared" si="197"/>
        <v>176.19612631578948</v>
      </c>
      <c r="J211" s="6">
        <f t="shared" si="198"/>
        <v>218483.19663157896</v>
      </c>
      <c r="K211" s="82"/>
      <c r="L211" s="24"/>
      <c r="N211" s="75">
        <v>125.34736842105264</v>
      </c>
      <c r="O211" s="76">
        <f t="shared" si="199"/>
        <v>1.149</v>
      </c>
      <c r="P211" s="77">
        <f t="shared" si="200"/>
        <v>144.02412631578949</v>
      </c>
      <c r="Q211" s="78">
        <f t="shared" si="191"/>
        <v>155430.73684210528</v>
      </c>
      <c r="R211" s="78"/>
      <c r="S211" s="79">
        <v>28</v>
      </c>
      <c r="T211" s="80">
        <f t="shared" si="201"/>
        <v>1.149</v>
      </c>
      <c r="U211" s="79">
        <f t="shared" si="202"/>
        <v>32.171999999999997</v>
      </c>
      <c r="V211">
        <f t="shared" si="192"/>
        <v>34720</v>
      </c>
    </row>
    <row r="212" spans="1:22">
      <c r="A212" s="4"/>
      <c r="B212" s="5" t="s">
        <v>196</v>
      </c>
      <c r="C212" s="4" t="s">
        <v>188</v>
      </c>
      <c r="D212" s="6">
        <v>320</v>
      </c>
      <c r="E212" s="6">
        <f t="shared" si="193"/>
        <v>232.13428421052635</v>
      </c>
      <c r="F212" s="6">
        <f t="shared" si="194"/>
        <v>74282.970947368434</v>
      </c>
      <c r="G212" s="6">
        <f t="shared" si="195"/>
        <v>34.47</v>
      </c>
      <c r="H212" s="6">
        <f t="shared" si="196"/>
        <v>11030.4</v>
      </c>
      <c r="I212" s="6">
        <f t="shared" si="197"/>
        <v>266.60428421052632</v>
      </c>
      <c r="J212" s="6">
        <f t="shared" si="198"/>
        <v>85313.370947368428</v>
      </c>
      <c r="K212" s="82"/>
      <c r="L212" s="24"/>
      <c r="N212" s="75">
        <v>202.03157894736844</v>
      </c>
      <c r="O212" s="76">
        <f t="shared" si="199"/>
        <v>1.149</v>
      </c>
      <c r="P212" s="77">
        <f t="shared" si="200"/>
        <v>232.13428421052635</v>
      </c>
      <c r="Q212" s="78">
        <f t="shared" si="191"/>
        <v>64650.1052631579</v>
      </c>
      <c r="R212" s="78"/>
      <c r="S212" s="79">
        <v>30</v>
      </c>
      <c r="T212" s="80">
        <f t="shared" si="201"/>
        <v>1.149</v>
      </c>
      <c r="U212" s="79">
        <f t="shared" si="202"/>
        <v>34.47</v>
      </c>
      <c r="V212">
        <f t="shared" si="192"/>
        <v>9600</v>
      </c>
    </row>
    <row r="213" spans="1:22">
      <c r="A213" s="4"/>
      <c r="B213" s="5" t="s">
        <v>197</v>
      </c>
      <c r="C213" s="4" t="s">
        <v>188</v>
      </c>
      <c r="D213" s="6">
        <v>10</v>
      </c>
      <c r="E213" s="6">
        <f t="shared" si="193"/>
        <v>738.08131578947371</v>
      </c>
      <c r="F213" s="6">
        <f t="shared" si="194"/>
        <v>7380.8131578947368</v>
      </c>
      <c r="G213" s="6">
        <f t="shared" si="195"/>
        <v>45.96</v>
      </c>
      <c r="H213" s="6">
        <f t="shared" si="196"/>
        <v>459.6</v>
      </c>
      <c r="I213" s="6">
        <f t="shared" si="197"/>
        <v>784.04131578947374</v>
      </c>
      <c r="J213" s="6">
        <f t="shared" si="198"/>
        <v>7840.4131578947372</v>
      </c>
      <c r="K213" s="82"/>
      <c r="L213" s="24"/>
      <c r="N213" s="75">
        <v>642.36842105263156</v>
      </c>
      <c r="O213" s="76">
        <f t="shared" si="199"/>
        <v>1.149</v>
      </c>
      <c r="P213" s="77">
        <f t="shared" si="200"/>
        <v>738.08131578947371</v>
      </c>
      <c r="Q213" s="78">
        <f t="shared" si="191"/>
        <v>6423.6842105263158</v>
      </c>
      <c r="R213" s="78"/>
      <c r="S213" s="79">
        <v>40</v>
      </c>
      <c r="T213" s="80">
        <f t="shared" si="201"/>
        <v>1.149</v>
      </c>
      <c r="U213" s="79">
        <f t="shared" si="202"/>
        <v>45.96</v>
      </c>
      <c r="V213">
        <f t="shared" si="192"/>
        <v>400</v>
      </c>
    </row>
    <row r="214" spans="1:22">
      <c r="A214" s="4"/>
      <c r="B214" s="5" t="s">
        <v>198</v>
      </c>
      <c r="C214" s="4" t="s">
        <v>188</v>
      </c>
      <c r="D214" s="6">
        <v>40</v>
      </c>
      <c r="E214" s="6">
        <f t="shared" si="193"/>
        <v>402.15000000000003</v>
      </c>
      <c r="F214" s="6">
        <f t="shared" si="194"/>
        <v>16086.000000000002</v>
      </c>
      <c r="G214" s="6">
        <f t="shared" si="195"/>
        <v>51.704999999999998</v>
      </c>
      <c r="H214" s="6">
        <f t="shared" si="196"/>
        <v>2068.1999999999998</v>
      </c>
      <c r="I214" s="6">
        <f t="shared" si="197"/>
        <v>453.85500000000002</v>
      </c>
      <c r="J214" s="6">
        <f t="shared" si="198"/>
        <v>18154.2</v>
      </c>
      <c r="K214" s="82"/>
      <c r="L214" s="24"/>
      <c r="N214" s="75">
        <v>350</v>
      </c>
      <c r="O214" s="76">
        <f t="shared" si="199"/>
        <v>1.149</v>
      </c>
      <c r="P214" s="77">
        <f t="shared" si="200"/>
        <v>402.15000000000003</v>
      </c>
      <c r="Q214" s="78">
        <f t="shared" si="191"/>
        <v>14000</v>
      </c>
      <c r="R214" s="78"/>
      <c r="S214" s="79">
        <v>45</v>
      </c>
      <c r="T214" s="80">
        <f t="shared" si="201"/>
        <v>1.149</v>
      </c>
      <c r="U214" s="79">
        <f t="shared" si="202"/>
        <v>51.704999999999998</v>
      </c>
      <c r="V214">
        <f t="shared" si="192"/>
        <v>1800</v>
      </c>
    </row>
    <row r="215" spans="1:22">
      <c r="A215" s="4"/>
      <c r="B215" s="5" t="s">
        <v>199</v>
      </c>
      <c r="C215" s="4" t="s">
        <v>188</v>
      </c>
      <c r="D215" s="6">
        <v>50</v>
      </c>
      <c r="E215" s="6">
        <f t="shared" si="193"/>
        <v>64.35609473684211</v>
      </c>
      <c r="F215" s="6">
        <f t="shared" si="194"/>
        <v>3217.8047368421053</v>
      </c>
      <c r="G215" s="6">
        <f t="shared" si="195"/>
        <v>34.47</v>
      </c>
      <c r="H215" s="6">
        <f t="shared" si="196"/>
        <v>1723.5</v>
      </c>
      <c r="I215" s="6">
        <f t="shared" si="197"/>
        <v>98.826094736842109</v>
      </c>
      <c r="J215" s="6">
        <f t="shared" si="198"/>
        <v>4941.3047368421048</v>
      </c>
      <c r="K215" s="82"/>
      <c r="L215" s="24"/>
      <c r="N215" s="75">
        <v>56.010526315789477</v>
      </c>
      <c r="O215" s="76">
        <f t="shared" si="199"/>
        <v>1.149</v>
      </c>
      <c r="P215" s="77">
        <f t="shared" si="200"/>
        <v>64.35609473684211</v>
      </c>
      <c r="Q215" s="78">
        <f t="shared" si="191"/>
        <v>2800.5263157894738</v>
      </c>
      <c r="R215" s="78"/>
      <c r="S215" s="79">
        <v>30</v>
      </c>
      <c r="T215" s="80">
        <f t="shared" si="201"/>
        <v>1.149</v>
      </c>
      <c r="U215" s="79">
        <f t="shared" si="202"/>
        <v>34.47</v>
      </c>
      <c r="V215">
        <f t="shared" si="192"/>
        <v>1500</v>
      </c>
    </row>
    <row r="216" spans="1:22">
      <c r="A216" s="19"/>
      <c r="B216" s="20" t="s">
        <v>186</v>
      </c>
      <c r="C216" s="19" t="s">
        <v>26</v>
      </c>
      <c r="D216" s="22"/>
      <c r="E216" s="22"/>
      <c r="F216" s="22"/>
      <c r="G216" s="22"/>
      <c r="H216" s="22"/>
      <c r="I216" s="22"/>
      <c r="J216" s="22"/>
      <c r="K216" s="82"/>
      <c r="L216" s="24"/>
      <c r="Q216" s="78">
        <f t="shared" si="191"/>
        <v>0</v>
      </c>
      <c r="V216">
        <f t="shared" si="192"/>
        <v>0</v>
      </c>
    </row>
    <row r="217" spans="1:22">
      <c r="A217" s="4"/>
      <c r="B217" s="5" t="s">
        <v>200</v>
      </c>
      <c r="C217" s="4" t="s">
        <v>188</v>
      </c>
      <c r="D217" s="6">
        <v>840</v>
      </c>
      <c r="E217" s="6">
        <f>SUM(P217)</f>
        <v>22.592968421052632</v>
      </c>
      <c r="F217" s="6">
        <f t="shared" ref="F217" si="203">D217*E217</f>
        <v>18978.09347368421</v>
      </c>
      <c r="G217" s="6">
        <f>SUM(U217)</f>
        <v>25.277999999999999</v>
      </c>
      <c r="H217" s="6">
        <f t="shared" ref="H217" si="204">D217*G217</f>
        <v>21233.52</v>
      </c>
      <c r="I217" s="6">
        <f t="shared" ref="I217" si="205">E217+G217</f>
        <v>47.870968421052631</v>
      </c>
      <c r="J217" s="6">
        <f t="shared" ref="J217" si="206">F217+H217</f>
        <v>40211.613473684207</v>
      </c>
      <c r="K217" s="82"/>
      <c r="L217" s="24"/>
      <c r="N217" s="75">
        <v>19.663157894736841</v>
      </c>
      <c r="O217" s="76">
        <f>$O$1</f>
        <v>1.149</v>
      </c>
      <c r="P217" s="77">
        <f>SUM(O217*N217)</f>
        <v>22.592968421052632</v>
      </c>
      <c r="Q217" s="78">
        <f t="shared" si="191"/>
        <v>16517.052631578947</v>
      </c>
      <c r="R217" s="78"/>
      <c r="S217" s="79">
        <v>22</v>
      </c>
      <c r="T217" s="80">
        <f>$T$1</f>
        <v>1.149</v>
      </c>
      <c r="U217" s="79">
        <f>SUM(T217*S217)</f>
        <v>25.277999999999999</v>
      </c>
      <c r="V217">
        <f t="shared" si="192"/>
        <v>18480</v>
      </c>
    </row>
    <row r="218" spans="1:22" ht="35.6">
      <c r="A218" s="19"/>
      <c r="B218" s="20" t="s">
        <v>201</v>
      </c>
      <c r="C218" s="19" t="s">
        <v>26</v>
      </c>
      <c r="D218" s="21"/>
      <c r="E218" s="21"/>
      <c r="F218" s="21"/>
      <c r="G218" s="21"/>
      <c r="H218" s="21"/>
      <c r="I218" s="21"/>
      <c r="J218" s="21"/>
      <c r="K218" s="82"/>
      <c r="L218" s="24"/>
      <c r="Q218" s="78">
        <f t="shared" si="191"/>
        <v>0</v>
      </c>
      <c r="V218">
        <f t="shared" si="192"/>
        <v>0</v>
      </c>
    </row>
    <row r="219" spans="1:22">
      <c r="A219" s="4"/>
      <c r="B219" s="5" t="s">
        <v>202</v>
      </c>
      <c r="C219" s="4" t="s">
        <v>188</v>
      </c>
      <c r="D219" s="6">
        <v>40</v>
      </c>
      <c r="E219" s="6">
        <f>SUM(P219)</f>
        <v>49.104631578947377</v>
      </c>
      <c r="F219" s="6">
        <f t="shared" ref="F219" si="207">D219*E219</f>
        <v>1964.185263157895</v>
      </c>
      <c r="G219" s="6">
        <f>SUM(U219)</f>
        <v>40.215000000000003</v>
      </c>
      <c r="H219" s="6">
        <f t="shared" ref="H219" si="208">D219*G219</f>
        <v>1608.6000000000001</v>
      </c>
      <c r="I219" s="6">
        <f t="shared" ref="I219" si="209">E219+G219</f>
        <v>89.31963157894738</v>
      </c>
      <c r="J219" s="6">
        <f t="shared" ref="J219" si="210">F219+H219</f>
        <v>3572.7852631578953</v>
      </c>
      <c r="K219" s="82"/>
      <c r="L219" s="24"/>
      <c r="N219" s="75">
        <v>42.736842105263165</v>
      </c>
      <c r="O219" s="76">
        <f>$O$1</f>
        <v>1.149</v>
      </c>
      <c r="P219" s="77">
        <f>SUM(O219*N219)</f>
        <v>49.104631578947377</v>
      </c>
      <c r="Q219" s="78">
        <f t="shared" si="191"/>
        <v>1709.4736842105267</v>
      </c>
      <c r="R219" s="78"/>
      <c r="S219" s="79">
        <v>35</v>
      </c>
      <c r="T219" s="80">
        <f>$T$1</f>
        <v>1.149</v>
      </c>
      <c r="U219" s="79">
        <f>SUM(T219*S219)</f>
        <v>40.215000000000003</v>
      </c>
      <c r="V219">
        <f t="shared" si="192"/>
        <v>1400</v>
      </c>
    </row>
    <row r="220" spans="1:22">
      <c r="A220" s="19"/>
      <c r="B220" s="20" t="s">
        <v>203</v>
      </c>
      <c r="C220" s="19" t="s">
        <v>26</v>
      </c>
      <c r="D220" s="21"/>
      <c r="E220" s="21"/>
      <c r="F220" s="21"/>
      <c r="G220" s="21"/>
      <c r="H220" s="21"/>
      <c r="I220" s="21"/>
      <c r="J220" s="21"/>
      <c r="K220" s="82"/>
      <c r="L220" s="24"/>
      <c r="Q220" s="78">
        <f t="shared" si="191"/>
        <v>0</v>
      </c>
      <c r="V220">
        <f t="shared" si="192"/>
        <v>0</v>
      </c>
    </row>
    <row r="221" spans="1:22">
      <c r="A221" s="4"/>
      <c r="B221" s="5" t="s">
        <v>204</v>
      </c>
      <c r="C221" s="4" t="s">
        <v>188</v>
      </c>
      <c r="D221" s="6">
        <v>180</v>
      </c>
      <c r="E221" s="6">
        <f>SUM(P221)</f>
        <v>9.7967368421052647</v>
      </c>
      <c r="F221" s="6">
        <f t="shared" ref="F221" si="211">D221*E221</f>
        <v>1763.4126315789476</v>
      </c>
      <c r="G221" s="6">
        <f>SUM(U221)</f>
        <v>36.768000000000001</v>
      </c>
      <c r="H221" s="6">
        <f t="shared" ref="H221" si="212">D221*G221</f>
        <v>6618.24</v>
      </c>
      <c r="I221" s="6">
        <f t="shared" ref="I221" si="213">E221+G221</f>
        <v>46.564736842105262</v>
      </c>
      <c r="J221" s="6">
        <f t="shared" ref="J221" si="214">F221+H221</f>
        <v>8381.652631578947</v>
      </c>
      <c r="K221" s="82"/>
      <c r="L221" s="24"/>
      <c r="N221" s="75">
        <v>8.526315789473685</v>
      </c>
      <c r="O221" s="76">
        <f>$O$1</f>
        <v>1.149</v>
      </c>
      <c r="P221" s="77">
        <f>SUM(O221*N221)</f>
        <v>9.7967368421052647</v>
      </c>
      <c r="Q221" s="78">
        <f t="shared" si="191"/>
        <v>1534.7368421052633</v>
      </c>
      <c r="R221" s="78"/>
      <c r="S221" s="79">
        <v>32</v>
      </c>
      <c r="T221" s="80">
        <f>$T$1</f>
        <v>1.149</v>
      </c>
      <c r="U221" s="79">
        <f>SUM(T221*S221)</f>
        <v>36.768000000000001</v>
      </c>
      <c r="V221">
        <f t="shared" si="192"/>
        <v>5760</v>
      </c>
    </row>
    <row r="222" spans="1:22">
      <c r="A222" s="19"/>
      <c r="B222" s="20" t="s">
        <v>205</v>
      </c>
      <c r="C222" s="19" t="s">
        <v>26</v>
      </c>
      <c r="D222" s="22"/>
      <c r="E222" s="22"/>
      <c r="F222" s="22"/>
      <c r="G222" s="22"/>
      <c r="H222" s="22"/>
      <c r="I222" s="22"/>
      <c r="J222" s="22"/>
      <c r="K222" s="82"/>
      <c r="L222" s="24"/>
      <c r="Q222" s="78">
        <f t="shared" si="191"/>
        <v>0</v>
      </c>
      <c r="V222">
        <f t="shared" si="192"/>
        <v>0</v>
      </c>
    </row>
    <row r="223" spans="1:22">
      <c r="A223" s="4"/>
      <c r="B223" s="5" t="s">
        <v>206</v>
      </c>
      <c r="C223" s="4" t="s">
        <v>188</v>
      </c>
      <c r="D223" s="6">
        <v>70</v>
      </c>
      <c r="E223" s="6">
        <f>SUM(P223)</f>
        <v>31.688210526315792</v>
      </c>
      <c r="F223" s="6">
        <f t="shared" ref="F223" si="215">D223*E223</f>
        <v>2218.1747368421056</v>
      </c>
      <c r="G223" s="6">
        <f>SUM(U223)</f>
        <v>34.47</v>
      </c>
      <c r="H223" s="6">
        <f t="shared" ref="H223" si="216">D223*G223</f>
        <v>2412.9</v>
      </c>
      <c r="I223" s="6">
        <f t="shared" ref="I223" si="217">E223+G223</f>
        <v>66.158210526315798</v>
      </c>
      <c r="J223" s="6">
        <f t="shared" ref="J223" si="218">F223+H223</f>
        <v>4631.0747368421053</v>
      </c>
      <c r="K223" s="82"/>
      <c r="L223" s="24"/>
      <c r="N223" s="75">
        <v>27.578947368421055</v>
      </c>
      <c r="O223" s="76">
        <f>$O$1</f>
        <v>1.149</v>
      </c>
      <c r="P223" s="77">
        <f>SUM(O223*N223)</f>
        <v>31.688210526315792</v>
      </c>
      <c r="Q223" s="78">
        <f t="shared" si="191"/>
        <v>1930.5263157894738</v>
      </c>
      <c r="R223" s="78"/>
      <c r="S223" s="79">
        <v>30</v>
      </c>
      <c r="T223" s="80">
        <f>$T$1</f>
        <v>1.149</v>
      </c>
      <c r="U223" s="79">
        <f>SUM(T223*S223)</f>
        <v>34.47</v>
      </c>
      <c r="V223">
        <f t="shared" si="192"/>
        <v>2100</v>
      </c>
    </row>
    <row r="224" spans="1:22">
      <c r="A224" s="19"/>
      <c r="B224" s="20" t="s">
        <v>207</v>
      </c>
      <c r="C224" s="19" t="s">
        <v>26</v>
      </c>
      <c r="D224" s="21"/>
      <c r="E224" s="21"/>
      <c r="F224" s="21"/>
      <c r="G224" s="21"/>
      <c r="H224" s="21"/>
      <c r="I224" s="21"/>
      <c r="J224" s="21"/>
      <c r="K224" s="82"/>
      <c r="L224" s="24"/>
      <c r="Q224" s="78">
        <f t="shared" si="191"/>
        <v>0</v>
      </c>
      <c r="V224">
        <f t="shared" si="192"/>
        <v>0</v>
      </c>
    </row>
    <row r="225" spans="1:22">
      <c r="A225" s="4"/>
      <c r="B225" s="5" t="s">
        <v>208</v>
      </c>
      <c r="C225" s="4" t="s">
        <v>188</v>
      </c>
      <c r="D225" s="6">
        <v>120</v>
      </c>
      <c r="E225" s="6">
        <f>SUM(P225)</f>
        <v>24.854684210526315</v>
      </c>
      <c r="F225" s="6">
        <f t="shared" ref="F225" si="219">D225*E225</f>
        <v>2982.5621052631577</v>
      </c>
      <c r="G225" s="6">
        <f>SUM(U225)</f>
        <v>34.47</v>
      </c>
      <c r="H225" s="6">
        <f t="shared" ref="H225" si="220">D225*G225</f>
        <v>4136.3999999999996</v>
      </c>
      <c r="I225" s="6">
        <f t="shared" ref="I225" si="221">E225+G225</f>
        <v>59.324684210526314</v>
      </c>
      <c r="J225" s="6">
        <f t="shared" ref="J225" si="222">F225+H225</f>
        <v>7118.9621052631574</v>
      </c>
      <c r="K225" s="82"/>
      <c r="L225" s="24"/>
      <c r="N225" s="75">
        <v>21.631578947368421</v>
      </c>
      <c r="O225" s="76">
        <f>$O$1</f>
        <v>1.149</v>
      </c>
      <c r="P225" s="77">
        <f>SUM(O225*N225)</f>
        <v>24.854684210526315</v>
      </c>
      <c r="Q225" s="78">
        <f t="shared" si="191"/>
        <v>2595.7894736842104</v>
      </c>
      <c r="R225" s="78"/>
      <c r="S225" s="79">
        <v>30</v>
      </c>
      <c r="T225" s="80">
        <f>$T$1</f>
        <v>1.149</v>
      </c>
      <c r="U225" s="79">
        <f>SUM(T225*S225)</f>
        <v>34.47</v>
      </c>
      <c r="V225">
        <f t="shared" si="192"/>
        <v>3600</v>
      </c>
    </row>
    <row r="226" spans="1:22">
      <c r="A226" s="4"/>
      <c r="B226" s="5" t="s">
        <v>26</v>
      </c>
      <c r="C226" s="4" t="s">
        <v>26</v>
      </c>
      <c r="D226" s="6"/>
      <c r="E226" s="6"/>
      <c r="F226" s="6"/>
      <c r="G226" s="6"/>
      <c r="H226" s="6"/>
      <c r="I226" s="6"/>
      <c r="J226" s="6"/>
      <c r="K226" s="82"/>
      <c r="L226" s="24"/>
      <c r="Q226" s="78">
        <f t="shared" si="191"/>
        <v>0</v>
      </c>
      <c r="V226">
        <f t="shared" si="192"/>
        <v>0</v>
      </c>
    </row>
    <row r="227" spans="1:22">
      <c r="A227" s="13"/>
      <c r="B227" s="14" t="s">
        <v>209</v>
      </c>
      <c r="C227" s="13" t="s">
        <v>26</v>
      </c>
      <c r="D227" s="15"/>
      <c r="E227" s="15"/>
      <c r="F227" s="15">
        <f>SUM(F202:F226)</f>
        <v>629941.66894736839</v>
      </c>
      <c r="G227" s="15"/>
      <c r="H227" s="15">
        <f>SUM(H202:H226)</f>
        <v>365830.11000000004</v>
      </c>
      <c r="I227" s="15"/>
      <c r="J227" s="15">
        <f>SUM(J202:J226)</f>
        <v>995771.77894736826</v>
      </c>
      <c r="K227" s="82"/>
      <c r="L227" s="24"/>
      <c r="Q227" s="78">
        <f t="shared" si="191"/>
        <v>0</v>
      </c>
      <c r="V227">
        <f t="shared" si="192"/>
        <v>0</v>
      </c>
    </row>
    <row r="228" spans="1:22">
      <c r="A228" s="4"/>
      <c r="B228" s="5" t="s">
        <v>26</v>
      </c>
      <c r="C228" s="4" t="s">
        <v>26</v>
      </c>
      <c r="D228" s="6"/>
      <c r="E228" s="6"/>
      <c r="F228" s="6"/>
      <c r="G228" s="6"/>
      <c r="H228" s="6"/>
      <c r="I228" s="6"/>
      <c r="J228" s="6"/>
      <c r="K228" s="82"/>
      <c r="L228" s="24"/>
      <c r="Q228" s="78">
        <f t="shared" si="191"/>
        <v>0</v>
      </c>
      <c r="V228">
        <f t="shared" si="192"/>
        <v>0</v>
      </c>
    </row>
    <row r="229" spans="1:22">
      <c r="A229" s="13"/>
      <c r="B229" s="14" t="s">
        <v>210</v>
      </c>
      <c r="C229" s="13" t="s">
        <v>26</v>
      </c>
      <c r="D229" s="15"/>
      <c r="E229" s="15"/>
      <c r="F229" s="15"/>
      <c r="G229" s="15"/>
      <c r="H229" s="15"/>
      <c r="I229" s="15"/>
      <c r="J229" s="15"/>
      <c r="K229" s="82"/>
      <c r="L229" s="24"/>
      <c r="Q229" s="78">
        <f t="shared" si="191"/>
        <v>0</v>
      </c>
      <c r="V229">
        <f t="shared" si="192"/>
        <v>0</v>
      </c>
    </row>
    <row r="230" spans="1:22">
      <c r="A230" s="4"/>
      <c r="B230" s="5" t="s">
        <v>26</v>
      </c>
      <c r="C230" s="4" t="s">
        <v>26</v>
      </c>
      <c r="D230" s="6"/>
      <c r="E230" s="6"/>
      <c r="F230" s="6"/>
      <c r="G230" s="6"/>
      <c r="H230" s="6"/>
      <c r="I230" s="6"/>
      <c r="J230" s="6"/>
      <c r="K230" s="82"/>
      <c r="L230" s="24"/>
      <c r="Q230" s="78">
        <f t="shared" si="191"/>
        <v>0</v>
      </c>
      <c r="V230">
        <f t="shared" si="192"/>
        <v>0</v>
      </c>
    </row>
    <row r="231" spans="1:22" ht="24">
      <c r="A231" s="19"/>
      <c r="B231" s="20" t="s">
        <v>211</v>
      </c>
      <c r="C231" s="19" t="s">
        <v>26</v>
      </c>
      <c r="D231" s="21"/>
      <c r="E231" s="21"/>
      <c r="F231" s="21"/>
      <c r="G231" s="21"/>
      <c r="H231" s="21"/>
      <c r="I231" s="21"/>
      <c r="J231" s="21"/>
      <c r="K231" s="82"/>
      <c r="L231" s="24"/>
      <c r="Q231" s="78">
        <f t="shared" si="191"/>
        <v>0</v>
      </c>
      <c r="V231">
        <f t="shared" si="192"/>
        <v>0</v>
      </c>
    </row>
    <row r="232" spans="1:22">
      <c r="A232" s="4"/>
      <c r="B232" s="5" t="s">
        <v>212</v>
      </c>
      <c r="C232" s="4" t="s">
        <v>36</v>
      </c>
      <c r="D232" s="6">
        <v>3840</v>
      </c>
      <c r="E232" s="6">
        <f t="shared" ref="E232:E238" si="223">SUM(P232)</f>
        <v>0</v>
      </c>
      <c r="F232" s="6">
        <f t="shared" ref="F232:F238" si="224">D232*E232</f>
        <v>0</v>
      </c>
      <c r="G232" s="6">
        <f t="shared" ref="G232:G238" si="225">SUM(U232)</f>
        <v>8.0429999999999993</v>
      </c>
      <c r="H232" s="6">
        <f t="shared" ref="H232:H238" si="226">D232*G232</f>
        <v>30885.119999999995</v>
      </c>
      <c r="I232" s="6">
        <f t="shared" ref="I232:I238" si="227">E232+G232</f>
        <v>8.0429999999999993</v>
      </c>
      <c r="J232" s="6">
        <f t="shared" ref="J232:J238" si="228">F232+H232</f>
        <v>30885.119999999995</v>
      </c>
      <c r="K232" s="82"/>
      <c r="L232" s="165">
        <f>SUM(J232)</f>
        <v>30885.119999999995</v>
      </c>
      <c r="N232" s="75"/>
      <c r="O232" s="76">
        <f t="shared" ref="O232:O238" si="229">$O$1</f>
        <v>1.149</v>
      </c>
      <c r="P232" s="77">
        <f t="shared" ref="P232:P238" si="230">SUM(O232*N232)</f>
        <v>0</v>
      </c>
      <c r="Q232" s="78">
        <f t="shared" si="191"/>
        <v>0</v>
      </c>
      <c r="R232" s="78"/>
      <c r="S232" s="79">
        <v>7</v>
      </c>
      <c r="T232" s="80">
        <f t="shared" ref="T232:T238" si="231">$T$1</f>
        <v>1.149</v>
      </c>
      <c r="U232" s="79">
        <f t="shared" ref="U232:U238" si="232">SUM(T232*S232)</f>
        <v>8.0429999999999993</v>
      </c>
      <c r="V232">
        <f t="shared" si="192"/>
        <v>26880</v>
      </c>
    </row>
    <row r="233" spans="1:22">
      <c r="A233" s="4"/>
      <c r="B233" s="5" t="s">
        <v>213</v>
      </c>
      <c r="C233" s="4" t="s">
        <v>36</v>
      </c>
      <c r="D233" s="6">
        <v>80</v>
      </c>
      <c r="E233" s="6">
        <f t="shared" si="223"/>
        <v>0</v>
      </c>
      <c r="F233" s="6">
        <f t="shared" si="224"/>
        <v>0</v>
      </c>
      <c r="G233" s="6">
        <f t="shared" si="225"/>
        <v>17.234999999999999</v>
      </c>
      <c r="H233" s="6">
        <f t="shared" si="226"/>
        <v>1378.8</v>
      </c>
      <c r="I233" s="6">
        <f t="shared" si="227"/>
        <v>17.234999999999999</v>
      </c>
      <c r="J233" s="6">
        <f t="shared" si="228"/>
        <v>1378.8</v>
      </c>
      <c r="K233" s="82"/>
      <c r="L233" s="165">
        <f t="shared" ref="L233:L238" si="233">SUM(J233)</f>
        <v>1378.8</v>
      </c>
      <c r="N233" s="75"/>
      <c r="O233" s="76">
        <f t="shared" si="229"/>
        <v>1.149</v>
      </c>
      <c r="P233" s="77">
        <f t="shared" si="230"/>
        <v>0</v>
      </c>
      <c r="Q233" s="78">
        <f t="shared" si="191"/>
        <v>0</v>
      </c>
      <c r="R233" s="78"/>
      <c r="S233" s="79">
        <v>15</v>
      </c>
      <c r="T233" s="80">
        <f t="shared" si="231"/>
        <v>1.149</v>
      </c>
      <c r="U233" s="79">
        <f t="shared" si="232"/>
        <v>17.234999999999999</v>
      </c>
      <c r="V233">
        <f t="shared" si="192"/>
        <v>1200</v>
      </c>
    </row>
    <row r="234" spans="1:22">
      <c r="A234" s="4"/>
      <c r="B234" s="5" t="s">
        <v>214</v>
      </c>
      <c r="C234" s="4" t="s">
        <v>36</v>
      </c>
      <c r="D234" s="6">
        <v>120</v>
      </c>
      <c r="E234" s="6">
        <f t="shared" si="223"/>
        <v>0</v>
      </c>
      <c r="F234" s="6">
        <f t="shared" si="224"/>
        <v>0</v>
      </c>
      <c r="G234" s="6">
        <f t="shared" si="225"/>
        <v>17.234999999999999</v>
      </c>
      <c r="H234" s="6">
        <f t="shared" si="226"/>
        <v>2068.1999999999998</v>
      </c>
      <c r="I234" s="6">
        <f t="shared" si="227"/>
        <v>17.234999999999999</v>
      </c>
      <c r="J234" s="6">
        <f t="shared" si="228"/>
        <v>2068.1999999999998</v>
      </c>
      <c r="K234" s="82"/>
      <c r="L234" s="165">
        <f t="shared" si="233"/>
        <v>2068.1999999999998</v>
      </c>
      <c r="N234" s="75"/>
      <c r="O234" s="76">
        <f t="shared" si="229"/>
        <v>1.149</v>
      </c>
      <c r="P234" s="77">
        <f t="shared" si="230"/>
        <v>0</v>
      </c>
      <c r="Q234" s="78">
        <f t="shared" si="191"/>
        <v>0</v>
      </c>
      <c r="R234" s="78"/>
      <c r="S234" s="79">
        <v>15</v>
      </c>
      <c r="T234" s="80">
        <f t="shared" si="231"/>
        <v>1.149</v>
      </c>
      <c r="U234" s="79">
        <f t="shared" si="232"/>
        <v>17.234999999999999</v>
      </c>
      <c r="V234">
        <f t="shared" si="192"/>
        <v>1800</v>
      </c>
    </row>
    <row r="235" spans="1:22">
      <c r="A235" s="4"/>
      <c r="B235" s="5" t="s">
        <v>215</v>
      </c>
      <c r="C235" s="4" t="s">
        <v>36</v>
      </c>
      <c r="D235" s="6">
        <v>180</v>
      </c>
      <c r="E235" s="6">
        <f t="shared" si="223"/>
        <v>0</v>
      </c>
      <c r="F235" s="6">
        <f t="shared" si="224"/>
        <v>0</v>
      </c>
      <c r="G235" s="6">
        <f t="shared" si="225"/>
        <v>22.98</v>
      </c>
      <c r="H235" s="6">
        <f t="shared" si="226"/>
        <v>4136.3999999999996</v>
      </c>
      <c r="I235" s="6">
        <f t="shared" si="227"/>
        <v>22.98</v>
      </c>
      <c r="J235" s="6">
        <f t="shared" si="228"/>
        <v>4136.3999999999996</v>
      </c>
      <c r="K235" s="82"/>
      <c r="L235" s="165">
        <f t="shared" si="233"/>
        <v>4136.3999999999996</v>
      </c>
      <c r="N235" s="75"/>
      <c r="O235" s="76">
        <f t="shared" si="229"/>
        <v>1.149</v>
      </c>
      <c r="P235" s="77">
        <f t="shared" si="230"/>
        <v>0</v>
      </c>
      <c r="Q235" s="78">
        <f t="shared" si="191"/>
        <v>0</v>
      </c>
      <c r="R235" s="78"/>
      <c r="S235" s="79">
        <v>20</v>
      </c>
      <c r="T235" s="80">
        <f t="shared" si="231"/>
        <v>1.149</v>
      </c>
      <c r="U235" s="79">
        <f t="shared" si="232"/>
        <v>22.98</v>
      </c>
      <c r="V235">
        <f t="shared" si="192"/>
        <v>3600</v>
      </c>
    </row>
    <row r="236" spans="1:22">
      <c r="A236" s="4"/>
      <c r="B236" s="5" t="s">
        <v>216</v>
      </c>
      <c r="C236" s="4" t="s">
        <v>36</v>
      </c>
      <c r="D236" s="6">
        <v>12</v>
      </c>
      <c r="E236" s="6">
        <f t="shared" si="223"/>
        <v>0</v>
      </c>
      <c r="F236" s="6">
        <f t="shared" si="224"/>
        <v>0</v>
      </c>
      <c r="G236" s="6">
        <f t="shared" si="225"/>
        <v>28.725000000000001</v>
      </c>
      <c r="H236" s="6">
        <f t="shared" si="226"/>
        <v>344.70000000000005</v>
      </c>
      <c r="I236" s="6">
        <f t="shared" si="227"/>
        <v>28.725000000000001</v>
      </c>
      <c r="J236" s="6">
        <f t="shared" si="228"/>
        <v>344.70000000000005</v>
      </c>
      <c r="K236" s="82"/>
      <c r="L236" s="165">
        <f t="shared" si="233"/>
        <v>344.70000000000005</v>
      </c>
      <c r="N236" s="75"/>
      <c r="O236" s="76">
        <f t="shared" si="229"/>
        <v>1.149</v>
      </c>
      <c r="P236" s="77">
        <f t="shared" si="230"/>
        <v>0</v>
      </c>
      <c r="Q236" s="78">
        <f t="shared" si="191"/>
        <v>0</v>
      </c>
      <c r="R236" s="78"/>
      <c r="S236" s="79">
        <v>25</v>
      </c>
      <c r="T236" s="80">
        <f t="shared" si="231"/>
        <v>1.149</v>
      </c>
      <c r="U236" s="79">
        <f t="shared" si="232"/>
        <v>28.725000000000001</v>
      </c>
      <c r="V236">
        <f t="shared" si="192"/>
        <v>300</v>
      </c>
    </row>
    <row r="237" spans="1:22">
      <c r="A237" s="4"/>
      <c r="B237" s="5" t="s">
        <v>217</v>
      </c>
      <c r="C237" s="4" t="s">
        <v>36</v>
      </c>
      <c r="D237" s="6">
        <v>4</v>
      </c>
      <c r="E237" s="6">
        <f t="shared" si="223"/>
        <v>0</v>
      </c>
      <c r="F237" s="6">
        <f t="shared" si="224"/>
        <v>0</v>
      </c>
      <c r="G237" s="6">
        <f t="shared" si="225"/>
        <v>33.320999999999998</v>
      </c>
      <c r="H237" s="6">
        <f t="shared" si="226"/>
        <v>133.28399999999999</v>
      </c>
      <c r="I237" s="6">
        <f t="shared" si="227"/>
        <v>33.320999999999998</v>
      </c>
      <c r="J237" s="6">
        <f t="shared" si="228"/>
        <v>133.28399999999999</v>
      </c>
      <c r="K237" s="82"/>
      <c r="L237" s="165">
        <f t="shared" si="233"/>
        <v>133.28399999999999</v>
      </c>
      <c r="N237" s="75"/>
      <c r="O237" s="76">
        <f t="shared" si="229"/>
        <v>1.149</v>
      </c>
      <c r="P237" s="77">
        <f t="shared" si="230"/>
        <v>0</v>
      </c>
      <c r="Q237" s="78">
        <f t="shared" si="191"/>
        <v>0</v>
      </c>
      <c r="R237" s="78"/>
      <c r="S237" s="79">
        <v>29</v>
      </c>
      <c r="T237" s="80">
        <f t="shared" si="231"/>
        <v>1.149</v>
      </c>
      <c r="U237" s="79">
        <f t="shared" si="232"/>
        <v>33.320999999999998</v>
      </c>
      <c r="V237">
        <f t="shared" si="192"/>
        <v>116</v>
      </c>
    </row>
    <row r="238" spans="1:22">
      <c r="A238" s="4"/>
      <c r="B238" s="5" t="s">
        <v>218</v>
      </c>
      <c r="C238" s="4" t="s">
        <v>36</v>
      </c>
      <c r="D238" s="6">
        <v>10</v>
      </c>
      <c r="E238" s="6">
        <f t="shared" si="223"/>
        <v>0</v>
      </c>
      <c r="F238" s="6">
        <f t="shared" si="224"/>
        <v>0</v>
      </c>
      <c r="G238" s="6">
        <f t="shared" si="225"/>
        <v>39.066000000000003</v>
      </c>
      <c r="H238" s="6">
        <f t="shared" si="226"/>
        <v>390.66</v>
      </c>
      <c r="I238" s="6">
        <f t="shared" si="227"/>
        <v>39.066000000000003</v>
      </c>
      <c r="J238" s="6">
        <f t="shared" si="228"/>
        <v>390.66</v>
      </c>
      <c r="K238" s="82"/>
      <c r="L238" s="165">
        <f t="shared" si="233"/>
        <v>390.66</v>
      </c>
      <c r="N238" s="75"/>
      <c r="O238" s="76">
        <f t="shared" si="229"/>
        <v>1.149</v>
      </c>
      <c r="P238" s="77">
        <f t="shared" si="230"/>
        <v>0</v>
      </c>
      <c r="Q238" s="78">
        <f t="shared" si="191"/>
        <v>0</v>
      </c>
      <c r="R238" s="78"/>
      <c r="S238" s="79">
        <v>34</v>
      </c>
      <c r="T238" s="80">
        <f t="shared" si="231"/>
        <v>1.149</v>
      </c>
      <c r="U238" s="79">
        <f t="shared" si="232"/>
        <v>39.066000000000003</v>
      </c>
      <c r="V238">
        <f t="shared" si="192"/>
        <v>340</v>
      </c>
    </row>
    <row r="239" spans="1:22">
      <c r="A239" s="19"/>
      <c r="B239" s="20" t="s">
        <v>219</v>
      </c>
      <c r="C239" s="19" t="s">
        <v>26</v>
      </c>
      <c r="D239" s="21"/>
      <c r="E239" s="21"/>
      <c r="F239" s="21"/>
      <c r="G239" s="21"/>
      <c r="H239" s="21"/>
      <c r="I239" s="21"/>
      <c r="J239" s="21"/>
      <c r="K239" s="82"/>
      <c r="L239" s="24"/>
      <c r="Q239" s="78">
        <f t="shared" si="191"/>
        <v>0</v>
      </c>
      <c r="V239">
        <f t="shared" si="192"/>
        <v>0</v>
      </c>
    </row>
    <row r="240" spans="1:22">
      <c r="A240" s="19"/>
      <c r="B240" s="20" t="s">
        <v>220</v>
      </c>
      <c r="C240" s="19" t="s">
        <v>26</v>
      </c>
      <c r="D240" s="21"/>
      <c r="E240" s="21"/>
      <c r="F240" s="21"/>
      <c r="G240" s="21"/>
      <c r="H240" s="21"/>
      <c r="I240" s="21"/>
      <c r="J240" s="21"/>
      <c r="K240" s="82"/>
      <c r="L240" s="24"/>
      <c r="Q240" s="78">
        <f t="shared" si="191"/>
        <v>0</v>
      </c>
      <c r="V240">
        <f t="shared" si="192"/>
        <v>0</v>
      </c>
    </row>
    <row r="241" spans="1:22">
      <c r="A241" s="4"/>
      <c r="B241" s="5" t="s">
        <v>221</v>
      </c>
      <c r="C241" s="4" t="s">
        <v>36</v>
      </c>
      <c r="D241" s="6">
        <v>12</v>
      </c>
      <c r="E241" s="6">
        <f t="shared" ref="E241:E245" si="234">SUM(P241)</f>
        <v>0</v>
      </c>
      <c r="F241" s="6">
        <f t="shared" ref="F241:F245" si="235">D241*E241</f>
        <v>0</v>
      </c>
      <c r="G241" s="6">
        <f t="shared" ref="G241:G245" si="236">SUM(U241)</f>
        <v>68.94</v>
      </c>
      <c r="H241" s="6">
        <f t="shared" ref="H241:H245" si="237">D241*G241</f>
        <v>827.28</v>
      </c>
      <c r="I241" s="6">
        <f t="shared" ref="I241:I245" si="238">E241+G241</f>
        <v>68.94</v>
      </c>
      <c r="J241" s="6">
        <f t="shared" ref="J241:J245" si="239">F241+H241</f>
        <v>827.28</v>
      </c>
      <c r="K241" s="82"/>
      <c r="L241" s="165">
        <f t="shared" ref="L241:L245" si="240">SUM(J241)</f>
        <v>827.28</v>
      </c>
      <c r="N241" s="75"/>
      <c r="O241" s="76">
        <f t="shared" ref="O241:O245" si="241">$O$1</f>
        <v>1.149</v>
      </c>
      <c r="P241" s="77">
        <f t="shared" ref="P241:P245" si="242">SUM(O241*N241)</f>
        <v>0</v>
      </c>
      <c r="Q241" s="78">
        <f t="shared" si="191"/>
        <v>0</v>
      </c>
      <c r="R241" s="78"/>
      <c r="S241" s="79">
        <v>60</v>
      </c>
      <c r="T241" s="80">
        <f t="shared" ref="T241:T245" si="243">$T$1</f>
        <v>1.149</v>
      </c>
      <c r="U241" s="79">
        <f t="shared" ref="U241:U245" si="244">SUM(T241*S241)</f>
        <v>68.94</v>
      </c>
      <c r="V241">
        <f t="shared" si="192"/>
        <v>720</v>
      </c>
    </row>
    <row r="242" spans="1:22">
      <c r="A242" s="4"/>
      <c r="B242" s="5" t="s">
        <v>222</v>
      </c>
      <c r="C242" s="4" t="s">
        <v>36</v>
      </c>
      <c r="D242" s="6">
        <v>22</v>
      </c>
      <c r="E242" s="6">
        <f t="shared" si="234"/>
        <v>0</v>
      </c>
      <c r="F242" s="6">
        <f t="shared" si="235"/>
        <v>0</v>
      </c>
      <c r="G242" s="6">
        <f t="shared" si="236"/>
        <v>68.94</v>
      </c>
      <c r="H242" s="6">
        <f t="shared" si="237"/>
        <v>1516.6799999999998</v>
      </c>
      <c r="I242" s="6">
        <f t="shared" si="238"/>
        <v>68.94</v>
      </c>
      <c r="J242" s="6">
        <f t="shared" si="239"/>
        <v>1516.6799999999998</v>
      </c>
      <c r="K242" s="82"/>
      <c r="L242" s="165">
        <f t="shared" si="240"/>
        <v>1516.6799999999998</v>
      </c>
      <c r="N242" s="75"/>
      <c r="O242" s="76">
        <f t="shared" si="241"/>
        <v>1.149</v>
      </c>
      <c r="P242" s="77">
        <f t="shared" si="242"/>
        <v>0</v>
      </c>
      <c r="Q242" s="78">
        <f t="shared" si="191"/>
        <v>0</v>
      </c>
      <c r="R242" s="78"/>
      <c r="S242" s="79">
        <v>60</v>
      </c>
      <c r="T242" s="80">
        <f t="shared" si="243"/>
        <v>1.149</v>
      </c>
      <c r="U242" s="79">
        <f t="shared" si="244"/>
        <v>68.94</v>
      </c>
      <c r="V242">
        <f t="shared" si="192"/>
        <v>1320</v>
      </c>
    </row>
    <row r="243" spans="1:22">
      <c r="A243" s="4"/>
      <c r="B243" s="5" t="s">
        <v>223</v>
      </c>
      <c r="C243" s="4" t="s">
        <v>36</v>
      </c>
      <c r="D243" s="6">
        <v>2</v>
      </c>
      <c r="E243" s="6">
        <f t="shared" si="234"/>
        <v>0</v>
      </c>
      <c r="F243" s="6">
        <f t="shared" si="235"/>
        <v>0</v>
      </c>
      <c r="G243" s="6">
        <f t="shared" si="236"/>
        <v>86.174999999999997</v>
      </c>
      <c r="H243" s="6">
        <f t="shared" si="237"/>
        <v>172.35</v>
      </c>
      <c r="I243" s="6">
        <f t="shared" si="238"/>
        <v>86.174999999999997</v>
      </c>
      <c r="J243" s="6">
        <f t="shared" si="239"/>
        <v>172.35</v>
      </c>
      <c r="K243" s="82"/>
      <c r="L243" s="165">
        <f t="shared" si="240"/>
        <v>172.35</v>
      </c>
      <c r="N243" s="75"/>
      <c r="O243" s="76">
        <f t="shared" si="241"/>
        <v>1.149</v>
      </c>
      <c r="P243" s="77">
        <f t="shared" si="242"/>
        <v>0</v>
      </c>
      <c r="Q243" s="78">
        <f t="shared" si="191"/>
        <v>0</v>
      </c>
      <c r="R243" s="78"/>
      <c r="S243" s="79">
        <v>75</v>
      </c>
      <c r="T243" s="80">
        <f t="shared" si="243"/>
        <v>1.149</v>
      </c>
      <c r="U243" s="79">
        <f t="shared" si="244"/>
        <v>86.174999999999997</v>
      </c>
      <c r="V243">
        <f t="shared" si="192"/>
        <v>150</v>
      </c>
    </row>
    <row r="244" spans="1:22">
      <c r="A244" s="4"/>
      <c r="B244" s="5" t="s">
        <v>224</v>
      </c>
      <c r="C244" s="4" t="s">
        <v>36</v>
      </c>
      <c r="D244" s="6">
        <v>2</v>
      </c>
      <c r="E244" s="6">
        <f t="shared" si="234"/>
        <v>0</v>
      </c>
      <c r="F244" s="6">
        <f t="shared" si="235"/>
        <v>0</v>
      </c>
      <c r="G244" s="6">
        <f t="shared" si="236"/>
        <v>68.94</v>
      </c>
      <c r="H244" s="6">
        <f t="shared" si="237"/>
        <v>137.88</v>
      </c>
      <c r="I244" s="6">
        <f t="shared" si="238"/>
        <v>68.94</v>
      </c>
      <c r="J244" s="6">
        <f t="shared" si="239"/>
        <v>137.88</v>
      </c>
      <c r="K244" s="82"/>
      <c r="L244" s="165">
        <f t="shared" si="240"/>
        <v>137.88</v>
      </c>
      <c r="N244" s="75"/>
      <c r="O244" s="76">
        <f t="shared" si="241"/>
        <v>1.149</v>
      </c>
      <c r="P244" s="77">
        <f t="shared" si="242"/>
        <v>0</v>
      </c>
      <c r="Q244" s="78">
        <f t="shared" si="191"/>
        <v>0</v>
      </c>
      <c r="R244" s="78"/>
      <c r="S244" s="79">
        <v>60</v>
      </c>
      <c r="T244" s="80">
        <f t="shared" si="243"/>
        <v>1.149</v>
      </c>
      <c r="U244" s="79">
        <f t="shared" si="244"/>
        <v>68.94</v>
      </c>
      <c r="V244">
        <f t="shared" si="192"/>
        <v>120</v>
      </c>
    </row>
    <row r="245" spans="1:22">
      <c r="A245" s="4"/>
      <c r="B245" s="5" t="s">
        <v>225</v>
      </c>
      <c r="C245" s="4" t="s">
        <v>96</v>
      </c>
      <c r="D245" s="6">
        <v>1</v>
      </c>
      <c r="E245" s="6">
        <f t="shared" si="234"/>
        <v>0</v>
      </c>
      <c r="F245" s="6">
        <f t="shared" si="235"/>
        <v>0</v>
      </c>
      <c r="G245" s="6">
        <f t="shared" si="236"/>
        <v>1034.0999999999999</v>
      </c>
      <c r="H245" s="6">
        <f t="shared" si="237"/>
        <v>1034.0999999999999</v>
      </c>
      <c r="I245" s="6">
        <f t="shared" si="238"/>
        <v>1034.0999999999999</v>
      </c>
      <c r="J245" s="6">
        <f t="shared" si="239"/>
        <v>1034.0999999999999</v>
      </c>
      <c r="K245" s="82"/>
      <c r="L245" s="165">
        <f t="shared" si="240"/>
        <v>1034.0999999999999</v>
      </c>
      <c r="N245" s="75"/>
      <c r="O245" s="76">
        <f t="shared" si="241"/>
        <v>1.149</v>
      </c>
      <c r="P245" s="77">
        <f t="shared" si="242"/>
        <v>0</v>
      </c>
      <c r="Q245" s="78">
        <f t="shared" si="191"/>
        <v>0</v>
      </c>
      <c r="R245" s="78"/>
      <c r="S245" s="79">
        <v>900</v>
      </c>
      <c r="T245" s="80">
        <f t="shared" si="243"/>
        <v>1.149</v>
      </c>
      <c r="U245" s="79">
        <f t="shared" si="244"/>
        <v>1034.0999999999999</v>
      </c>
      <c r="V245">
        <f t="shared" si="192"/>
        <v>900</v>
      </c>
    </row>
    <row r="246" spans="1:22">
      <c r="A246" s="4"/>
      <c r="B246" s="5" t="s">
        <v>26</v>
      </c>
      <c r="C246" s="4" t="s">
        <v>26</v>
      </c>
      <c r="D246" s="6"/>
      <c r="E246" s="6"/>
      <c r="F246" s="6"/>
      <c r="G246" s="6"/>
      <c r="H246" s="6"/>
      <c r="I246" s="6"/>
      <c r="J246" s="6"/>
      <c r="K246" s="82"/>
      <c r="L246" s="24"/>
      <c r="Q246" s="78">
        <f t="shared" si="191"/>
        <v>0</v>
      </c>
      <c r="V246">
        <f t="shared" si="192"/>
        <v>0</v>
      </c>
    </row>
    <row r="247" spans="1:22">
      <c r="A247" s="13"/>
      <c r="B247" s="14" t="s">
        <v>226</v>
      </c>
      <c r="C247" s="13" t="s">
        <v>26</v>
      </c>
      <c r="D247" s="15"/>
      <c r="E247" s="15"/>
      <c r="F247" s="15">
        <f>SUM(F230:F246)</f>
        <v>0</v>
      </c>
      <c r="G247" s="15"/>
      <c r="H247" s="15">
        <f>SUM(H230:H246)</f>
        <v>43025.453999999991</v>
      </c>
      <c r="I247" s="15"/>
      <c r="J247" s="15">
        <f>SUM(J230:J246)</f>
        <v>43025.453999999991</v>
      </c>
      <c r="K247" s="82"/>
      <c r="L247" s="24"/>
      <c r="Q247" s="78">
        <f t="shared" si="191"/>
        <v>0</v>
      </c>
      <c r="V247">
        <f t="shared" si="192"/>
        <v>0</v>
      </c>
    </row>
    <row r="248" spans="1:22">
      <c r="A248" s="4"/>
      <c r="B248" s="5" t="s">
        <v>26</v>
      </c>
      <c r="C248" s="4" t="s">
        <v>26</v>
      </c>
      <c r="D248" s="6"/>
      <c r="E248" s="6"/>
      <c r="F248" s="6"/>
      <c r="G248" s="6"/>
      <c r="H248" s="6"/>
      <c r="I248" s="6"/>
      <c r="J248" s="6"/>
      <c r="K248" s="82"/>
      <c r="L248" s="24"/>
      <c r="Q248" s="78">
        <f t="shared" si="191"/>
        <v>0</v>
      </c>
      <c r="V248">
        <f t="shared" si="192"/>
        <v>0</v>
      </c>
    </row>
    <row r="249" spans="1:22">
      <c r="A249" s="13"/>
      <c r="B249" s="14" t="s">
        <v>227</v>
      </c>
      <c r="C249" s="13" t="s">
        <v>26</v>
      </c>
      <c r="D249" s="15"/>
      <c r="E249" s="15"/>
      <c r="F249" s="15"/>
      <c r="G249" s="15"/>
      <c r="H249" s="15"/>
      <c r="I249" s="15"/>
      <c r="J249" s="15"/>
      <c r="K249" s="82"/>
      <c r="L249" s="24"/>
      <c r="Q249" s="78">
        <f t="shared" si="191"/>
        <v>0</v>
      </c>
      <c r="V249">
        <f t="shared" si="192"/>
        <v>0</v>
      </c>
    </row>
    <row r="250" spans="1:22">
      <c r="A250" s="4"/>
      <c r="B250" s="5" t="s">
        <v>26</v>
      </c>
      <c r="C250" s="4" t="s">
        <v>26</v>
      </c>
      <c r="D250" s="6"/>
      <c r="E250" s="6"/>
      <c r="F250" s="6"/>
      <c r="G250" s="6"/>
      <c r="H250" s="6"/>
      <c r="I250" s="6"/>
      <c r="J250" s="6"/>
      <c r="K250" s="82"/>
      <c r="L250" s="24"/>
      <c r="Q250" s="78">
        <f t="shared" si="191"/>
        <v>0</v>
      </c>
      <c r="V250">
        <f t="shared" si="192"/>
        <v>0</v>
      </c>
    </row>
    <row r="251" spans="1:22">
      <c r="A251" s="19"/>
      <c r="B251" s="20" t="s">
        <v>228</v>
      </c>
      <c r="C251" s="19" t="s">
        <v>26</v>
      </c>
      <c r="D251" s="22"/>
      <c r="E251" s="22"/>
      <c r="F251" s="22"/>
      <c r="G251" s="22"/>
      <c r="H251" s="22"/>
      <c r="I251" s="22"/>
      <c r="J251" s="22"/>
      <c r="K251" s="82"/>
      <c r="L251" s="24"/>
      <c r="Q251" s="78">
        <f t="shared" si="191"/>
        <v>0</v>
      </c>
      <c r="V251">
        <f t="shared" si="192"/>
        <v>0</v>
      </c>
    </row>
    <row r="252" spans="1:22">
      <c r="A252" s="19"/>
      <c r="B252" s="20" t="s">
        <v>229</v>
      </c>
      <c r="C252" s="19" t="s">
        <v>26</v>
      </c>
      <c r="D252" s="22"/>
      <c r="E252" s="22"/>
      <c r="F252" s="22"/>
      <c r="G252" s="22"/>
      <c r="H252" s="22"/>
      <c r="I252" s="22"/>
      <c r="J252" s="22"/>
      <c r="K252" s="82"/>
      <c r="L252" s="24"/>
      <c r="Q252" s="78">
        <f t="shared" si="191"/>
        <v>0</v>
      </c>
      <c r="V252">
        <f t="shared" si="192"/>
        <v>0</v>
      </c>
    </row>
    <row r="253" spans="1:22">
      <c r="A253" s="4"/>
      <c r="B253" s="5" t="s">
        <v>230</v>
      </c>
      <c r="C253" s="4" t="s">
        <v>188</v>
      </c>
      <c r="D253" s="6">
        <v>150</v>
      </c>
      <c r="E253" s="6">
        <f t="shared" ref="E253:E255" si="245">SUM(P253)</f>
        <v>128.44230128700002</v>
      </c>
      <c r="F253" s="6">
        <f t="shared" ref="F253:F255" si="246">D253*E253</f>
        <v>19266.345193050001</v>
      </c>
      <c r="G253" s="6">
        <f t="shared" ref="G253:G255" si="247">SUM(U253)</f>
        <v>126.39</v>
      </c>
      <c r="H253" s="6">
        <f t="shared" ref="H253:H255" si="248">D253*G253</f>
        <v>18958.5</v>
      </c>
      <c r="I253" s="6">
        <f t="shared" ref="I253:I255" si="249">E253+G253</f>
        <v>254.83230128700001</v>
      </c>
      <c r="J253" s="6">
        <f t="shared" ref="J253:J255" si="250">F253+H253</f>
        <v>38224.845193050001</v>
      </c>
      <c r="K253" s="82"/>
      <c r="L253" s="24"/>
      <c r="N253" s="75">
        <v>111.78616300000002</v>
      </c>
      <c r="O253" s="76">
        <f t="shared" ref="O253:O255" si="251">$O$1</f>
        <v>1.149</v>
      </c>
      <c r="P253" s="77">
        <f t="shared" ref="P253:P255" si="252">SUM(O253*N253)</f>
        <v>128.44230128700002</v>
      </c>
      <c r="Q253" s="78">
        <f t="shared" si="191"/>
        <v>16767.924450000002</v>
      </c>
      <c r="R253" s="78"/>
      <c r="S253" s="79">
        <v>110</v>
      </c>
      <c r="T253" s="80">
        <f t="shared" ref="T253:T255" si="253">$T$1</f>
        <v>1.149</v>
      </c>
      <c r="U253" s="79">
        <f t="shared" ref="U253:U255" si="254">SUM(T253*S253)</f>
        <v>126.39</v>
      </c>
      <c r="V253">
        <f t="shared" si="192"/>
        <v>16500</v>
      </c>
    </row>
    <row r="254" spans="1:22">
      <c r="A254" s="4"/>
      <c r="B254" s="5" t="s">
        <v>231</v>
      </c>
      <c r="C254" s="4" t="s">
        <v>188</v>
      </c>
      <c r="D254" s="6">
        <v>360</v>
      </c>
      <c r="E254" s="6">
        <f t="shared" si="245"/>
        <v>173.81859205199999</v>
      </c>
      <c r="F254" s="6">
        <f t="shared" si="246"/>
        <v>62574.693138719995</v>
      </c>
      <c r="G254" s="6">
        <f t="shared" si="247"/>
        <v>172.35</v>
      </c>
      <c r="H254" s="6">
        <f t="shared" si="248"/>
        <v>62046</v>
      </c>
      <c r="I254" s="6">
        <f t="shared" si="249"/>
        <v>346.16859205200001</v>
      </c>
      <c r="J254" s="6">
        <f t="shared" si="250"/>
        <v>124620.69313872</v>
      </c>
      <c r="K254" s="271" t="s">
        <v>1101</v>
      </c>
      <c r="L254" s="24"/>
      <c r="N254" s="75">
        <v>151.27814799999999</v>
      </c>
      <c r="O254" s="76">
        <f t="shared" si="251"/>
        <v>1.149</v>
      </c>
      <c r="P254" s="77">
        <f t="shared" si="252"/>
        <v>173.81859205199999</v>
      </c>
      <c r="Q254" s="78">
        <f t="shared" si="191"/>
        <v>54460.133279999995</v>
      </c>
      <c r="R254" s="78"/>
      <c r="S254" s="79">
        <v>150</v>
      </c>
      <c r="T254" s="80">
        <f t="shared" si="253"/>
        <v>1.149</v>
      </c>
      <c r="U254" s="79">
        <f t="shared" si="254"/>
        <v>172.35</v>
      </c>
      <c r="V254">
        <f t="shared" si="192"/>
        <v>54000</v>
      </c>
    </row>
    <row r="255" spans="1:22">
      <c r="A255" s="4"/>
      <c r="B255" s="5" t="s">
        <v>232</v>
      </c>
      <c r="C255" s="4" t="s">
        <v>188</v>
      </c>
      <c r="D255" s="6">
        <v>50</v>
      </c>
      <c r="E255" s="6">
        <f t="shared" si="245"/>
        <v>227.249268258</v>
      </c>
      <c r="F255" s="6">
        <f t="shared" si="246"/>
        <v>11362.463412900001</v>
      </c>
      <c r="G255" s="6">
        <f t="shared" si="247"/>
        <v>252.78</v>
      </c>
      <c r="H255" s="6">
        <f t="shared" si="248"/>
        <v>12639</v>
      </c>
      <c r="I255" s="6">
        <f t="shared" si="249"/>
        <v>480.029268258</v>
      </c>
      <c r="J255" s="6">
        <f t="shared" si="250"/>
        <v>24001.463412900001</v>
      </c>
      <c r="K255" s="82"/>
      <c r="L255" s="24"/>
      <c r="N255" s="75">
        <v>197.78004200000001</v>
      </c>
      <c r="O255" s="76">
        <f t="shared" si="251"/>
        <v>1.149</v>
      </c>
      <c r="P255" s="77">
        <f t="shared" si="252"/>
        <v>227.249268258</v>
      </c>
      <c r="Q255" s="78">
        <f t="shared" si="191"/>
        <v>9889.0020999999997</v>
      </c>
      <c r="R255" s="78"/>
      <c r="S255" s="79">
        <v>220</v>
      </c>
      <c r="T255" s="80">
        <f t="shared" si="253"/>
        <v>1.149</v>
      </c>
      <c r="U255" s="79">
        <f t="shared" si="254"/>
        <v>252.78</v>
      </c>
      <c r="V255">
        <f t="shared" si="192"/>
        <v>11000</v>
      </c>
    </row>
    <row r="256" spans="1:22">
      <c r="A256" s="19"/>
      <c r="B256" s="20" t="s">
        <v>233</v>
      </c>
      <c r="C256" s="19" t="s">
        <v>26</v>
      </c>
      <c r="D256" s="22"/>
      <c r="E256" s="22"/>
      <c r="F256" s="22"/>
      <c r="G256" s="22"/>
      <c r="H256" s="22"/>
      <c r="I256" s="22"/>
      <c r="J256" s="22"/>
      <c r="K256" s="82"/>
      <c r="L256" s="24"/>
      <c r="Q256" s="78">
        <f t="shared" si="191"/>
        <v>0</v>
      </c>
      <c r="V256">
        <f t="shared" si="192"/>
        <v>0</v>
      </c>
    </row>
    <row r="257" spans="1:22">
      <c r="A257" s="19"/>
      <c r="B257" s="20" t="s">
        <v>234</v>
      </c>
      <c r="C257" s="19" t="s">
        <v>26</v>
      </c>
      <c r="D257" s="22"/>
      <c r="E257" s="22"/>
      <c r="F257" s="22"/>
      <c r="G257" s="22"/>
      <c r="H257" s="22"/>
      <c r="I257" s="22"/>
      <c r="J257" s="22"/>
      <c r="K257" s="82"/>
      <c r="L257" s="24"/>
      <c r="Q257" s="78">
        <f t="shared" si="191"/>
        <v>0</v>
      </c>
      <c r="V257">
        <f t="shared" si="192"/>
        <v>0</v>
      </c>
    </row>
    <row r="258" spans="1:22">
      <c r="A258" s="4"/>
      <c r="B258" s="5" t="s">
        <v>235</v>
      </c>
      <c r="C258" s="4" t="s">
        <v>36</v>
      </c>
      <c r="D258" s="6">
        <v>300</v>
      </c>
      <c r="E258" s="6">
        <f t="shared" ref="E258:E259" si="255">SUM(P258)</f>
        <v>22.691898591000005</v>
      </c>
      <c r="F258" s="6">
        <f t="shared" ref="F258:F259" si="256">D258*E258</f>
        <v>6807.5695773000016</v>
      </c>
      <c r="G258" s="6">
        <f t="shared" ref="G258:G259" si="257">SUM(U258)</f>
        <v>28.725000000000001</v>
      </c>
      <c r="H258" s="6">
        <f t="shared" ref="H258:H259" si="258">D258*G258</f>
        <v>8617.5</v>
      </c>
      <c r="I258" s="6">
        <f t="shared" ref="I258:I259" si="259">E258+G258</f>
        <v>51.416898591000006</v>
      </c>
      <c r="J258" s="6">
        <f t="shared" ref="J258:J259" si="260">F258+H258</f>
        <v>15425.069577300001</v>
      </c>
      <c r="K258" s="82"/>
      <c r="L258" s="24"/>
      <c r="N258" s="75">
        <v>19.749259000000002</v>
      </c>
      <c r="O258" s="76">
        <f t="shared" ref="O258:O259" si="261">$O$1</f>
        <v>1.149</v>
      </c>
      <c r="P258" s="77">
        <f t="shared" ref="P258:P259" si="262">SUM(O258*N258)</f>
        <v>22.691898591000005</v>
      </c>
      <c r="Q258" s="78">
        <f t="shared" si="191"/>
        <v>5924.7777000000006</v>
      </c>
      <c r="R258" s="78"/>
      <c r="S258" s="79">
        <v>25</v>
      </c>
      <c r="T258" s="80">
        <f t="shared" ref="T258:T259" si="263">$T$1</f>
        <v>1.149</v>
      </c>
      <c r="U258" s="79">
        <f t="shared" ref="U258:U259" si="264">SUM(T258*S258)</f>
        <v>28.725000000000001</v>
      </c>
      <c r="V258">
        <f t="shared" si="192"/>
        <v>7500</v>
      </c>
    </row>
    <row r="259" spans="1:22">
      <c r="A259" s="4"/>
      <c r="B259" s="5" t="s">
        <v>236</v>
      </c>
      <c r="C259" s="4" t="s">
        <v>36</v>
      </c>
      <c r="D259" s="6">
        <v>560</v>
      </c>
      <c r="E259" s="6">
        <f t="shared" si="255"/>
        <v>36.225968441999996</v>
      </c>
      <c r="F259" s="6">
        <f t="shared" si="256"/>
        <v>20286.542327519997</v>
      </c>
      <c r="G259" s="6">
        <f t="shared" si="257"/>
        <v>63.195</v>
      </c>
      <c r="H259" s="6">
        <f t="shared" si="258"/>
        <v>35389.199999999997</v>
      </c>
      <c r="I259" s="6">
        <f t="shared" si="259"/>
        <v>99.420968442000003</v>
      </c>
      <c r="J259" s="6">
        <f t="shared" si="260"/>
        <v>55675.742327519998</v>
      </c>
      <c r="K259" s="82"/>
      <c r="L259" s="24"/>
      <c r="N259" s="75">
        <v>31.528257999999997</v>
      </c>
      <c r="O259" s="76">
        <f t="shared" si="261"/>
        <v>1.149</v>
      </c>
      <c r="P259" s="77">
        <f t="shared" si="262"/>
        <v>36.225968441999996</v>
      </c>
      <c r="Q259" s="78">
        <f t="shared" si="191"/>
        <v>17655.824479999999</v>
      </c>
      <c r="R259" s="78"/>
      <c r="S259" s="79">
        <v>55</v>
      </c>
      <c r="T259" s="80">
        <f t="shared" si="263"/>
        <v>1.149</v>
      </c>
      <c r="U259" s="79">
        <f t="shared" si="264"/>
        <v>63.195</v>
      </c>
      <c r="V259">
        <f t="shared" si="192"/>
        <v>30800</v>
      </c>
    </row>
    <row r="260" spans="1:22">
      <c r="A260" s="19"/>
      <c r="B260" s="20" t="s">
        <v>237</v>
      </c>
      <c r="C260" s="19" t="s">
        <v>26</v>
      </c>
      <c r="D260" s="21"/>
      <c r="E260" s="21"/>
      <c r="F260" s="21"/>
      <c r="G260" s="21"/>
      <c r="H260" s="21"/>
      <c r="I260" s="21"/>
      <c r="J260" s="21"/>
      <c r="K260" s="82"/>
      <c r="L260" s="24"/>
      <c r="Q260" s="78">
        <f t="shared" si="191"/>
        <v>0</v>
      </c>
      <c r="V260">
        <f t="shared" si="192"/>
        <v>0</v>
      </c>
    </row>
    <row r="261" spans="1:22">
      <c r="A261" s="4"/>
      <c r="B261" s="5" t="s">
        <v>238</v>
      </c>
      <c r="C261" s="4" t="s">
        <v>188</v>
      </c>
      <c r="D261" s="6">
        <v>60</v>
      </c>
      <c r="E261" s="6">
        <f t="shared" ref="E261:E269" si="265">SUM(P261)</f>
        <v>166.41967741935483</v>
      </c>
      <c r="F261" s="6">
        <f t="shared" ref="F261:F269" si="266">D261*E261</f>
        <v>9985.1806451612902</v>
      </c>
      <c r="G261" s="6">
        <f t="shared" ref="G261:G269" si="267">SUM(U261)</f>
        <v>51.704999999999998</v>
      </c>
      <c r="H261" s="6">
        <f t="shared" ref="H261:H269" si="268">D261*G261</f>
        <v>3102.2999999999997</v>
      </c>
      <c r="I261" s="6">
        <f t="shared" ref="I261:I269" si="269">E261+G261</f>
        <v>218.12467741935484</v>
      </c>
      <c r="J261" s="6">
        <f t="shared" ref="J261:J269" si="270">F261+H261</f>
        <v>13087.480645161289</v>
      </c>
      <c r="K261" s="82"/>
      <c r="L261" s="24"/>
      <c r="N261" s="75">
        <v>144.83870967741933</v>
      </c>
      <c r="O261" s="76">
        <f t="shared" ref="O261:O269" si="271">$O$1</f>
        <v>1.149</v>
      </c>
      <c r="P261" s="77">
        <f t="shared" ref="P261:P269" si="272">SUM(O261*N261)</f>
        <v>166.41967741935483</v>
      </c>
      <c r="Q261" s="78">
        <f t="shared" si="191"/>
        <v>8690.3225806451592</v>
      </c>
      <c r="R261" s="78"/>
      <c r="S261" s="79">
        <v>45</v>
      </c>
      <c r="T261" s="80">
        <f t="shared" ref="T261:T269" si="273">$T$1</f>
        <v>1.149</v>
      </c>
      <c r="U261" s="79">
        <f t="shared" ref="U261:U269" si="274">SUM(T261*S261)</f>
        <v>51.704999999999998</v>
      </c>
      <c r="V261">
        <f t="shared" si="192"/>
        <v>2700</v>
      </c>
    </row>
    <row r="262" spans="1:22">
      <c r="A262" s="4"/>
      <c r="B262" s="5" t="s">
        <v>239</v>
      </c>
      <c r="C262" s="4" t="s">
        <v>188</v>
      </c>
      <c r="D262" s="6">
        <v>140</v>
      </c>
      <c r="E262" s="6">
        <f t="shared" si="265"/>
        <v>205.78219354838708</v>
      </c>
      <c r="F262" s="6">
        <f t="shared" si="266"/>
        <v>28809.507096774192</v>
      </c>
      <c r="G262" s="6">
        <f t="shared" si="267"/>
        <v>51.704999999999998</v>
      </c>
      <c r="H262" s="6">
        <f t="shared" si="268"/>
        <v>7238.7</v>
      </c>
      <c r="I262" s="6">
        <f t="shared" si="269"/>
        <v>257.4871935483871</v>
      </c>
      <c r="J262" s="6">
        <f t="shared" si="270"/>
        <v>36048.207096774189</v>
      </c>
      <c r="K262" s="82"/>
      <c r="L262" s="24"/>
      <c r="N262" s="75">
        <v>179.09677419354838</v>
      </c>
      <c r="O262" s="76">
        <f t="shared" si="271"/>
        <v>1.149</v>
      </c>
      <c r="P262" s="77">
        <f t="shared" si="272"/>
        <v>205.78219354838708</v>
      </c>
      <c r="Q262" s="78">
        <f t="shared" si="191"/>
        <v>25073.548387096773</v>
      </c>
      <c r="R262" s="78"/>
      <c r="S262" s="79">
        <v>45</v>
      </c>
      <c r="T262" s="80">
        <f t="shared" si="273"/>
        <v>1.149</v>
      </c>
      <c r="U262" s="79">
        <f t="shared" si="274"/>
        <v>51.704999999999998</v>
      </c>
      <c r="V262">
        <f t="shared" si="192"/>
        <v>6300</v>
      </c>
    </row>
    <row r="263" spans="1:22">
      <c r="A263" s="4"/>
      <c r="B263" s="5" t="s">
        <v>240</v>
      </c>
      <c r="C263" s="4" t="s">
        <v>188</v>
      </c>
      <c r="D263" s="6">
        <v>190</v>
      </c>
      <c r="E263" s="6">
        <f t="shared" si="265"/>
        <v>372.86903225806452</v>
      </c>
      <c r="F263" s="6">
        <f t="shared" si="266"/>
        <v>70845.116129032263</v>
      </c>
      <c r="G263" s="6">
        <f t="shared" si="267"/>
        <v>63.195</v>
      </c>
      <c r="H263" s="6">
        <f t="shared" si="268"/>
        <v>12007.05</v>
      </c>
      <c r="I263" s="6">
        <f t="shared" si="269"/>
        <v>436.06403225806451</v>
      </c>
      <c r="J263" s="6">
        <f t="shared" si="270"/>
        <v>82852.166129032266</v>
      </c>
      <c r="K263" s="82"/>
      <c r="L263" s="24"/>
      <c r="N263" s="75">
        <v>324.51612903225805</v>
      </c>
      <c r="O263" s="76">
        <f t="shared" si="271"/>
        <v>1.149</v>
      </c>
      <c r="P263" s="77">
        <f t="shared" si="272"/>
        <v>372.86903225806452</v>
      </c>
      <c r="Q263" s="78">
        <f t="shared" si="191"/>
        <v>61658.06451612903</v>
      </c>
      <c r="R263" s="78"/>
      <c r="S263" s="79">
        <v>55</v>
      </c>
      <c r="T263" s="80">
        <f t="shared" si="273"/>
        <v>1.149</v>
      </c>
      <c r="U263" s="79">
        <f t="shared" si="274"/>
        <v>63.195</v>
      </c>
      <c r="V263">
        <f t="shared" si="192"/>
        <v>10450</v>
      </c>
    </row>
    <row r="264" spans="1:22">
      <c r="A264" s="4"/>
      <c r="B264" s="5" t="s">
        <v>241</v>
      </c>
      <c r="C264" s="4" t="s">
        <v>36</v>
      </c>
      <c r="D264" s="6">
        <v>140</v>
      </c>
      <c r="E264" s="6">
        <f t="shared" si="265"/>
        <v>6.9681290322580631</v>
      </c>
      <c r="F264" s="6">
        <f t="shared" si="266"/>
        <v>975.53806451612888</v>
      </c>
      <c r="G264" s="6">
        <f t="shared" si="267"/>
        <v>17.234999999999999</v>
      </c>
      <c r="H264" s="6">
        <f t="shared" si="268"/>
        <v>2412.9</v>
      </c>
      <c r="I264" s="6">
        <f t="shared" si="269"/>
        <v>24.203129032258062</v>
      </c>
      <c r="J264" s="6">
        <f t="shared" si="270"/>
        <v>3388.4380645161291</v>
      </c>
      <c r="K264" s="82"/>
      <c r="L264" s="24"/>
      <c r="N264" s="75">
        <v>6.0645161290322571</v>
      </c>
      <c r="O264" s="76">
        <f t="shared" si="271"/>
        <v>1.149</v>
      </c>
      <c r="P264" s="77">
        <f t="shared" si="272"/>
        <v>6.9681290322580631</v>
      </c>
      <c r="Q264" s="78">
        <f t="shared" si="191"/>
        <v>849.03225806451599</v>
      </c>
      <c r="R264" s="78"/>
      <c r="S264" s="79">
        <v>15</v>
      </c>
      <c r="T264" s="80">
        <f t="shared" si="273"/>
        <v>1.149</v>
      </c>
      <c r="U264" s="79">
        <f t="shared" si="274"/>
        <v>17.234999999999999</v>
      </c>
      <c r="V264">
        <f t="shared" si="192"/>
        <v>2100</v>
      </c>
    </row>
    <row r="265" spans="1:22">
      <c r="A265" s="4"/>
      <c r="B265" s="5" t="s">
        <v>242</v>
      </c>
      <c r="C265" s="4" t="s">
        <v>36</v>
      </c>
      <c r="D265" s="6">
        <v>140</v>
      </c>
      <c r="E265" s="6">
        <f t="shared" si="265"/>
        <v>48.690419354838703</v>
      </c>
      <c r="F265" s="6">
        <f t="shared" si="266"/>
        <v>6816.6587096774183</v>
      </c>
      <c r="G265" s="6">
        <f t="shared" si="267"/>
        <v>28.725000000000001</v>
      </c>
      <c r="H265" s="6">
        <f t="shared" si="268"/>
        <v>4021.5</v>
      </c>
      <c r="I265" s="6">
        <f t="shared" si="269"/>
        <v>77.415419354838704</v>
      </c>
      <c r="J265" s="6">
        <f t="shared" si="270"/>
        <v>10838.158709677418</v>
      </c>
      <c r="K265" s="82"/>
      <c r="L265" s="24"/>
      <c r="N265" s="75">
        <v>42.376344086021497</v>
      </c>
      <c r="O265" s="76">
        <f t="shared" si="271"/>
        <v>1.149</v>
      </c>
      <c r="P265" s="77">
        <f t="shared" si="272"/>
        <v>48.690419354838703</v>
      </c>
      <c r="Q265" s="78">
        <f t="shared" ref="Q265:Q328" si="275">SUM(N265*D265)</f>
        <v>5932.6881720430092</v>
      </c>
      <c r="R265" s="78"/>
      <c r="S265" s="79">
        <v>25</v>
      </c>
      <c r="T265" s="80">
        <f t="shared" si="273"/>
        <v>1.149</v>
      </c>
      <c r="U265" s="79">
        <f t="shared" si="274"/>
        <v>28.725000000000001</v>
      </c>
      <c r="V265">
        <f t="shared" ref="V265:V328" si="276">SUM(S265*D265)</f>
        <v>3500</v>
      </c>
    </row>
    <row r="266" spans="1:22">
      <c r="A266" s="4"/>
      <c r="B266" s="5" t="s">
        <v>243</v>
      </c>
      <c r="C266" s="4" t="s">
        <v>188</v>
      </c>
      <c r="D266" s="6">
        <v>80</v>
      </c>
      <c r="E266" s="6">
        <f t="shared" si="265"/>
        <v>6.202129032258064</v>
      </c>
      <c r="F266" s="6">
        <f t="shared" si="266"/>
        <v>496.17032258064512</v>
      </c>
      <c r="G266" s="6">
        <f t="shared" si="267"/>
        <v>28.725000000000001</v>
      </c>
      <c r="H266" s="6">
        <f t="shared" si="268"/>
        <v>2298</v>
      </c>
      <c r="I266" s="6">
        <f t="shared" si="269"/>
        <v>34.927129032258065</v>
      </c>
      <c r="J266" s="6">
        <f t="shared" si="270"/>
        <v>2794.170322580645</v>
      </c>
      <c r="K266" s="82"/>
      <c r="L266" s="24"/>
      <c r="N266" s="75">
        <v>5.397849462365591</v>
      </c>
      <c r="O266" s="76">
        <f t="shared" si="271"/>
        <v>1.149</v>
      </c>
      <c r="P266" s="77">
        <f t="shared" si="272"/>
        <v>6.202129032258064</v>
      </c>
      <c r="Q266" s="78">
        <f t="shared" si="275"/>
        <v>431.8279569892473</v>
      </c>
      <c r="R266" s="78"/>
      <c r="S266" s="79">
        <v>25</v>
      </c>
      <c r="T266" s="80">
        <f t="shared" si="273"/>
        <v>1.149</v>
      </c>
      <c r="U266" s="79">
        <f t="shared" si="274"/>
        <v>28.725000000000001</v>
      </c>
      <c r="V266">
        <f t="shared" si="276"/>
        <v>2000</v>
      </c>
    </row>
    <row r="267" spans="1:22">
      <c r="A267" s="4"/>
      <c r="B267" s="5" t="s">
        <v>244</v>
      </c>
      <c r="C267" s="4" t="s">
        <v>188</v>
      </c>
      <c r="D267" s="6">
        <v>180</v>
      </c>
      <c r="E267" s="6">
        <f t="shared" si="265"/>
        <v>18.55696774193548</v>
      </c>
      <c r="F267" s="6">
        <f t="shared" si="266"/>
        <v>3340.2541935483864</v>
      </c>
      <c r="G267" s="6">
        <f t="shared" si="267"/>
        <v>33.320999999999998</v>
      </c>
      <c r="H267" s="6">
        <f t="shared" si="268"/>
        <v>5997.78</v>
      </c>
      <c r="I267" s="6">
        <f t="shared" si="269"/>
        <v>51.877967741935478</v>
      </c>
      <c r="J267" s="6">
        <f t="shared" si="270"/>
        <v>9338.0341935483866</v>
      </c>
      <c r="K267" s="82"/>
      <c r="L267" s="24"/>
      <c r="N267" s="75">
        <v>16.1505376344086</v>
      </c>
      <c r="O267" s="76">
        <f t="shared" si="271"/>
        <v>1.149</v>
      </c>
      <c r="P267" s="77">
        <f t="shared" si="272"/>
        <v>18.55696774193548</v>
      </c>
      <c r="Q267" s="78">
        <f t="shared" si="275"/>
        <v>2907.0967741935478</v>
      </c>
      <c r="R267" s="78"/>
      <c r="S267" s="79">
        <v>29</v>
      </c>
      <c r="T267" s="80">
        <f t="shared" si="273"/>
        <v>1.149</v>
      </c>
      <c r="U267" s="79">
        <f t="shared" si="274"/>
        <v>33.320999999999998</v>
      </c>
      <c r="V267">
        <f t="shared" si="276"/>
        <v>5220</v>
      </c>
    </row>
    <row r="268" spans="1:22">
      <c r="A268" s="4"/>
      <c r="B268" s="5" t="s">
        <v>245</v>
      </c>
      <c r="C268" s="4" t="s">
        <v>188</v>
      </c>
      <c r="D268" s="6">
        <v>650</v>
      </c>
      <c r="E268" s="6">
        <f t="shared" si="265"/>
        <v>22.448741935483874</v>
      </c>
      <c r="F268" s="6">
        <f t="shared" si="266"/>
        <v>14591.682258064518</v>
      </c>
      <c r="G268" s="6">
        <f t="shared" si="267"/>
        <v>33.320999999999998</v>
      </c>
      <c r="H268" s="6">
        <f t="shared" si="268"/>
        <v>21658.649999999998</v>
      </c>
      <c r="I268" s="6">
        <f t="shared" si="269"/>
        <v>55.769741935483871</v>
      </c>
      <c r="J268" s="6">
        <f t="shared" si="270"/>
        <v>36250.332258064518</v>
      </c>
      <c r="K268" s="82"/>
      <c r="L268" s="24"/>
      <c r="N268" s="75">
        <v>19.537634408602152</v>
      </c>
      <c r="O268" s="76">
        <f t="shared" si="271"/>
        <v>1.149</v>
      </c>
      <c r="P268" s="77">
        <f t="shared" si="272"/>
        <v>22.448741935483874</v>
      </c>
      <c r="Q268" s="78">
        <f t="shared" si="275"/>
        <v>12699.462365591398</v>
      </c>
      <c r="R268" s="78"/>
      <c r="S268" s="79">
        <v>29</v>
      </c>
      <c r="T268" s="80">
        <f t="shared" si="273"/>
        <v>1.149</v>
      </c>
      <c r="U268" s="79">
        <f t="shared" si="274"/>
        <v>33.320999999999998</v>
      </c>
      <c r="V268">
        <f t="shared" si="276"/>
        <v>18850</v>
      </c>
    </row>
    <row r="269" spans="1:22">
      <c r="A269" s="4"/>
      <c r="B269" s="5" t="s">
        <v>246</v>
      </c>
      <c r="C269" s="4" t="s">
        <v>36</v>
      </c>
      <c r="D269" s="6">
        <v>650</v>
      </c>
      <c r="E269" s="6">
        <f t="shared" si="265"/>
        <v>5.053129032258064</v>
      </c>
      <c r="F269" s="6">
        <f t="shared" si="266"/>
        <v>3284.5338709677417</v>
      </c>
      <c r="G269" s="6">
        <f t="shared" si="267"/>
        <v>13.788</v>
      </c>
      <c r="H269" s="6">
        <f t="shared" si="268"/>
        <v>8962.2000000000007</v>
      </c>
      <c r="I269" s="6">
        <f t="shared" si="269"/>
        <v>18.841129032258063</v>
      </c>
      <c r="J269" s="6">
        <f t="shared" si="270"/>
        <v>12246.733870967742</v>
      </c>
      <c r="K269" s="82"/>
      <c r="L269" s="24"/>
      <c r="N269" s="75">
        <v>4.397849462365591</v>
      </c>
      <c r="O269" s="76">
        <f t="shared" si="271"/>
        <v>1.149</v>
      </c>
      <c r="P269" s="77">
        <f t="shared" si="272"/>
        <v>5.053129032258064</v>
      </c>
      <c r="Q269" s="78">
        <f t="shared" si="275"/>
        <v>2858.6021505376343</v>
      </c>
      <c r="R269" s="78"/>
      <c r="S269" s="79">
        <v>12</v>
      </c>
      <c r="T269" s="80">
        <f t="shared" si="273"/>
        <v>1.149</v>
      </c>
      <c r="U269" s="79">
        <f t="shared" si="274"/>
        <v>13.788</v>
      </c>
      <c r="V269">
        <f t="shared" si="276"/>
        <v>7800</v>
      </c>
    </row>
    <row r="270" spans="1:22">
      <c r="A270" s="19"/>
      <c r="B270" s="20" t="s">
        <v>247</v>
      </c>
      <c r="C270" s="19" t="s">
        <v>26</v>
      </c>
      <c r="D270" s="21"/>
      <c r="E270" s="21"/>
      <c r="F270" s="21"/>
      <c r="G270" s="21"/>
      <c r="H270" s="21"/>
      <c r="I270" s="21"/>
      <c r="J270" s="21"/>
      <c r="K270" s="82"/>
      <c r="L270" s="24"/>
      <c r="Q270" s="78">
        <f t="shared" si="275"/>
        <v>0</v>
      </c>
      <c r="V270">
        <f t="shared" si="276"/>
        <v>0</v>
      </c>
    </row>
    <row r="271" spans="1:22">
      <c r="A271" s="4"/>
      <c r="B271" s="5" t="s">
        <v>248</v>
      </c>
      <c r="C271" s="4" t="s">
        <v>249</v>
      </c>
      <c r="D271" s="6">
        <v>120</v>
      </c>
      <c r="E271" s="6">
        <f>SUM(P271)</f>
        <v>45.96</v>
      </c>
      <c r="F271" s="6">
        <f t="shared" ref="F271" si="277">D271*E271</f>
        <v>5515.2</v>
      </c>
      <c r="G271" s="6">
        <f>SUM(U271)</f>
        <v>40.215000000000003</v>
      </c>
      <c r="H271" s="6">
        <f t="shared" ref="H271" si="278">D271*G271</f>
        <v>4825.8</v>
      </c>
      <c r="I271" s="6">
        <f t="shared" ref="I271" si="279">E271+G271</f>
        <v>86.175000000000011</v>
      </c>
      <c r="J271" s="6">
        <f t="shared" ref="J271" si="280">F271+H271</f>
        <v>10341</v>
      </c>
      <c r="K271" s="82"/>
      <c r="L271" s="24"/>
      <c r="N271" s="86">
        <v>40</v>
      </c>
      <c r="O271" s="76">
        <f>$O$1</f>
        <v>1.149</v>
      </c>
      <c r="P271" s="77">
        <f>SUM(O271*N271)</f>
        <v>45.96</v>
      </c>
      <c r="Q271" s="78">
        <f t="shared" si="275"/>
        <v>4800</v>
      </c>
      <c r="R271" s="78"/>
      <c r="S271" s="79">
        <v>35</v>
      </c>
      <c r="T271" s="80">
        <f>$T$1</f>
        <v>1.149</v>
      </c>
      <c r="U271" s="79">
        <f>SUM(T271*S271)</f>
        <v>40.215000000000003</v>
      </c>
      <c r="V271">
        <f t="shared" si="276"/>
        <v>4200</v>
      </c>
    </row>
    <row r="272" spans="1:22">
      <c r="A272" s="19"/>
      <c r="B272" s="20" t="s">
        <v>250</v>
      </c>
      <c r="C272" s="19" t="s">
        <v>26</v>
      </c>
      <c r="D272" s="22"/>
      <c r="E272" s="22"/>
      <c r="F272" s="22"/>
      <c r="G272" s="22"/>
      <c r="H272" s="22"/>
      <c r="I272" s="22"/>
      <c r="J272" s="22"/>
      <c r="K272" s="82"/>
      <c r="L272" s="24"/>
      <c r="Q272" s="78">
        <f t="shared" si="275"/>
        <v>0</v>
      </c>
      <c r="V272">
        <f t="shared" si="276"/>
        <v>0</v>
      </c>
    </row>
    <row r="273" spans="1:22">
      <c r="A273" s="4"/>
      <c r="B273" s="5" t="s">
        <v>251</v>
      </c>
      <c r="C273" s="4" t="s">
        <v>36</v>
      </c>
      <c r="D273" s="6">
        <v>3</v>
      </c>
      <c r="E273" s="6">
        <f>SUM(P273)</f>
        <v>689.4</v>
      </c>
      <c r="F273" s="6">
        <f t="shared" ref="F273:F274" si="281">D273*E273</f>
        <v>2068.1999999999998</v>
      </c>
      <c r="G273" s="6">
        <f>SUM(U273)</f>
        <v>631.95000000000005</v>
      </c>
      <c r="H273" s="6">
        <f t="shared" ref="H273:H274" si="282">D273*G273</f>
        <v>1895.8500000000001</v>
      </c>
      <c r="I273" s="6">
        <f t="shared" ref="I273:I274" si="283">E273+G273</f>
        <v>1321.35</v>
      </c>
      <c r="J273" s="6">
        <f t="shared" ref="J273:J274" si="284">F273+H273</f>
        <v>3964.05</v>
      </c>
      <c r="K273" s="82"/>
      <c r="L273" s="24"/>
      <c r="N273" s="86">
        <v>600</v>
      </c>
      <c r="O273" s="76">
        <f>$O$1</f>
        <v>1.149</v>
      </c>
      <c r="P273" s="77">
        <f>SUM(O273*N273)</f>
        <v>689.4</v>
      </c>
      <c r="Q273" s="78">
        <f t="shared" si="275"/>
        <v>1800</v>
      </c>
      <c r="R273" s="78"/>
      <c r="S273" s="79">
        <v>550</v>
      </c>
      <c r="T273" s="80">
        <f>$T$1</f>
        <v>1.149</v>
      </c>
      <c r="U273" s="79">
        <f>SUM(T273*S273)</f>
        <v>631.95000000000005</v>
      </c>
      <c r="V273">
        <f t="shared" si="276"/>
        <v>1650</v>
      </c>
    </row>
    <row r="274" spans="1:22">
      <c r="A274" s="4"/>
      <c r="B274" s="5" t="s">
        <v>252</v>
      </c>
      <c r="C274" s="4" t="s">
        <v>36</v>
      </c>
      <c r="D274" s="6">
        <v>14</v>
      </c>
      <c r="E274" s="6">
        <f>SUM(P274)</f>
        <v>1034.0999999999999</v>
      </c>
      <c r="F274" s="6">
        <f t="shared" si="281"/>
        <v>14477.399999999998</v>
      </c>
      <c r="G274" s="6">
        <f>SUM(U274)</f>
        <v>746.85</v>
      </c>
      <c r="H274" s="6">
        <f t="shared" si="282"/>
        <v>10455.9</v>
      </c>
      <c r="I274" s="6">
        <f t="shared" si="283"/>
        <v>1780.9499999999998</v>
      </c>
      <c r="J274" s="6">
        <f t="shared" si="284"/>
        <v>24933.299999999996</v>
      </c>
      <c r="K274" s="82"/>
      <c r="L274" s="24"/>
      <c r="N274" s="86">
        <v>900</v>
      </c>
      <c r="O274" s="76">
        <f>$O$1</f>
        <v>1.149</v>
      </c>
      <c r="P274" s="77">
        <f>SUM(O274*N274)</f>
        <v>1034.0999999999999</v>
      </c>
      <c r="Q274" s="78">
        <f t="shared" si="275"/>
        <v>12600</v>
      </c>
      <c r="R274" s="78"/>
      <c r="S274" s="79">
        <v>650</v>
      </c>
      <c r="T274" s="80">
        <f>$T$1</f>
        <v>1.149</v>
      </c>
      <c r="U274" s="79">
        <f>SUM(T274*S274)</f>
        <v>746.85</v>
      </c>
      <c r="V274">
        <f t="shared" si="276"/>
        <v>9100</v>
      </c>
    </row>
    <row r="275" spans="1:22">
      <c r="A275" s="19"/>
      <c r="B275" s="20" t="s">
        <v>253</v>
      </c>
      <c r="C275" s="19" t="s">
        <v>26</v>
      </c>
      <c r="D275" s="21"/>
      <c r="E275" s="21"/>
      <c r="F275" s="21"/>
      <c r="G275" s="21"/>
      <c r="H275" s="21"/>
      <c r="I275" s="21"/>
      <c r="J275" s="21"/>
      <c r="K275" s="82"/>
      <c r="L275" s="24"/>
      <c r="Q275" s="78">
        <f t="shared" si="275"/>
        <v>0</v>
      </c>
      <c r="V275">
        <f t="shared" si="276"/>
        <v>0</v>
      </c>
    </row>
    <row r="276" spans="1:22">
      <c r="A276" s="4"/>
      <c r="B276" s="5" t="s">
        <v>254</v>
      </c>
      <c r="C276" s="4" t="s">
        <v>36</v>
      </c>
      <c r="D276" s="6">
        <v>25</v>
      </c>
      <c r="E276" s="6">
        <f>SUM(P276)</f>
        <v>0</v>
      </c>
      <c r="F276" s="6">
        <f t="shared" ref="F276:F277" si="285">D276*E276</f>
        <v>0</v>
      </c>
      <c r="G276" s="6">
        <f>SUM(U276)</f>
        <v>103.41</v>
      </c>
      <c r="H276" s="6">
        <f t="shared" ref="H276:H277" si="286">D276*G276</f>
        <v>2585.25</v>
      </c>
      <c r="I276" s="6">
        <f t="shared" ref="I276:I277" si="287">E276+G276</f>
        <v>103.41</v>
      </c>
      <c r="J276" s="6">
        <f t="shared" ref="J276:J277" si="288">F276+H276</f>
        <v>2585.25</v>
      </c>
      <c r="K276" s="82"/>
      <c r="L276" s="24"/>
      <c r="N276" s="75"/>
      <c r="O276" s="76">
        <f>$O$1</f>
        <v>1.149</v>
      </c>
      <c r="P276" s="77">
        <f>SUM(O276*N276)</f>
        <v>0</v>
      </c>
      <c r="Q276" s="78">
        <f t="shared" si="275"/>
        <v>0</v>
      </c>
      <c r="R276" s="78"/>
      <c r="S276" s="79">
        <v>90</v>
      </c>
      <c r="T276" s="80">
        <f>$T$1</f>
        <v>1.149</v>
      </c>
      <c r="U276" s="79">
        <f>SUM(T276*S276)</f>
        <v>103.41</v>
      </c>
      <c r="V276">
        <f t="shared" si="276"/>
        <v>2250</v>
      </c>
    </row>
    <row r="277" spans="1:22">
      <c r="A277" s="4"/>
      <c r="B277" s="5" t="s">
        <v>255</v>
      </c>
      <c r="C277" s="4" t="s">
        <v>36</v>
      </c>
      <c r="D277" s="6">
        <v>15</v>
      </c>
      <c r="E277" s="6">
        <f>SUM(P277)</f>
        <v>0</v>
      </c>
      <c r="F277" s="6">
        <f t="shared" si="285"/>
        <v>0</v>
      </c>
      <c r="G277" s="6">
        <f>SUM(U277)</f>
        <v>137.88</v>
      </c>
      <c r="H277" s="6">
        <f t="shared" si="286"/>
        <v>2068.1999999999998</v>
      </c>
      <c r="I277" s="6">
        <f t="shared" si="287"/>
        <v>137.88</v>
      </c>
      <c r="J277" s="6">
        <f t="shared" si="288"/>
        <v>2068.1999999999998</v>
      </c>
      <c r="K277" s="82"/>
      <c r="L277" s="24"/>
      <c r="N277" s="75"/>
      <c r="O277" s="76">
        <f>$O$1</f>
        <v>1.149</v>
      </c>
      <c r="P277" s="77">
        <f>SUM(O277*N277)</f>
        <v>0</v>
      </c>
      <c r="Q277" s="78">
        <f t="shared" si="275"/>
        <v>0</v>
      </c>
      <c r="R277" s="78"/>
      <c r="S277" s="79">
        <v>120</v>
      </c>
      <c r="T277" s="80">
        <f>$T$1</f>
        <v>1.149</v>
      </c>
      <c r="U277" s="79">
        <f>SUM(T277*S277)</f>
        <v>137.88</v>
      </c>
      <c r="V277">
        <f t="shared" si="276"/>
        <v>1800</v>
      </c>
    </row>
    <row r="278" spans="1:22">
      <c r="A278" s="4"/>
      <c r="B278" s="5" t="s">
        <v>26</v>
      </c>
      <c r="C278" s="4" t="s">
        <v>26</v>
      </c>
      <c r="D278" s="6"/>
      <c r="E278" s="6"/>
      <c r="F278" s="6"/>
      <c r="G278" s="6"/>
      <c r="H278" s="6"/>
      <c r="I278" s="6"/>
      <c r="J278" s="6"/>
      <c r="K278" s="82"/>
      <c r="L278" s="24"/>
      <c r="Q278" s="78">
        <f t="shared" si="275"/>
        <v>0</v>
      </c>
      <c r="V278">
        <f t="shared" si="276"/>
        <v>0</v>
      </c>
    </row>
    <row r="279" spans="1:22">
      <c r="A279" s="13"/>
      <c r="B279" s="14" t="s">
        <v>256</v>
      </c>
      <c r="C279" s="13" t="s">
        <v>26</v>
      </c>
      <c r="D279" s="15"/>
      <c r="E279" s="15"/>
      <c r="F279" s="15">
        <f>SUM(F250:F278)</f>
        <v>281503.05493981263</v>
      </c>
      <c r="G279" s="15"/>
      <c r="H279" s="15">
        <f>SUM(H250:H278)</f>
        <v>227180.28</v>
      </c>
      <c r="I279" s="15"/>
      <c r="J279" s="15">
        <f>SUM(J250:J278)</f>
        <v>508683.33493981254</v>
      </c>
      <c r="K279" s="82"/>
      <c r="L279" s="24"/>
      <c r="Q279" s="78">
        <f t="shared" si="275"/>
        <v>0</v>
      </c>
      <c r="V279">
        <f t="shared" si="276"/>
        <v>0</v>
      </c>
    </row>
    <row r="280" spans="1:22">
      <c r="A280" s="4"/>
      <c r="B280" s="5" t="s">
        <v>26</v>
      </c>
      <c r="C280" s="4" t="s">
        <v>26</v>
      </c>
      <c r="D280" s="6"/>
      <c r="E280" s="6"/>
      <c r="F280" s="6"/>
      <c r="G280" s="6"/>
      <c r="H280" s="6"/>
      <c r="I280" s="6"/>
      <c r="J280" s="6"/>
      <c r="K280" s="82"/>
      <c r="L280" s="24"/>
      <c r="Q280" s="78">
        <f t="shared" si="275"/>
        <v>0</v>
      </c>
      <c r="V280">
        <f t="shared" si="276"/>
        <v>0</v>
      </c>
    </row>
    <row r="281" spans="1:22">
      <c r="A281" s="59"/>
      <c r="B281" s="60" t="s">
        <v>257</v>
      </c>
      <c r="C281" s="59" t="s">
        <v>26</v>
      </c>
      <c r="D281" s="61"/>
      <c r="E281" s="61"/>
      <c r="F281" s="61"/>
      <c r="G281" s="61"/>
      <c r="H281" s="61"/>
      <c r="I281" s="61"/>
      <c r="J281" s="61"/>
      <c r="K281" s="82"/>
      <c r="L281" s="24"/>
      <c r="Q281" s="78">
        <f t="shared" si="275"/>
        <v>0</v>
      </c>
      <c r="V281">
        <f t="shared" si="276"/>
        <v>0</v>
      </c>
    </row>
    <row r="282" spans="1:22">
      <c r="A282" s="62"/>
      <c r="B282" s="63" t="s">
        <v>26</v>
      </c>
      <c r="C282" s="62" t="s">
        <v>26</v>
      </c>
      <c r="D282" s="64"/>
      <c r="E282" s="64"/>
      <c r="F282" s="64"/>
      <c r="G282" s="64"/>
      <c r="H282" s="64"/>
      <c r="I282" s="64"/>
      <c r="J282" s="64"/>
      <c r="K282" s="82"/>
      <c r="L282" s="24"/>
      <c r="Q282" s="78">
        <f t="shared" si="275"/>
        <v>0</v>
      </c>
      <c r="V282">
        <f t="shared" si="276"/>
        <v>0</v>
      </c>
    </row>
    <row r="283" spans="1:22">
      <c r="A283" s="65"/>
      <c r="B283" s="66" t="s">
        <v>258</v>
      </c>
      <c r="C283" s="65" t="s">
        <v>26</v>
      </c>
      <c r="D283" s="67"/>
      <c r="E283" s="67"/>
      <c r="F283" s="67"/>
      <c r="G283" s="67"/>
      <c r="H283" s="67"/>
      <c r="I283" s="67"/>
      <c r="J283" s="67"/>
      <c r="K283" s="82"/>
      <c r="L283" s="24"/>
      <c r="Q283" s="78">
        <f t="shared" si="275"/>
        <v>0</v>
      </c>
      <c r="V283">
        <f t="shared" si="276"/>
        <v>0</v>
      </c>
    </row>
    <row r="284" spans="1:22">
      <c r="A284" s="62"/>
      <c r="B284" s="63" t="s">
        <v>259</v>
      </c>
      <c r="C284" s="62" t="s">
        <v>260</v>
      </c>
      <c r="D284" s="64">
        <v>0.15</v>
      </c>
      <c r="E284" s="64"/>
      <c r="F284" s="64">
        <f t="shared" ref="F284:F289" si="289">D284*E284</f>
        <v>0</v>
      </c>
      <c r="G284" s="64"/>
      <c r="H284" s="64">
        <f t="shared" ref="H284:H289" si="290">D284*G284</f>
        <v>0</v>
      </c>
      <c r="I284" s="64">
        <f t="shared" ref="I284:J289" si="291">E284+G284</f>
        <v>0</v>
      </c>
      <c r="J284" s="64">
        <f t="shared" si="291"/>
        <v>0</v>
      </c>
      <c r="K284" s="82"/>
      <c r="L284" s="24"/>
      <c r="Q284" s="78">
        <f t="shared" si="275"/>
        <v>0</v>
      </c>
      <c r="V284">
        <f t="shared" si="276"/>
        <v>0</v>
      </c>
    </row>
    <row r="285" spans="1:22">
      <c r="A285" s="62"/>
      <c r="B285" s="63" t="s">
        <v>261</v>
      </c>
      <c r="C285" s="62" t="s">
        <v>260</v>
      </c>
      <c r="D285" s="64">
        <v>0.2</v>
      </c>
      <c r="E285" s="64"/>
      <c r="F285" s="64">
        <f t="shared" si="289"/>
        <v>0</v>
      </c>
      <c r="G285" s="64"/>
      <c r="H285" s="64">
        <f t="shared" si="290"/>
        <v>0</v>
      </c>
      <c r="I285" s="64">
        <f t="shared" si="291"/>
        <v>0</v>
      </c>
      <c r="J285" s="64">
        <f t="shared" si="291"/>
        <v>0</v>
      </c>
      <c r="K285" s="82"/>
      <c r="L285" s="24"/>
      <c r="Q285" s="78">
        <f t="shared" si="275"/>
        <v>0</v>
      </c>
      <c r="V285">
        <f t="shared" si="276"/>
        <v>0</v>
      </c>
    </row>
    <row r="286" spans="1:22">
      <c r="A286" s="62"/>
      <c r="B286" s="63" t="s">
        <v>262</v>
      </c>
      <c r="C286" s="62" t="s">
        <v>260</v>
      </c>
      <c r="D286" s="64">
        <v>0.1</v>
      </c>
      <c r="E286" s="64"/>
      <c r="F286" s="64">
        <f t="shared" si="289"/>
        <v>0</v>
      </c>
      <c r="G286" s="64"/>
      <c r="H286" s="64">
        <f t="shared" si="290"/>
        <v>0</v>
      </c>
      <c r="I286" s="64">
        <f t="shared" si="291"/>
        <v>0</v>
      </c>
      <c r="J286" s="64">
        <f t="shared" si="291"/>
        <v>0</v>
      </c>
      <c r="K286" s="82"/>
      <c r="L286" s="24"/>
      <c r="Q286" s="78">
        <f t="shared" si="275"/>
        <v>0</v>
      </c>
      <c r="V286">
        <f t="shared" si="276"/>
        <v>0</v>
      </c>
    </row>
    <row r="287" spans="1:22">
      <c r="A287" s="62"/>
      <c r="B287" s="63" t="s">
        <v>263</v>
      </c>
      <c r="C287" s="62" t="s">
        <v>36</v>
      </c>
      <c r="D287" s="64">
        <v>1</v>
      </c>
      <c r="E287" s="64"/>
      <c r="F287" s="64">
        <f t="shared" si="289"/>
        <v>0</v>
      </c>
      <c r="G287" s="64"/>
      <c r="H287" s="64">
        <f t="shared" si="290"/>
        <v>0</v>
      </c>
      <c r="I287" s="64">
        <f t="shared" si="291"/>
        <v>0</v>
      </c>
      <c r="J287" s="64">
        <f t="shared" si="291"/>
        <v>0</v>
      </c>
      <c r="K287" s="82"/>
      <c r="L287" s="24"/>
      <c r="Q287" s="78">
        <f t="shared" si="275"/>
        <v>0</v>
      </c>
      <c r="V287">
        <f t="shared" si="276"/>
        <v>0</v>
      </c>
    </row>
    <row r="288" spans="1:22">
      <c r="A288" s="62"/>
      <c r="B288" s="63" t="s">
        <v>264</v>
      </c>
      <c r="C288" s="62" t="s">
        <v>260</v>
      </c>
      <c r="D288" s="64">
        <v>5</v>
      </c>
      <c r="E288" s="64"/>
      <c r="F288" s="64">
        <f t="shared" si="289"/>
        <v>0</v>
      </c>
      <c r="G288" s="64"/>
      <c r="H288" s="64">
        <f t="shared" si="290"/>
        <v>0</v>
      </c>
      <c r="I288" s="64">
        <f t="shared" si="291"/>
        <v>0</v>
      </c>
      <c r="J288" s="64">
        <f t="shared" si="291"/>
        <v>0</v>
      </c>
      <c r="K288" s="82"/>
      <c r="L288" s="24"/>
      <c r="Q288" s="78">
        <f t="shared" si="275"/>
        <v>0</v>
      </c>
      <c r="V288">
        <f t="shared" si="276"/>
        <v>0</v>
      </c>
    </row>
    <row r="289" spans="1:22">
      <c r="A289" s="62"/>
      <c r="B289" s="63" t="s">
        <v>265</v>
      </c>
      <c r="C289" s="62" t="s">
        <v>36</v>
      </c>
      <c r="D289" s="64">
        <v>5</v>
      </c>
      <c r="E289" s="64"/>
      <c r="F289" s="64">
        <f t="shared" si="289"/>
        <v>0</v>
      </c>
      <c r="G289" s="64"/>
      <c r="H289" s="64">
        <f t="shared" si="290"/>
        <v>0</v>
      </c>
      <c r="I289" s="64">
        <f t="shared" si="291"/>
        <v>0</v>
      </c>
      <c r="J289" s="64">
        <f t="shared" si="291"/>
        <v>0</v>
      </c>
      <c r="K289" s="82"/>
      <c r="L289" s="24"/>
      <c r="Q289" s="78">
        <f t="shared" si="275"/>
        <v>0</v>
      </c>
      <c r="V289">
        <f t="shared" si="276"/>
        <v>0</v>
      </c>
    </row>
    <row r="290" spans="1:22">
      <c r="A290" s="62"/>
      <c r="B290" s="63" t="s">
        <v>26</v>
      </c>
      <c r="C290" s="62" t="s">
        <v>26</v>
      </c>
      <c r="D290" s="64"/>
      <c r="E290" s="64"/>
      <c r="F290" s="64"/>
      <c r="G290" s="64"/>
      <c r="H290" s="64"/>
      <c r="I290" s="64"/>
      <c r="J290" s="64"/>
      <c r="K290" s="82"/>
      <c r="L290" s="24"/>
      <c r="Q290" s="78">
        <f t="shared" si="275"/>
        <v>0</v>
      </c>
      <c r="V290">
        <f t="shared" si="276"/>
        <v>0</v>
      </c>
    </row>
    <row r="291" spans="1:22">
      <c r="A291" s="59"/>
      <c r="B291" s="60" t="s">
        <v>266</v>
      </c>
      <c r="C291" s="59" t="s">
        <v>26</v>
      </c>
      <c r="D291" s="61"/>
      <c r="E291" s="61"/>
      <c r="F291" s="61">
        <f>SUM(F282:F290)</f>
        <v>0</v>
      </c>
      <c r="G291" s="61"/>
      <c r="H291" s="61">
        <f>SUM(H282:H290)</f>
        <v>0</v>
      </c>
      <c r="I291" s="61"/>
      <c r="J291" s="61">
        <f>SUM(J282:J290)</f>
        <v>0</v>
      </c>
      <c r="K291" s="82"/>
      <c r="L291" s="24"/>
      <c r="Q291" s="78">
        <f t="shared" si="275"/>
        <v>0</v>
      </c>
      <c r="V291">
        <f t="shared" si="276"/>
        <v>0</v>
      </c>
    </row>
    <row r="292" spans="1:22">
      <c r="A292" s="4"/>
      <c r="B292" s="5" t="s">
        <v>26</v>
      </c>
      <c r="C292" s="4" t="s">
        <v>26</v>
      </c>
      <c r="D292" s="6"/>
      <c r="E292" s="6"/>
      <c r="F292" s="6"/>
      <c r="G292" s="6"/>
      <c r="H292" s="6"/>
      <c r="I292" s="6"/>
      <c r="J292" s="6"/>
      <c r="K292" s="82"/>
      <c r="L292" s="24"/>
      <c r="Q292" s="78">
        <f t="shared" si="275"/>
        <v>0</v>
      </c>
      <c r="V292">
        <f t="shared" si="276"/>
        <v>0</v>
      </c>
    </row>
    <row r="293" spans="1:22">
      <c r="A293" s="13"/>
      <c r="B293" s="14" t="s">
        <v>267</v>
      </c>
      <c r="C293" s="13" t="s">
        <v>26</v>
      </c>
      <c r="D293" s="15"/>
      <c r="E293" s="15"/>
      <c r="F293" s="15"/>
      <c r="G293" s="15"/>
      <c r="H293" s="15"/>
      <c r="I293" s="15"/>
      <c r="J293" s="15"/>
      <c r="K293" s="82"/>
      <c r="L293" s="24"/>
      <c r="Q293" s="78">
        <f t="shared" si="275"/>
        <v>0</v>
      </c>
      <c r="V293">
        <f t="shared" si="276"/>
        <v>0</v>
      </c>
    </row>
    <row r="294" spans="1:22">
      <c r="A294" s="4"/>
      <c r="B294" s="5" t="s">
        <v>26</v>
      </c>
      <c r="C294" s="4" t="s">
        <v>26</v>
      </c>
      <c r="D294" s="23"/>
      <c r="E294" s="23"/>
      <c r="F294" s="23"/>
      <c r="G294" s="23"/>
      <c r="H294" s="23"/>
      <c r="I294" s="23"/>
      <c r="J294" s="23"/>
      <c r="K294" s="82"/>
      <c r="L294" s="24"/>
      <c r="Q294" s="78">
        <f t="shared" si="275"/>
        <v>0</v>
      </c>
      <c r="V294">
        <f t="shared" si="276"/>
        <v>0</v>
      </c>
    </row>
    <row r="295" spans="1:22">
      <c r="A295" s="19"/>
      <c r="B295" s="20" t="s">
        <v>268</v>
      </c>
      <c r="C295" s="19" t="s">
        <v>26</v>
      </c>
      <c r="D295" s="21"/>
      <c r="E295" s="21"/>
      <c r="F295" s="21"/>
      <c r="G295" s="21"/>
      <c r="H295" s="21"/>
      <c r="I295" s="21"/>
      <c r="J295" s="21"/>
      <c r="K295" s="82"/>
      <c r="L295" s="24"/>
      <c r="Q295" s="78">
        <f t="shared" si="275"/>
        <v>0</v>
      </c>
      <c r="V295">
        <f t="shared" si="276"/>
        <v>0</v>
      </c>
    </row>
    <row r="296" spans="1:22">
      <c r="A296" s="4"/>
      <c r="B296" s="5" t="s">
        <v>269</v>
      </c>
      <c r="C296" s="4" t="s">
        <v>188</v>
      </c>
      <c r="D296" s="6">
        <v>750</v>
      </c>
      <c r="E296" s="6">
        <f t="shared" ref="E296:E298" si="292">SUM(P296)</f>
        <v>36.489821052631584</v>
      </c>
      <c r="F296" s="6">
        <f t="shared" ref="F296:F298" si="293">D296*E296</f>
        <v>27367.365789473686</v>
      </c>
      <c r="G296" s="6">
        <f t="shared" ref="G296:G298" si="294">SUM(U296)</f>
        <v>74.685000000000002</v>
      </c>
      <c r="H296" s="6">
        <f t="shared" ref="H296:H298" si="295">D296*G296</f>
        <v>56013.75</v>
      </c>
      <c r="I296" s="6">
        <f t="shared" ref="I296:I298" si="296">E296+G296</f>
        <v>111.17482105263159</v>
      </c>
      <c r="J296" s="6">
        <f t="shared" ref="J296:J298" si="297">F296+H296</f>
        <v>83381.115789473683</v>
      </c>
      <c r="K296" s="82"/>
      <c r="L296" s="24"/>
      <c r="N296" s="75">
        <v>31.757894736842108</v>
      </c>
      <c r="O296" s="76">
        <f t="shared" ref="O296:O298" si="298">$O$1</f>
        <v>1.149</v>
      </c>
      <c r="P296" s="77">
        <f t="shared" ref="P296:P298" si="299">SUM(O296*N296)</f>
        <v>36.489821052631584</v>
      </c>
      <c r="Q296" s="78">
        <f t="shared" si="275"/>
        <v>23818.42105263158</v>
      </c>
      <c r="R296" s="78"/>
      <c r="S296" s="79">
        <v>65</v>
      </c>
      <c r="T296" s="80">
        <f t="shared" ref="T296:T298" si="300">$T$1</f>
        <v>1.149</v>
      </c>
      <c r="U296" s="79">
        <f t="shared" ref="U296:U298" si="301">SUM(T296*S296)</f>
        <v>74.685000000000002</v>
      </c>
      <c r="V296">
        <f t="shared" si="276"/>
        <v>48750</v>
      </c>
    </row>
    <row r="297" spans="1:22">
      <c r="A297" s="4"/>
      <c r="B297" s="5" t="s">
        <v>270</v>
      </c>
      <c r="C297" s="4" t="s">
        <v>188</v>
      </c>
      <c r="D297" s="6">
        <v>60</v>
      </c>
      <c r="E297" s="6">
        <f t="shared" si="292"/>
        <v>34.47</v>
      </c>
      <c r="F297" s="6">
        <f t="shared" si="293"/>
        <v>2068.1999999999998</v>
      </c>
      <c r="G297" s="6">
        <f t="shared" si="294"/>
        <v>80.430000000000007</v>
      </c>
      <c r="H297" s="6">
        <f t="shared" si="295"/>
        <v>4825.8</v>
      </c>
      <c r="I297" s="6">
        <f t="shared" si="296"/>
        <v>114.9</v>
      </c>
      <c r="J297" s="6">
        <f t="shared" si="297"/>
        <v>6894</v>
      </c>
      <c r="K297" s="82"/>
      <c r="L297" s="24"/>
      <c r="N297" s="75">
        <v>30</v>
      </c>
      <c r="O297" s="76">
        <f t="shared" si="298"/>
        <v>1.149</v>
      </c>
      <c r="P297" s="77">
        <f t="shared" si="299"/>
        <v>34.47</v>
      </c>
      <c r="Q297" s="78">
        <f t="shared" si="275"/>
        <v>1800</v>
      </c>
      <c r="R297" s="78"/>
      <c r="S297" s="79">
        <v>70</v>
      </c>
      <c r="T297" s="80">
        <f t="shared" si="300"/>
        <v>1.149</v>
      </c>
      <c r="U297" s="79">
        <f t="shared" si="301"/>
        <v>80.430000000000007</v>
      </c>
      <c r="V297">
        <f t="shared" si="276"/>
        <v>4200</v>
      </c>
    </row>
    <row r="298" spans="1:22">
      <c r="A298" s="4"/>
      <c r="B298" s="5" t="s">
        <v>271</v>
      </c>
      <c r="C298" s="4" t="s">
        <v>188</v>
      </c>
      <c r="D298" s="6">
        <v>2750</v>
      </c>
      <c r="E298" s="6">
        <f t="shared" si="292"/>
        <v>21.831</v>
      </c>
      <c r="F298" s="6">
        <f t="shared" si="293"/>
        <v>60035.25</v>
      </c>
      <c r="G298" s="6">
        <f t="shared" si="294"/>
        <v>63.195</v>
      </c>
      <c r="H298" s="6">
        <f t="shared" si="295"/>
        <v>173786.25</v>
      </c>
      <c r="I298" s="6">
        <f t="shared" si="296"/>
        <v>85.025999999999996</v>
      </c>
      <c r="J298" s="6">
        <f t="shared" si="297"/>
        <v>233821.5</v>
      </c>
      <c r="K298" s="82"/>
      <c r="L298" s="24"/>
      <c r="N298" s="75">
        <v>19</v>
      </c>
      <c r="O298" s="76">
        <f t="shared" si="298"/>
        <v>1.149</v>
      </c>
      <c r="P298" s="77">
        <f t="shared" si="299"/>
        <v>21.831</v>
      </c>
      <c r="Q298" s="78">
        <f t="shared" si="275"/>
        <v>52250</v>
      </c>
      <c r="R298" s="78"/>
      <c r="S298" s="79">
        <v>55</v>
      </c>
      <c r="T298" s="80">
        <f t="shared" si="300"/>
        <v>1.149</v>
      </c>
      <c r="U298" s="79">
        <f t="shared" si="301"/>
        <v>63.195</v>
      </c>
      <c r="V298">
        <f t="shared" si="276"/>
        <v>151250</v>
      </c>
    </row>
    <row r="299" spans="1:22">
      <c r="A299" s="19"/>
      <c r="B299" s="20" t="s">
        <v>272</v>
      </c>
      <c r="C299" s="19" t="s">
        <v>26</v>
      </c>
      <c r="D299" s="21"/>
      <c r="E299" s="21"/>
      <c r="F299" s="21"/>
      <c r="G299" s="21"/>
      <c r="H299" s="21"/>
      <c r="I299" s="21"/>
      <c r="J299" s="21"/>
      <c r="K299" s="82"/>
      <c r="L299" s="24"/>
      <c r="Q299" s="78">
        <f t="shared" si="275"/>
        <v>0</v>
      </c>
      <c r="V299">
        <f t="shared" si="276"/>
        <v>0</v>
      </c>
    </row>
    <row r="300" spans="1:22">
      <c r="A300" s="4"/>
      <c r="B300" s="5" t="s">
        <v>273</v>
      </c>
      <c r="C300" s="4" t="s">
        <v>36</v>
      </c>
      <c r="D300" s="6">
        <v>420</v>
      </c>
      <c r="E300" s="6">
        <f>SUM(P300)</f>
        <v>16.714926315789477</v>
      </c>
      <c r="F300" s="6">
        <f t="shared" ref="F300" si="302">D300*E300</f>
        <v>7020.2690526315801</v>
      </c>
      <c r="G300" s="6">
        <f>SUM(U300)</f>
        <v>40.215000000000003</v>
      </c>
      <c r="H300" s="6">
        <f t="shared" ref="H300" si="303">D300*G300</f>
        <v>16890.300000000003</v>
      </c>
      <c r="I300" s="6">
        <f t="shared" ref="I300" si="304">E300+G300</f>
        <v>56.92992631578948</v>
      </c>
      <c r="J300" s="6">
        <f t="shared" ref="J300" si="305">F300+H300</f>
        <v>23910.569052631581</v>
      </c>
      <c r="K300" s="82"/>
      <c r="L300" s="24"/>
      <c r="N300" s="75">
        <v>14.547368421052633</v>
      </c>
      <c r="O300" s="76">
        <f>$O$1</f>
        <v>1.149</v>
      </c>
      <c r="P300" s="77">
        <f>SUM(O300*N300)</f>
        <v>16.714926315789477</v>
      </c>
      <c r="Q300" s="78">
        <f t="shared" si="275"/>
        <v>6109.8947368421059</v>
      </c>
      <c r="R300" s="78"/>
      <c r="S300" s="79">
        <v>35</v>
      </c>
      <c r="T300" s="80">
        <f>$T$1</f>
        <v>1.149</v>
      </c>
      <c r="U300" s="79">
        <f>SUM(T300*S300)</f>
        <v>40.215000000000003</v>
      </c>
      <c r="V300">
        <f t="shared" si="276"/>
        <v>14700</v>
      </c>
    </row>
    <row r="301" spans="1:22">
      <c r="A301" s="19"/>
      <c r="B301" s="20" t="s">
        <v>274</v>
      </c>
      <c r="C301" s="19" t="s">
        <v>26</v>
      </c>
      <c r="D301" s="21"/>
      <c r="E301" s="21"/>
      <c r="F301" s="21"/>
      <c r="G301" s="21"/>
      <c r="H301" s="21"/>
      <c r="I301" s="21"/>
      <c r="J301" s="21"/>
      <c r="K301" s="82"/>
      <c r="L301" s="24"/>
      <c r="Q301" s="78">
        <f t="shared" si="275"/>
        <v>0</v>
      </c>
      <c r="V301">
        <f t="shared" si="276"/>
        <v>0</v>
      </c>
    </row>
    <row r="302" spans="1:22">
      <c r="A302" s="19"/>
      <c r="B302" s="20" t="s">
        <v>275</v>
      </c>
      <c r="C302" s="19" t="s">
        <v>26</v>
      </c>
      <c r="D302" s="21"/>
      <c r="E302" s="21"/>
      <c r="F302" s="21"/>
      <c r="G302" s="21"/>
      <c r="H302" s="21"/>
      <c r="I302" s="21"/>
      <c r="J302" s="21"/>
      <c r="K302" s="82"/>
      <c r="L302" s="24"/>
      <c r="Q302" s="78">
        <f t="shared" si="275"/>
        <v>0</v>
      </c>
      <c r="V302">
        <f t="shared" si="276"/>
        <v>0</v>
      </c>
    </row>
    <row r="303" spans="1:22">
      <c r="A303" s="4"/>
      <c r="B303" s="5" t="s">
        <v>276</v>
      </c>
      <c r="C303" s="4" t="s">
        <v>188</v>
      </c>
      <c r="D303" s="6">
        <v>120</v>
      </c>
      <c r="E303" s="6">
        <f>SUM(P303)</f>
        <v>36.768000000000001</v>
      </c>
      <c r="F303" s="6">
        <f t="shared" ref="F303" si="306">D303*E303</f>
        <v>4412.16</v>
      </c>
      <c r="G303" s="6">
        <f>SUM(U303)</f>
        <v>74.685000000000002</v>
      </c>
      <c r="H303" s="6">
        <f t="shared" ref="H303" si="307">D303*G303</f>
        <v>8962.2000000000007</v>
      </c>
      <c r="I303" s="6">
        <f t="shared" ref="I303" si="308">E303+G303</f>
        <v>111.453</v>
      </c>
      <c r="J303" s="6">
        <f t="shared" ref="J303" si="309">F303+H303</f>
        <v>13374.36</v>
      </c>
      <c r="K303" s="82"/>
      <c r="L303" s="24"/>
      <c r="N303" s="75">
        <v>32</v>
      </c>
      <c r="O303" s="76">
        <f>$O$1</f>
        <v>1.149</v>
      </c>
      <c r="P303" s="77">
        <f>SUM(O303*N303)</f>
        <v>36.768000000000001</v>
      </c>
      <c r="Q303" s="78">
        <f t="shared" si="275"/>
        <v>3840</v>
      </c>
      <c r="R303" s="78"/>
      <c r="S303" s="79">
        <v>65</v>
      </c>
      <c r="T303" s="80">
        <f>$T$1</f>
        <v>1.149</v>
      </c>
      <c r="U303" s="79">
        <f>SUM(T303*S303)</f>
        <v>74.685000000000002</v>
      </c>
      <c r="V303">
        <f t="shared" si="276"/>
        <v>7800</v>
      </c>
    </row>
    <row r="304" spans="1:22">
      <c r="A304" s="19"/>
      <c r="B304" s="20" t="s">
        <v>275</v>
      </c>
      <c r="C304" s="19" t="s">
        <v>26</v>
      </c>
      <c r="D304" s="21"/>
      <c r="E304" s="21"/>
      <c r="F304" s="21"/>
      <c r="G304" s="21"/>
      <c r="H304" s="21"/>
      <c r="I304" s="21"/>
      <c r="J304" s="21"/>
      <c r="K304" s="82"/>
      <c r="L304" s="24"/>
      <c r="Q304" s="78">
        <f t="shared" si="275"/>
        <v>0</v>
      </c>
      <c r="V304">
        <f t="shared" si="276"/>
        <v>0</v>
      </c>
    </row>
    <row r="305" spans="1:22">
      <c r="A305" s="4"/>
      <c r="B305" s="5" t="s">
        <v>277</v>
      </c>
      <c r="C305" s="4" t="s">
        <v>188</v>
      </c>
      <c r="D305" s="6">
        <v>20</v>
      </c>
      <c r="E305" s="6">
        <f>SUM(P305)</f>
        <v>34.47</v>
      </c>
      <c r="F305" s="6">
        <f t="shared" ref="F305" si="310">D305*E305</f>
        <v>689.4</v>
      </c>
      <c r="G305" s="6">
        <f>SUM(U305)</f>
        <v>80.430000000000007</v>
      </c>
      <c r="H305" s="6">
        <f t="shared" ref="H305" si="311">D305*G305</f>
        <v>1608.6000000000001</v>
      </c>
      <c r="I305" s="6">
        <f t="shared" ref="I305" si="312">E305+G305</f>
        <v>114.9</v>
      </c>
      <c r="J305" s="6">
        <f t="shared" ref="J305" si="313">F305+H305</f>
        <v>2298</v>
      </c>
      <c r="K305" s="82"/>
      <c r="L305" s="24"/>
      <c r="N305" s="75">
        <v>30</v>
      </c>
      <c r="O305" s="76">
        <f>$O$1</f>
        <v>1.149</v>
      </c>
      <c r="P305" s="77">
        <f>SUM(O305*N305)</f>
        <v>34.47</v>
      </c>
      <c r="Q305" s="78">
        <f t="shared" si="275"/>
        <v>600</v>
      </c>
      <c r="R305" s="78"/>
      <c r="S305" s="79">
        <v>70</v>
      </c>
      <c r="T305" s="80">
        <f>$T$1</f>
        <v>1.149</v>
      </c>
      <c r="U305" s="79">
        <f>SUM(T305*S305)</f>
        <v>80.430000000000007</v>
      </c>
      <c r="V305">
        <f t="shared" si="276"/>
        <v>1400</v>
      </c>
    </row>
    <row r="306" spans="1:22" ht="24">
      <c r="A306" s="19"/>
      <c r="B306" s="20" t="s">
        <v>278</v>
      </c>
      <c r="C306" s="19" t="s">
        <v>26</v>
      </c>
      <c r="D306" s="21"/>
      <c r="E306" s="21"/>
      <c r="F306" s="21"/>
      <c r="G306" s="21"/>
      <c r="H306" s="21"/>
      <c r="I306" s="21"/>
      <c r="J306" s="21"/>
      <c r="K306" s="82"/>
      <c r="L306" s="24"/>
      <c r="Q306" s="78">
        <f t="shared" si="275"/>
        <v>0</v>
      </c>
      <c r="V306">
        <f t="shared" si="276"/>
        <v>0</v>
      </c>
    </row>
    <row r="307" spans="1:22">
      <c r="A307" s="4"/>
      <c r="B307" s="5" t="s">
        <v>279</v>
      </c>
      <c r="C307" s="4" t="s">
        <v>36</v>
      </c>
      <c r="D307" s="6">
        <v>2</v>
      </c>
      <c r="E307" s="6">
        <f t="shared" ref="E307:E309" si="314">SUM(P307)</f>
        <v>147.01152631578947</v>
      </c>
      <c r="F307" s="6">
        <f t="shared" ref="F307:F309" si="315">D307*E307</f>
        <v>294.02305263157893</v>
      </c>
      <c r="G307" s="6">
        <f t="shared" ref="G307:G309" si="316">SUM(U307)</f>
        <v>206.82</v>
      </c>
      <c r="H307" s="6">
        <f t="shared" ref="H307:H309" si="317">D307*G307</f>
        <v>413.64</v>
      </c>
      <c r="I307" s="6">
        <f t="shared" ref="I307:I309" si="318">E307+G307</f>
        <v>353.83152631578946</v>
      </c>
      <c r="J307" s="6">
        <f t="shared" ref="J307:J309" si="319">F307+H307</f>
        <v>707.66305263157892</v>
      </c>
      <c r="K307" s="82"/>
      <c r="L307" s="24"/>
      <c r="N307" s="75">
        <v>127.94736842105263</v>
      </c>
      <c r="O307" s="76">
        <f t="shared" ref="O307:O309" si="320">$O$1</f>
        <v>1.149</v>
      </c>
      <c r="P307" s="77">
        <f t="shared" ref="P307:P309" si="321">SUM(O307*N307)</f>
        <v>147.01152631578947</v>
      </c>
      <c r="Q307" s="78">
        <f t="shared" si="275"/>
        <v>255.89473684210526</v>
      </c>
      <c r="R307" s="78"/>
      <c r="S307" s="79">
        <v>180</v>
      </c>
      <c r="T307" s="80">
        <f t="shared" ref="T307:T309" si="322">$T$1</f>
        <v>1.149</v>
      </c>
      <c r="U307" s="79">
        <f t="shared" ref="U307:U309" si="323">SUM(T307*S307)</f>
        <v>206.82</v>
      </c>
      <c r="V307">
        <f t="shared" si="276"/>
        <v>360</v>
      </c>
    </row>
    <row r="308" spans="1:22">
      <c r="A308" s="4"/>
      <c r="B308" s="5" t="s">
        <v>280</v>
      </c>
      <c r="C308" s="4" t="s">
        <v>36</v>
      </c>
      <c r="D308" s="6">
        <v>18</v>
      </c>
      <c r="E308" s="6">
        <f t="shared" si="314"/>
        <v>285.37531578947369</v>
      </c>
      <c r="F308" s="6">
        <f t="shared" si="315"/>
        <v>5136.7556842105259</v>
      </c>
      <c r="G308" s="6">
        <f t="shared" si="316"/>
        <v>252.78</v>
      </c>
      <c r="H308" s="6">
        <f t="shared" si="317"/>
        <v>4550.04</v>
      </c>
      <c r="I308" s="6">
        <f t="shared" si="318"/>
        <v>538.15531578947366</v>
      </c>
      <c r="J308" s="6">
        <f t="shared" si="319"/>
        <v>9686.7956842105268</v>
      </c>
      <c r="K308" s="82"/>
      <c r="L308" s="24"/>
      <c r="N308" s="75">
        <v>248.36842105263159</v>
      </c>
      <c r="O308" s="76">
        <f t="shared" si="320"/>
        <v>1.149</v>
      </c>
      <c r="P308" s="77">
        <f t="shared" si="321"/>
        <v>285.37531578947369</v>
      </c>
      <c r="Q308" s="78">
        <f t="shared" si="275"/>
        <v>4470.6315789473683</v>
      </c>
      <c r="R308" s="78"/>
      <c r="S308" s="79">
        <v>220</v>
      </c>
      <c r="T308" s="80">
        <f t="shared" si="322"/>
        <v>1.149</v>
      </c>
      <c r="U308" s="79">
        <f t="shared" si="323"/>
        <v>252.78</v>
      </c>
      <c r="V308">
        <f t="shared" si="276"/>
        <v>3960</v>
      </c>
    </row>
    <row r="309" spans="1:22">
      <c r="A309" s="4"/>
      <c r="B309" s="5" t="s">
        <v>281</v>
      </c>
      <c r="C309" s="4" t="s">
        <v>36</v>
      </c>
      <c r="D309" s="6">
        <v>20</v>
      </c>
      <c r="E309" s="6">
        <f t="shared" si="314"/>
        <v>355.88763157894738</v>
      </c>
      <c r="F309" s="6">
        <f t="shared" si="315"/>
        <v>7117.7526315789473</v>
      </c>
      <c r="G309" s="6">
        <f t="shared" si="316"/>
        <v>183.84</v>
      </c>
      <c r="H309" s="6">
        <f t="shared" si="317"/>
        <v>3676.8</v>
      </c>
      <c r="I309" s="6">
        <f t="shared" si="318"/>
        <v>539.72763157894735</v>
      </c>
      <c r="J309" s="6">
        <f t="shared" si="319"/>
        <v>10794.552631578947</v>
      </c>
      <c r="K309" s="82"/>
      <c r="L309" s="24"/>
      <c r="N309" s="75">
        <v>309.73684210526318</v>
      </c>
      <c r="O309" s="76">
        <f t="shared" si="320"/>
        <v>1.149</v>
      </c>
      <c r="P309" s="77">
        <f t="shared" si="321"/>
        <v>355.88763157894738</v>
      </c>
      <c r="Q309" s="78">
        <f t="shared" si="275"/>
        <v>6194.7368421052633</v>
      </c>
      <c r="R309" s="78"/>
      <c r="S309" s="79">
        <v>160</v>
      </c>
      <c r="T309" s="80">
        <f t="shared" si="322"/>
        <v>1.149</v>
      </c>
      <c r="U309" s="79">
        <f t="shared" si="323"/>
        <v>183.84</v>
      </c>
      <c r="V309">
        <f t="shared" si="276"/>
        <v>3200</v>
      </c>
    </row>
    <row r="310" spans="1:22">
      <c r="A310" s="19"/>
      <c r="B310" s="20" t="s">
        <v>282</v>
      </c>
      <c r="C310" s="19" t="s">
        <v>26</v>
      </c>
      <c r="D310" s="21"/>
      <c r="E310" s="21"/>
      <c r="F310" s="21"/>
      <c r="G310" s="21"/>
      <c r="H310" s="21"/>
      <c r="I310" s="21"/>
      <c r="J310" s="21"/>
      <c r="K310" s="82"/>
      <c r="L310" s="24"/>
      <c r="Q310" s="78">
        <f t="shared" si="275"/>
        <v>0</v>
      </c>
      <c r="V310">
        <f t="shared" si="276"/>
        <v>0</v>
      </c>
    </row>
    <row r="311" spans="1:22">
      <c r="A311" s="4"/>
      <c r="B311" s="5" t="s">
        <v>283</v>
      </c>
      <c r="C311" s="4" t="s">
        <v>36</v>
      </c>
      <c r="D311" s="6">
        <v>3</v>
      </c>
      <c r="E311" s="6">
        <f>SUM(P311)</f>
        <v>56.542894736842108</v>
      </c>
      <c r="F311" s="6">
        <f t="shared" ref="F311" si="324">D311*E311</f>
        <v>169.62868421052633</v>
      </c>
      <c r="G311" s="6">
        <f>SUM(U311)</f>
        <v>103.41</v>
      </c>
      <c r="H311" s="6">
        <f t="shared" ref="H311" si="325">D311*G311</f>
        <v>310.23</v>
      </c>
      <c r="I311" s="6">
        <f t="shared" ref="I311" si="326">E311+G311</f>
        <v>159.9528947368421</v>
      </c>
      <c r="J311" s="6">
        <f t="shared" ref="J311" si="327">F311+H311</f>
        <v>479.85868421052635</v>
      </c>
      <c r="K311" s="82"/>
      <c r="L311" s="24"/>
      <c r="N311" s="75">
        <v>49.210526315789473</v>
      </c>
      <c r="O311" s="76">
        <f>$O$1</f>
        <v>1.149</v>
      </c>
      <c r="P311" s="77">
        <f>SUM(O311*N311)</f>
        <v>56.542894736842108</v>
      </c>
      <c r="Q311" s="78">
        <f t="shared" si="275"/>
        <v>147.63157894736841</v>
      </c>
      <c r="R311" s="78"/>
      <c r="S311" s="79">
        <v>90</v>
      </c>
      <c r="T311" s="80">
        <f>$T$1</f>
        <v>1.149</v>
      </c>
      <c r="U311" s="79">
        <f>SUM(T311*S311)</f>
        <v>103.41</v>
      </c>
      <c r="V311">
        <f t="shared" si="276"/>
        <v>270</v>
      </c>
    </row>
    <row r="312" spans="1:22">
      <c r="A312" s="19"/>
      <c r="B312" s="20" t="s">
        <v>284</v>
      </c>
      <c r="C312" s="19" t="s">
        <v>26</v>
      </c>
      <c r="D312" s="21"/>
      <c r="E312" s="21"/>
      <c r="F312" s="21"/>
      <c r="G312" s="21"/>
      <c r="H312" s="21"/>
      <c r="I312" s="21"/>
      <c r="J312" s="21"/>
      <c r="K312" s="82"/>
      <c r="L312" s="24"/>
      <c r="Q312" s="78">
        <f t="shared" si="275"/>
        <v>0</v>
      </c>
      <c r="V312">
        <f t="shared" si="276"/>
        <v>0</v>
      </c>
    </row>
    <row r="313" spans="1:22">
      <c r="A313" s="4"/>
      <c r="B313" s="5" t="s">
        <v>285</v>
      </c>
      <c r="C313" s="4" t="s">
        <v>36</v>
      </c>
      <c r="D313" s="6">
        <v>21</v>
      </c>
      <c r="E313" s="6">
        <f t="shared" ref="E313:E321" si="328">SUM(P313)</f>
        <v>39.912631578947369</v>
      </c>
      <c r="F313" s="6">
        <f t="shared" ref="F313:F321" si="329">D313*E313</f>
        <v>838.16526315789474</v>
      </c>
      <c r="G313" s="6">
        <f t="shared" ref="G313:G321" si="330">SUM(U313)</f>
        <v>74.685000000000002</v>
      </c>
      <c r="H313" s="6">
        <f t="shared" ref="H313:H321" si="331">D313*G313</f>
        <v>1568.385</v>
      </c>
      <c r="I313" s="6">
        <f t="shared" ref="I313:I321" si="332">E313+G313</f>
        <v>114.59763157894737</v>
      </c>
      <c r="J313" s="6">
        <f t="shared" ref="J313:J321" si="333">F313+H313</f>
        <v>2406.5502631578947</v>
      </c>
      <c r="K313" s="82"/>
      <c r="L313" s="24"/>
      <c r="N313" s="75">
        <v>34.736842105263158</v>
      </c>
      <c r="O313" s="76">
        <f t="shared" ref="O313:O321" si="334">$O$1</f>
        <v>1.149</v>
      </c>
      <c r="P313" s="77">
        <f t="shared" ref="P313:P321" si="335">SUM(O313*N313)</f>
        <v>39.912631578947369</v>
      </c>
      <c r="Q313" s="78">
        <f t="shared" si="275"/>
        <v>729.47368421052636</v>
      </c>
      <c r="R313" s="78"/>
      <c r="S313" s="79">
        <v>65</v>
      </c>
      <c r="T313" s="80">
        <f t="shared" ref="T313:T321" si="336">$T$1</f>
        <v>1.149</v>
      </c>
      <c r="U313" s="79">
        <f t="shared" ref="U313:U321" si="337">SUM(T313*S313)</f>
        <v>74.685000000000002</v>
      </c>
      <c r="V313">
        <f t="shared" si="276"/>
        <v>1365</v>
      </c>
    </row>
    <row r="314" spans="1:22">
      <c r="A314" s="4"/>
      <c r="B314" s="5" t="s">
        <v>286</v>
      </c>
      <c r="C314" s="4" t="s">
        <v>36</v>
      </c>
      <c r="D314" s="6">
        <v>10</v>
      </c>
      <c r="E314" s="6">
        <f t="shared" si="328"/>
        <v>33.925736842105266</v>
      </c>
      <c r="F314" s="6">
        <f t="shared" si="329"/>
        <v>339.25736842105266</v>
      </c>
      <c r="G314" s="6">
        <f t="shared" si="330"/>
        <v>74.685000000000002</v>
      </c>
      <c r="H314" s="6">
        <f t="shared" si="331"/>
        <v>746.85</v>
      </c>
      <c r="I314" s="6">
        <f t="shared" si="332"/>
        <v>108.61073684210527</v>
      </c>
      <c r="J314" s="6">
        <f t="shared" si="333"/>
        <v>1086.1073684210528</v>
      </c>
      <c r="K314" s="82"/>
      <c r="L314" s="24"/>
      <c r="N314" s="75">
        <v>29.526315789473685</v>
      </c>
      <c r="O314" s="76">
        <f t="shared" si="334"/>
        <v>1.149</v>
      </c>
      <c r="P314" s="77">
        <f t="shared" si="335"/>
        <v>33.925736842105266</v>
      </c>
      <c r="Q314" s="78">
        <f t="shared" si="275"/>
        <v>295.26315789473688</v>
      </c>
      <c r="R314" s="78"/>
      <c r="S314" s="79">
        <v>65</v>
      </c>
      <c r="T314" s="80">
        <f t="shared" si="336"/>
        <v>1.149</v>
      </c>
      <c r="U314" s="79">
        <f t="shared" si="337"/>
        <v>74.685000000000002</v>
      </c>
      <c r="V314">
        <f t="shared" si="276"/>
        <v>650</v>
      </c>
    </row>
    <row r="315" spans="1:22">
      <c r="A315" s="4"/>
      <c r="B315" s="5" t="s">
        <v>287</v>
      </c>
      <c r="C315" s="4" t="s">
        <v>36</v>
      </c>
      <c r="D315" s="6">
        <v>20</v>
      </c>
      <c r="E315" s="6">
        <f t="shared" si="328"/>
        <v>36.054410526315792</v>
      </c>
      <c r="F315" s="6">
        <f t="shared" si="329"/>
        <v>721.08821052631583</v>
      </c>
      <c r="G315" s="6">
        <f t="shared" si="330"/>
        <v>74.685000000000002</v>
      </c>
      <c r="H315" s="6">
        <f t="shared" si="331"/>
        <v>1493.7</v>
      </c>
      <c r="I315" s="6">
        <f t="shared" si="332"/>
        <v>110.73941052631579</v>
      </c>
      <c r="J315" s="6">
        <f t="shared" si="333"/>
        <v>2214.7882105263161</v>
      </c>
      <c r="K315" s="82"/>
      <c r="L315" s="24"/>
      <c r="N315" s="75">
        <v>31.378947368421052</v>
      </c>
      <c r="O315" s="76">
        <f t="shared" si="334"/>
        <v>1.149</v>
      </c>
      <c r="P315" s="77">
        <f t="shared" si="335"/>
        <v>36.054410526315792</v>
      </c>
      <c r="Q315" s="78">
        <f t="shared" si="275"/>
        <v>627.57894736842104</v>
      </c>
      <c r="R315" s="78"/>
      <c r="S315" s="79">
        <v>65</v>
      </c>
      <c r="T315" s="80">
        <f t="shared" si="336"/>
        <v>1.149</v>
      </c>
      <c r="U315" s="79">
        <f t="shared" si="337"/>
        <v>74.685000000000002</v>
      </c>
      <c r="V315">
        <f t="shared" si="276"/>
        <v>1300</v>
      </c>
    </row>
    <row r="316" spans="1:22">
      <c r="A316" s="4"/>
      <c r="B316" s="5" t="s">
        <v>288</v>
      </c>
      <c r="C316" s="4" t="s">
        <v>36</v>
      </c>
      <c r="D316" s="6">
        <v>290</v>
      </c>
      <c r="E316" s="6">
        <f t="shared" si="328"/>
        <v>11.913315789473684</v>
      </c>
      <c r="F316" s="6">
        <f t="shared" si="329"/>
        <v>3454.8615789473683</v>
      </c>
      <c r="G316" s="6">
        <f t="shared" si="330"/>
        <v>74.685000000000002</v>
      </c>
      <c r="H316" s="6">
        <f t="shared" si="331"/>
        <v>21658.65</v>
      </c>
      <c r="I316" s="6">
        <f t="shared" si="332"/>
        <v>86.598315789473688</v>
      </c>
      <c r="J316" s="6">
        <f t="shared" si="333"/>
        <v>25113.511578947371</v>
      </c>
      <c r="K316" s="82"/>
      <c r="L316" s="24"/>
      <c r="N316" s="75">
        <v>10.368421052631579</v>
      </c>
      <c r="O316" s="76">
        <f t="shared" si="334"/>
        <v>1.149</v>
      </c>
      <c r="P316" s="77">
        <f t="shared" si="335"/>
        <v>11.913315789473684</v>
      </c>
      <c r="Q316" s="78">
        <f t="shared" si="275"/>
        <v>3006.8421052631579</v>
      </c>
      <c r="R316" s="78"/>
      <c r="S316" s="79">
        <v>65</v>
      </c>
      <c r="T316" s="80">
        <f t="shared" si="336"/>
        <v>1.149</v>
      </c>
      <c r="U316" s="79">
        <f t="shared" si="337"/>
        <v>74.685000000000002</v>
      </c>
      <c r="V316">
        <f t="shared" si="276"/>
        <v>18850</v>
      </c>
    </row>
    <row r="317" spans="1:22">
      <c r="A317" s="4"/>
      <c r="B317" s="5" t="s">
        <v>289</v>
      </c>
      <c r="C317" s="4" t="s">
        <v>36</v>
      </c>
      <c r="D317" s="6">
        <v>50</v>
      </c>
      <c r="E317" s="6">
        <f t="shared" si="328"/>
        <v>14.840242105263158</v>
      </c>
      <c r="F317" s="6">
        <f t="shared" si="329"/>
        <v>742.01210526315788</v>
      </c>
      <c r="G317" s="6">
        <f t="shared" si="330"/>
        <v>74.685000000000002</v>
      </c>
      <c r="H317" s="6">
        <f t="shared" si="331"/>
        <v>3734.25</v>
      </c>
      <c r="I317" s="6">
        <f t="shared" si="332"/>
        <v>89.52524210526316</v>
      </c>
      <c r="J317" s="6">
        <f t="shared" si="333"/>
        <v>4476.2621052631575</v>
      </c>
      <c r="K317" s="82"/>
      <c r="L317" s="24"/>
      <c r="N317" s="75">
        <v>12.91578947368421</v>
      </c>
      <c r="O317" s="76">
        <f t="shared" si="334"/>
        <v>1.149</v>
      </c>
      <c r="P317" s="77">
        <f t="shared" si="335"/>
        <v>14.840242105263158</v>
      </c>
      <c r="Q317" s="78">
        <f t="shared" si="275"/>
        <v>645.78947368421052</v>
      </c>
      <c r="R317" s="78"/>
      <c r="S317" s="79">
        <v>65</v>
      </c>
      <c r="T317" s="80">
        <f t="shared" si="336"/>
        <v>1.149</v>
      </c>
      <c r="U317" s="79">
        <f t="shared" si="337"/>
        <v>74.685000000000002</v>
      </c>
      <c r="V317">
        <f t="shared" si="276"/>
        <v>3250</v>
      </c>
    </row>
    <row r="318" spans="1:22">
      <c r="A318" s="4"/>
      <c r="B318" s="5" t="s">
        <v>290</v>
      </c>
      <c r="C318" s="4" t="s">
        <v>36</v>
      </c>
      <c r="D318" s="6">
        <v>40</v>
      </c>
      <c r="E318" s="6">
        <f t="shared" si="328"/>
        <v>24.745831578947371</v>
      </c>
      <c r="F318" s="6">
        <f t="shared" si="329"/>
        <v>989.83326315789486</v>
      </c>
      <c r="G318" s="6">
        <f t="shared" si="330"/>
        <v>74.685000000000002</v>
      </c>
      <c r="H318" s="6">
        <f t="shared" si="331"/>
        <v>2987.4</v>
      </c>
      <c r="I318" s="6">
        <f t="shared" si="332"/>
        <v>99.430831578947377</v>
      </c>
      <c r="J318" s="6">
        <f t="shared" si="333"/>
        <v>3977.2332631578947</v>
      </c>
      <c r="K318" s="82"/>
      <c r="L318" s="24"/>
      <c r="N318" s="75">
        <v>21.536842105263158</v>
      </c>
      <c r="O318" s="76">
        <f t="shared" si="334"/>
        <v>1.149</v>
      </c>
      <c r="P318" s="77">
        <f t="shared" si="335"/>
        <v>24.745831578947371</v>
      </c>
      <c r="Q318" s="78">
        <f t="shared" si="275"/>
        <v>861.47368421052636</v>
      </c>
      <c r="R318" s="78"/>
      <c r="S318" s="79">
        <v>65</v>
      </c>
      <c r="T318" s="80">
        <f t="shared" si="336"/>
        <v>1.149</v>
      </c>
      <c r="U318" s="79">
        <f t="shared" si="337"/>
        <v>74.685000000000002</v>
      </c>
      <c r="V318">
        <f t="shared" si="276"/>
        <v>2600</v>
      </c>
    </row>
    <row r="319" spans="1:22">
      <c r="A319" s="4"/>
      <c r="B319" s="5" t="s">
        <v>291</v>
      </c>
      <c r="C319" s="4" t="s">
        <v>36</v>
      </c>
      <c r="D319" s="6">
        <v>20</v>
      </c>
      <c r="E319" s="6">
        <f t="shared" si="328"/>
        <v>24.346705263157894</v>
      </c>
      <c r="F319" s="6">
        <f t="shared" si="329"/>
        <v>486.9341052631579</v>
      </c>
      <c r="G319" s="6">
        <f t="shared" si="330"/>
        <v>74.685000000000002</v>
      </c>
      <c r="H319" s="6">
        <f t="shared" si="331"/>
        <v>1493.7</v>
      </c>
      <c r="I319" s="6">
        <f t="shared" si="332"/>
        <v>99.031705263157903</v>
      </c>
      <c r="J319" s="6">
        <f t="shared" si="333"/>
        <v>1980.6341052631578</v>
      </c>
      <c r="K319" s="82"/>
      <c r="L319" s="24"/>
      <c r="N319" s="75">
        <v>21.189473684210526</v>
      </c>
      <c r="O319" s="76">
        <f t="shared" si="334"/>
        <v>1.149</v>
      </c>
      <c r="P319" s="77">
        <f t="shared" si="335"/>
        <v>24.346705263157894</v>
      </c>
      <c r="Q319" s="78">
        <f t="shared" si="275"/>
        <v>423.78947368421052</v>
      </c>
      <c r="R319" s="78"/>
      <c r="S319" s="79">
        <v>65</v>
      </c>
      <c r="T319" s="80">
        <f t="shared" si="336"/>
        <v>1.149</v>
      </c>
      <c r="U319" s="79">
        <f t="shared" si="337"/>
        <v>74.685000000000002</v>
      </c>
      <c r="V319">
        <f t="shared" si="276"/>
        <v>1300</v>
      </c>
    </row>
    <row r="320" spans="1:22">
      <c r="A320" s="4"/>
      <c r="B320" s="5" t="s">
        <v>292</v>
      </c>
      <c r="C320" s="4" t="s">
        <v>36</v>
      </c>
      <c r="D320" s="6">
        <v>21</v>
      </c>
      <c r="E320" s="6">
        <f t="shared" si="328"/>
        <v>12.638999999999999</v>
      </c>
      <c r="F320" s="6">
        <f t="shared" si="329"/>
        <v>265.41899999999998</v>
      </c>
      <c r="G320" s="6">
        <f t="shared" si="330"/>
        <v>22.98</v>
      </c>
      <c r="H320" s="6">
        <f t="shared" si="331"/>
        <v>482.58</v>
      </c>
      <c r="I320" s="6">
        <f t="shared" si="332"/>
        <v>35.619</v>
      </c>
      <c r="J320" s="6">
        <f t="shared" si="333"/>
        <v>747.99900000000002</v>
      </c>
      <c r="K320" s="82"/>
      <c r="L320" s="24"/>
      <c r="N320" s="75">
        <v>11</v>
      </c>
      <c r="O320" s="76">
        <f t="shared" si="334"/>
        <v>1.149</v>
      </c>
      <c r="P320" s="77">
        <f t="shared" si="335"/>
        <v>12.638999999999999</v>
      </c>
      <c r="Q320" s="78">
        <f t="shared" si="275"/>
        <v>231</v>
      </c>
      <c r="R320" s="78"/>
      <c r="S320" s="79">
        <v>20</v>
      </c>
      <c r="T320" s="80">
        <f t="shared" si="336"/>
        <v>1.149</v>
      </c>
      <c r="U320" s="79">
        <f t="shared" si="337"/>
        <v>22.98</v>
      </c>
      <c r="V320">
        <f t="shared" si="276"/>
        <v>420</v>
      </c>
    </row>
    <row r="321" spans="1:22">
      <c r="A321" s="4"/>
      <c r="B321" s="5" t="s">
        <v>293</v>
      </c>
      <c r="C321" s="4" t="s">
        <v>36</v>
      </c>
      <c r="D321" s="6">
        <v>21</v>
      </c>
      <c r="E321" s="6">
        <f t="shared" si="328"/>
        <v>239.59552736842105</v>
      </c>
      <c r="F321" s="6">
        <f t="shared" si="329"/>
        <v>5031.5060747368416</v>
      </c>
      <c r="G321" s="6">
        <f t="shared" si="330"/>
        <v>91.92</v>
      </c>
      <c r="H321" s="6">
        <f t="shared" si="331"/>
        <v>1930.32</v>
      </c>
      <c r="I321" s="6">
        <f t="shared" si="332"/>
        <v>331.51552736842103</v>
      </c>
      <c r="J321" s="6">
        <f t="shared" si="333"/>
        <v>6961.8260747368413</v>
      </c>
      <c r="K321" s="82"/>
      <c r="L321" s="24"/>
      <c r="N321" s="75">
        <v>208.52526315789473</v>
      </c>
      <c r="O321" s="76">
        <f t="shared" si="334"/>
        <v>1.149</v>
      </c>
      <c r="P321" s="77">
        <f t="shared" si="335"/>
        <v>239.59552736842105</v>
      </c>
      <c r="Q321" s="78">
        <f t="shared" si="275"/>
        <v>4379.0305263157888</v>
      </c>
      <c r="R321" s="78"/>
      <c r="S321" s="79">
        <v>80</v>
      </c>
      <c r="T321" s="80">
        <f t="shared" si="336"/>
        <v>1.149</v>
      </c>
      <c r="U321" s="79">
        <f t="shared" si="337"/>
        <v>91.92</v>
      </c>
      <c r="V321">
        <f t="shared" si="276"/>
        <v>1680</v>
      </c>
    </row>
    <row r="322" spans="1:22">
      <c r="A322" s="4"/>
      <c r="B322" s="5" t="s">
        <v>26</v>
      </c>
      <c r="C322" s="4" t="s">
        <v>26</v>
      </c>
      <c r="D322" s="6"/>
      <c r="E322" s="6"/>
      <c r="F322" s="6"/>
      <c r="G322" s="6"/>
      <c r="H322" s="6"/>
      <c r="I322" s="6"/>
      <c r="J322" s="6"/>
      <c r="K322" s="82"/>
      <c r="L322" s="24"/>
      <c r="Q322" s="78">
        <f t="shared" si="275"/>
        <v>0</v>
      </c>
      <c r="V322">
        <f t="shared" si="276"/>
        <v>0</v>
      </c>
    </row>
    <row r="323" spans="1:22">
      <c r="A323" s="19"/>
      <c r="B323" s="20" t="s">
        <v>294</v>
      </c>
      <c r="C323" s="19" t="s">
        <v>26</v>
      </c>
      <c r="D323" s="21"/>
      <c r="E323" s="21"/>
      <c r="F323" s="21"/>
      <c r="G323" s="21"/>
      <c r="H323" s="21"/>
      <c r="I323" s="21"/>
      <c r="J323" s="21"/>
      <c r="K323" s="82"/>
      <c r="L323" s="24"/>
      <c r="Q323" s="78">
        <f t="shared" si="275"/>
        <v>0</v>
      </c>
      <c r="V323">
        <f t="shared" si="276"/>
        <v>0</v>
      </c>
    </row>
    <row r="324" spans="1:22">
      <c r="A324" s="4"/>
      <c r="B324" s="5" t="s">
        <v>295</v>
      </c>
      <c r="C324" s="4" t="s">
        <v>36</v>
      </c>
      <c r="D324" s="6">
        <v>170</v>
      </c>
      <c r="E324" s="6">
        <f t="shared" ref="E324:E326" si="338">SUM(P324)</f>
        <v>0</v>
      </c>
      <c r="F324" s="6">
        <f t="shared" ref="F324:F326" si="339">D324*E324</f>
        <v>0</v>
      </c>
      <c r="G324" s="6">
        <f t="shared" ref="G324:G326" si="340">SUM(U324)</f>
        <v>40.215000000000003</v>
      </c>
      <c r="H324" s="6">
        <f t="shared" ref="H324:H326" si="341">D324*G324</f>
        <v>6836.55</v>
      </c>
      <c r="I324" s="6">
        <f t="shared" ref="I324:I326" si="342">E324+G324</f>
        <v>40.215000000000003</v>
      </c>
      <c r="J324" s="6">
        <f t="shared" ref="J324:J326" si="343">F324+H324</f>
        <v>6836.55</v>
      </c>
      <c r="K324" s="82"/>
      <c r="L324" s="165">
        <f>SUM(J324)</f>
        <v>6836.55</v>
      </c>
      <c r="N324" s="75"/>
      <c r="O324" s="76">
        <f t="shared" ref="O324:O326" si="344">$O$1</f>
        <v>1.149</v>
      </c>
      <c r="P324" s="77">
        <f t="shared" ref="P324:P326" si="345">SUM(O324*N324)</f>
        <v>0</v>
      </c>
      <c r="Q324" s="78">
        <f t="shared" si="275"/>
        <v>0</v>
      </c>
      <c r="R324" s="78"/>
      <c r="S324" s="79">
        <v>35</v>
      </c>
      <c r="T324" s="80">
        <f t="shared" ref="T324:T326" si="346">$T$1</f>
        <v>1.149</v>
      </c>
      <c r="U324" s="79">
        <f t="shared" ref="U324:U326" si="347">SUM(T324*S324)</f>
        <v>40.215000000000003</v>
      </c>
      <c r="V324">
        <f t="shared" si="276"/>
        <v>5950</v>
      </c>
    </row>
    <row r="325" spans="1:22">
      <c r="A325" s="4"/>
      <c r="B325" s="5" t="s">
        <v>296</v>
      </c>
      <c r="C325" s="4" t="s">
        <v>36</v>
      </c>
      <c r="D325" s="6">
        <v>70</v>
      </c>
      <c r="E325" s="6">
        <f t="shared" si="338"/>
        <v>0</v>
      </c>
      <c r="F325" s="6">
        <f t="shared" si="339"/>
        <v>0</v>
      </c>
      <c r="G325" s="6">
        <f t="shared" si="340"/>
        <v>137.88</v>
      </c>
      <c r="H325" s="6">
        <f t="shared" si="341"/>
        <v>9651.6</v>
      </c>
      <c r="I325" s="6">
        <f t="shared" si="342"/>
        <v>137.88</v>
      </c>
      <c r="J325" s="6">
        <f t="shared" si="343"/>
        <v>9651.6</v>
      </c>
      <c r="K325" s="82"/>
      <c r="L325" s="24"/>
      <c r="N325" s="75"/>
      <c r="O325" s="76">
        <f t="shared" si="344"/>
        <v>1.149</v>
      </c>
      <c r="P325" s="77">
        <f t="shared" si="345"/>
        <v>0</v>
      </c>
      <c r="Q325" s="78">
        <f t="shared" si="275"/>
        <v>0</v>
      </c>
      <c r="R325" s="78"/>
      <c r="S325" s="79">
        <v>120</v>
      </c>
      <c r="T325" s="80">
        <f t="shared" si="346"/>
        <v>1.149</v>
      </c>
      <c r="U325" s="79">
        <f t="shared" si="347"/>
        <v>137.88</v>
      </c>
      <c r="V325">
        <f t="shared" si="276"/>
        <v>8400</v>
      </c>
    </row>
    <row r="326" spans="1:22" ht="21.9">
      <c r="A326" s="4"/>
      <c r="B326" s="5" t="s">
        <v>297</v>
      </c>
      <c r="C326" s="4" t="s">
        <v>36</v>
      </c>
      <c r="D326" s="6">
        <v>1</v>
      </c>
      <c r="E326" s="6">
        <f t="shared" si="338"/>
        <v>0</v>
      </c>
      <c r="F326" s="6">
        <f t="shared" si="339"/>
        <v>0</v>
      </c>
      <c r="G326" s="6">
        <f t="shared" si="340"/>
        <v>2941.44</v>
      </c>
      <c r="H326" s="6">
        <f t="shared" si="341"/>
        <v>2941.44</v>
      </c>
      <c r="I326" s="6">
        <f t="shared" si="342"/>
        <v>2941.44</v>
      </c>
      <c r="J326" s="6">
        <f t="shared" si="343"/>
        <v>2941.44</v>
      </c>
      <c r="K326" s="82"/>
      <c r="L326" s="165">
        <f>SUM(J326)</f>
        <v>2941.44</v>
      </c>
      <c r="N326" s="75"/>
      <c r="O326" s="76">
        <f t="shared" si="344"/>
        <v>1.149</v>
      </c>
      <c r="P326" s="77">
        <f t="shared" si="345"/>
        <v>0</v>
      </c>
      <c r="Q326" s="78">
        <f t="shared" si="275"/>
        <v>0</v>
      </c>
      <c r="R326" s="78"/>
      <c r="S326" s="79">
        <v>2560</v>
      </c>
      <c r="T326" s="80">
        <f t="shared" si="346"/>
        <v>1.149</v>
      </c>
      <c r="U326" s="79">
        <f t="shared" si="347"/>
        <v>2941.44</v>
      </c>
      <c r="V326">
        <f t="shared" si="276"/>
        <v>2560</v>
      </c>
    </row>
    <row r="327" spans="1:22">
      <c r="A327" s="4"/>
      <c r="B327" s="5" t="s">
        <v>26</v>
      </c>
      <c r="C327" s="4" t="s">
        <v>26</v>
      </c>
      <c r="D327" s="6"/>
      <c r="E327" s="6"/>
      <c r="F327" s="6"/>
      <c r="G327" s="6"/>
      <c r="H327" s="6"/>
      <c r="I327" s="6"/>
      <c r="J327" s="6"/>
      <c r="K327" s="82"/>
      <c r="L327" s="24"/>
      <c r="Q327" s="78">
        <f t="shared" si="275"/>
        <v>0</v>
      </c>
      <c r="V327">
        <f t="shared" si="276"/>
        <v>0</v>
      </c>
    </row>
    <row r="328" spans="1:22">
      <c r="A328" s="13"/>
      <c r="B328" s="14" t="s">
        <v>298</v>
      </c>
      <c r="C328" s="13" t="s">
        <v>26</v>
      </c>
      <c r="D328" s="15"/>
      <c r="E328" s="15"/>
      <c r="F328" s="15">
        <f>SUM(F294:F327)</f>
        <v>127179.88186421052</v>
      </c>
      <c r="G328" s="15"/>
      <c r="H328" s="15">
        <f>SUM(H294:H327)</f>
        <v>326563.03499999997</v>
      </c>
      <c r="I328" s="15"/>
      <c r="J328" s="15">
        <f>SUM(J294:J327)</f>
        <v>453742.91686421045</v>
      </c>
      <c r="K328" s="82"/>
      <c r="L328" s="24"/>
      <c r="Q328" s="78">
        <f t="shared" si="275"/>
        <v>0</v>
      </c>
      <c r="V328">
        <f t="shared" si="276"/>
        <v>0</v>
      </c>
    </row>
    <row r="329" spans="1:22">
      <c r="A329" s="4"/>
      <c r="B329" s="5" t="s">
        <v>26</v>
      </c>
      <c r="C329" s="4" t="s">
        <v>26</v>
      </c>
      <c r="D329" s="6"/>
      <c r="E329" s="6"/>
      <c r="F329" s="6"/>
      <c r="G329" s="6"/>
      <c r="H329" s="6"/>
      <c r="I329" s="6"/>
      <c r="J329" s="6"/>
      <c r="K329" s="82"/>
      <c r="L329" s="24"/>
      <c r="Q329" s="78">
        <f t="shared" ref="Q329:Q389" si="348">SUM(N329*D329)</f>
        <v>0</v>
      </c>
      <c r="V329">
        <f t="shared" ref="V329:V389" si="349">SUM(S329*D329)</f>
        <v>0</v>
      </c>
    </row>
    <row r="330" spans="1:22">
      <c r="A330" s="13"/>
      <c r="B330" s="14" t="s">
        <v>299</v>
      </c>
      <c r="C330" s="13" t="s">
        <v>26</v>
      </c>
      <c r="D330" s="15"/>
      <c r="E330" s="15"/>
      <c r="F330" s="15"/>
      <c r="G330" s="15"/>
      <c r="H330" s="15"/>
      <c r="I330" s="15"/>
      <c r="J330" s="15"/>
      <c r="K330" s="82"/>
      <c r="L330" s="24"/>
      <c r="Q330" s="78">
        <f t="shared" si="348"/>
        <v>0</v>
      </c>
      <c r="V330">
        <f t="shared" si="349"/>
        <v>0</v>
      </c>
    </row>
    <row r="331" spans="1:22">
      <c r="A331" s="19"/>
      <c r="B331" s="20" t="s">
        <v>300</v>
      </c>
      <c r="C331" s="19" t="s">
        <v>26</v>
      </c>
      <c r="D331" s="21"/>
      <c r="E331" s="21"/>
      <c r="F331" s="21"/>
      <c r="G331" s="21"/>
      <c r="H331" s="21"/>
      <c r="I331" s="21"/>
      <c r="J331" s="21"/>
      <c r="K331" s="82"/>
      <c r="L331" s="24"/>
      <c r="Q331" s="78">
        <f t="shared" si="348"/>
        <v>0</v>
      </c>
      <c r="V331">
        <f t="shared" si="349"/>
        <v>0</v>
      </c>
    </row>
    <row r="332" spans="1:22">
      <c r="A332" s="4"/>
      <c r="B332" s="5" t="s">
        <v>301</v>
      </c>
      <c r="C332" s="4" t="s">
        <v>188</v>
      </c>
      <c r="D332" s="6">
        <v>320</v>
      </c>
      <c r="E332" s="6">
        <f t="shared" ref="E332:E335" si="350">SUM(P332)</f>
        <v>12.094736842105265</v>
      </c>
      <c r="F332" s="6">
        <f t="shared" ref="F332:F335" si="351">D332*E332</f>
        <v>3870.3157894736846</v>
      </c>
      <c r="G332" s="6">
        <f t="shared" ref="G332:G335" si="352">SUM(U332)</f>
        <v>25.277999999999999</v>
      </c>
      <c r="H332" s="6">
        <f t="shared" ref="H332:H335" si="353">D332*G332</f>
        <v>8088.9599999999991</v>
      </c>
      <c r="I332" s="6">
        <f t="shared" ref="I332:I335" si="354">E332+G332</f>
        <v>37.372736842105262</v>
      </c>
      <c r="J332" s="6">
        <f t="shared" ref="J332:J335" si="355">F332+H332</f>
        <v>11959.275789473684</v>
      </c>
      <c r="K332" s="82"/>
      <c r="L332" s="24"/>
      <c r="N332" s="75">
        <v>10.526315789473685</v>
      </c>
      <c r="O332" s="76">
        <f t="shared" ref="O332:O335" si="356">$O$1</f>
        <v>1.149</v>
      </c>
      <c r="P332" s="77">
        <f t="shared" ref="P332:P335" si="357">SUM(O332*N332)</f>
        <v>12.094736842105265</v>
      </c>
      <c r="Q332" s="78">
        <f t="shared" si="348"/>
        <v>3368.4210526315792</v>
      </c>
      <c r="R332" s="78"/>
      <c r="S332" s="79">
        <v>22</v>
      </c>
      <c r="T332" s="80">
        <f t="shared" ref="T332:T335" si="358">$T$1</f>
        <v>1.149</v>
      </c>
      <c r="U332" s="79">
        <f t="shared" ref="U332:U335" si="359">SUM(T332*S332)</f>
        <v>25.277999999999999</v>
      </c>
      <c r="V332">
        <f t="shared" si="349"/>
        <v>7040</v>
      </c>
    </row>
    <row r="333" spans="1:22">
      <c r="A333" s="4"/>
      <c r="B333" s="5" t="s">
        <v>302</v>
      </c>
      <c r="C333" s="4" t="s">
        <v>188</v>
      </c>
      <c r="D333" s="6">
        <v>240</v>
      </c>
      <c r="E333" s="6">
        <f t="shared" si="350"/>
        <v>18.093726315789475</v>
      </c>
      <c r="F333" s="6">
        <f t="shared" si="351"/>
        <v>4342.4943157894741</v>
      </c>
      <c r="G333" s="6">
        <f t="shared" si="352"/>
        <v>25.277999999999999</v>
      </c>
      <c r="H333" s="6">
        <f t="shared" si="353"/>
        <v>6066.7199999999993</v>
      </c>
      <c r="I333" s="6">
        <f t="shared" si="354"/>
        <v>43.371726315789473</v>
      </c>
      <c r="J333" s="6">
        <f t="shared" si="355"/>
        <v>10409.214315789473</v>
      </c>
      <c r="K333" s="82"/>
      <c r="L333" s="24"/>
      <c r="N333" s="75">
        <v>15.747368421052633</v>
      </c>
      <c r="O333" s="76">
        <f t="shared" si="356"/>
        <v>1.149</v>
      </c>
      <c r="P333" s="77">
        <f t="shared" si="357"/>
        <v>18.093726315789475</v>
      </c>
      <c r="Q333" s="78">
        <f t="shared" si="348"/>
        <v>3779.3684210526317</v>
      </c>
      <c r="R333" s="78"/>
      <c r="S333" s="79">
        <v>22</v>
      </c>
      <c r="T333" s="80">
        <f t="shared" si="358"/>
        <v>1.149</v>
      </c>
      <c r="U333" s="79">
        <f t="shared" si="359"/>
        <v>25.277999999999999</v>
      </c>
      <c r="V333">
        <f t="shared" si="349"/>
        <v>5280</v>
      </c>
    </row>
    <row r="334" spans="1:22">
      <c r="A334" s="4"/>
      <c r="B334" s="5" t="s">
        <v>303</v>
      </c>
      <c r="C334" s="4" t="s">
        <v>188</v>
      </c>
      <c r="D334" s="6">
        <v>180</v>
      </c>
      <c r="E334" s="6">
        <f t="shared" si="350"/>
        <v>46.951768421052634</v>
      </c>
      <c r="F334" s="6">
        <f t="shared" si="351"/>
        <v>8451.3183157894746</v>
      </c>
      <c r="G334" s="6">
        <f t="shared" si="352"/>
        <v>32.171999999999997</v>
      </c>
      <c r="H334" s="6">
        <f t="shared" si="353"/>
        <v>5790.9599999999991</v>
      </c>
      <c r="I334" s="6">
        <f t="shared" si="354"/>
        <v>79.123768421052631</v>
      </c>
      <c r="J334" s="6">
        <f t="shared" si="355"/>
        <v>14242.278315789474</v>
      </c>
      <c r="K334" s="82"/>
      <c r="L334" s="24"/>
      <c r="N334" s="75">
        <v>40.863157894736844</v>
      </c>
      <c r="O334" s="76">
        <f t="shared" si="356"/>
        <v>1.149</v>
      </c>
      <c r="P334" s="77">
        <f t="shared" si="357"/>
        <v>46.951768421052634</v>
      </c>
      <c r="Q334" s="78">
        <f t="shared" si="348"/>
        <v>7355.3684210526317</v>
      </c>
      <c r="R334" s="78"/>
      <c r="S334" s="79">
        <v>28</v>
      </c>
      <c r="T334" s="80">
        <f t="shared" si="358"/>
        <v>1.149</v>
      </c>
      <c r="U334" s="79">
        <f t="shared" si="359"/>
        <v>32.171999999999997</v>
      </c>
      <c r="V334">
        <f t="shared" si="349"/>
        <v>5040</v>
      </c>
    </row>
    <row r="335" spans="1:22">
      <c r="A335" s="4"/>
      <c r="B335" s="5" t="s">
        <v>304</v>
      </c>
      <c r="C335" s="4" t="s">
        <v>188</v>
      </c>
      <c r="D335" s="6">
        <v>50</v>
      </c>
      <c r="E335" s="6">
        <f t="shared" si="350"/>
        <v>141.62936842105262</v>
      </c>
      <c r="F335" s="6">
        <f t="shared" si="351"/>
        <v>7081.4684210526311</v>
      </c>
      <c r="G335" s="6">
        <f t="shared" si="352"/>
        <v>40.215000000000003</v>
      </c>
      <c r="H335" s="6">
        <f t="shared" si="353"/>
        <v>2010.7500000000002</v>
      </c>
      <c r="I335" s="6">
        <f t="shared" si="354"/>
        <v>181.84436842105262</v>
      </c>
      <c r="J335" s="6">
        <f t="shared" si="355"/>
        <v>9092.218421052632</v>
      </c>
      <c r="K335" s="82"/>
      <c r="L335" s="24"/>
      <c r="N335" s="75">
        <v>123.26315789473684</v>
      </c>
      <c r="O335" s="76">
        <f t="shared" si="356"/>
        <v>1.149</v>
      </c>
      <c r="P335" s="77">
        <f t="shared" si="357"/>
        <v>141.62936842105262</v>
      </c>
      <c r="Q335" s="78">
        <f t="shared" si="348"/>
        <v>6163.1578947368416</v>
      </c>
      <c r="R335" s="78"/>
      <c r="S335" s="79">
        <v>35</v>
      </c>
      <c r="T335" s="80">
        <f t="shared" si="358"/>
        <v>1.149</v>
      </c>
      <c r="U335" s="79">
        <f t="shared" si="359"/>
        <v>40.215000000000003</v>
      </c>
      <c r="V335">
        <f t="shared" si="349"/>
        <v>1750</v>
      </c>
    </row>
    <row r="336" spans="1:22">
      <c r="A336" s="19"/>
      <c r="B336" s="20" t="s">
        <v>275</v>
      </c>
      <c r="C336" s="19" t="s">
        <v>26</v>
      </c>
      <c r="D336" s="21"/>
      <c r="E336" s="21"/>
      <c r="F336" s="21"/>
      <c r="G336" s="21"/>
      <c r="H336" s="21"/>
      <c r="I336" s="21"/>
      <c r="J336" s="21"/>
      <c r="K336" s="82"/>
      <c r="L336" s="24"/>
      <c r="Q336" s="78">
        <f t="shared" si="348"/>
        <v>0</v>
      </c>
      <c r="V336">
        <f t="shared" si="349"/>
        <v>0</v>
      </c>
    </row>
    <row r="337" spans="1:22">
      <c r="A337" s="4"/>
      <c r="B337" s="5" t="s">
        <v>305</v>
      </c>
      <c r="C337" s="4" t="s">
        <v>188</v>
      </c>
      <c r="D337" s="6">
        <v>80</v>
      </c>
      <c r="E337" s="6">
        <f>SUM(P337)</f>
        <v>36.768000000000001</v>
      </c>
      <c r="F337" s="6">
        <f t="shared" ref="F337" si="360">D337*E337</f>
        <v>2941.44</v>
      </c>
      <c r="G337" s="6">
        <f>SUM(U337)</f>
        <v>74.685000000000002</v>
      </c>
      <c r="H337" s="6">
        <f t="shared" ref="H337" si="361">D337*G337</f>
        <v>5974.8</v>
      </c>
      <c r="I337" s="6">
        <f t="shared" ref="I337" si="362">E337+G337</f>
        <v>111.453</v>
      </c>
      <c r="J337" s="6">
        <f t="shared" ref="J337" si="363">F337+H337</f>
        <v>8916.24</v>
      </c>
      <c r="K337" s="82"/>
      <c r="L337" s="24"/>
      <c r="N337" s="75">
        <v>32</v>
      </c>
      <c r="O337" s="76">
        <f>$O$1</f>
        <v>1.149</v>
      </c>
      <c r="P337" s="77">
        <f>SUM(O337*N337)</f>
        <v>36.768000000000001</v>
      </c>
      <c r="Q337" s="78">
        <f t="shared" si="348"/>
        <v>2560</v>
      </c>
      <c r="R337" s="78"/>
      <c r="S337" s="79">
        <v>65</v>
      </c>
      <c r="T337" s="80">
        <f>$T$1</f>
        <v>1.149</v>
      </c>
      <c r="U337" s="79">
        <f>SUM(T337*S337)</f>
        <v>74.685000000000002</v>
      </c>
      <c r="V337">
        <f t="shared" si="349"/>
        <v>5200</v>
      </c>
    </row>
    <row r="338" spans="1:22">
      <c r="A338" s="19"/>
      <c r="B338" s="20" t="s">
        <v>306</v>
      </c>
      <c r="C338" s="19" t="s">
        <v>26</v>
      </c>
      <c r="D338" s="21"/>
      <c r="E338" s="21"/>
      <c r="F338" s="21"/>
      <c r="G338" s="21"/>
      <c r="H338" s="21"/>
      <c r="I338" s="21"/>
      <c r="J338" s="21"/>
      <c r="K338" s="82"/>
      <c r="L338" s="24"/>
      <c r="Q338" s="78">
        <f t="shared" si="348"/>
        <v>0</v>
      </c>
      <c r="V338">
        <f t="shared" si="349"/>
        <v>0</v>
      </c>
    </row>
    <row r="339" spans="1:22">
      <c r="A339" s="4"/>
      <c r="B339" s="5" t="s">
        <v>307</v>
      </c>
      <c r="C339" s="4" t="s">
        <v>36</v>
      </c>
      <c r="D339" s="6">
        <v>30</v>
      </c>
      <c r="E339" s="6">
        <f>SUM(P339)</f>
        <v>14.840242105263158</v>
      </c>
      <c r="F339" s="6">
        <f t="shared" ref="F339" si="364">D339*E339</f>
        <v>445.20726315789477</v>
      </c>
      <c r="G339" s="6">
        <f>SUM(U339)</f>
        <v>74.685000000000002</v>
      </c>
      <c r="H339" s="6">
        <f t="shared" ref="H339" si="365">D339*G339</f>
        <v>2240.5500000000002</v>
      </c>
      <c r="I339" s="6">
        <f t="shared" ref="I339" si="366">E339+G339</f>
        <v>89.52524210526316</v>
      </c>
      <c r="J339" s="6">
        <f t="shared" ref="J339" si="367">F339+H339</f>
        <v>2685.7572631578951</v>
      </c>
      <c r="K339" s="82"/>
      <c r="L339" s="24"/>
      <c r="N339" s="75">
        <v>12.91578947368421</v>
      </c>
      <c r="O339" s="76">
        <f>$O$1</f>
        <v>1.149</v>
      </c>
      <c r="P339" s="77">
        <f>SUM(O339*N339)</f>
        <v>14.840242105263158</v>
      </c>
      <c r="Q339" s="78">
        <f t="shared" si="348"/>
        <v>387.4736842105263</v>
      </c>
      <c r="R339" s="78"/>
      <c r="S339" s="79">
        <v>65</v>
      </c>
      <c r="T339" s="80">
        <f>$T$1</f>
        <v>1.149</v>
      </c>
      <c r="U339" s="79">
        <f>SUM(T339*S339)</f>
        <v>74.685000000000002</v>
      </c>
      <c r="V339">
        <f t="shared" si="349"/>
        <v>1950</v>
      </c>
    </row>
    <row r="340" spans="1:22">
      <c r="A340" s="19"/>
      <c r="B340" s="20" t="s">
        <v>308</v>
      </c>
      <c r="C340" s="19" t="s">
        <v>26</v>
      </c>
      <c r="D340" s="21"/>
      <c r="E340" s="21"/>
      <c r="F340" s="21"/>
      <c r="G340" s="21"/>
      <c r="H340" s="21"/>
      <c r="I340" s="21"/>
      <c r="J340" s="21"/>
      <c r="K340" s="82"/>
      <c r="L340" s="24"/>
      <c r="Q340" s="78">
        <f t="shared" si="348"/>
        <v>0</v>
      </c>
      <c r="V340">
        <f t="shared" si="349"/>
        <v>0</v>
      </c>
    </row>
    <row r="341" spans="1:22">
      <c r="A341" s="4"/>
      <c r="B341" s="5" t="s">
        <v>309</v>
      </c>
      <c r="C341" s="4" t="s">
        <v>36</v>
      </c>
      <c r="D341" s="6">
        <v>15</v>
      </c>
      <c r="E341" s="6">
        <f t="shared" ref="E341:E342" si="368">SUM(P341)</f>
        <v>13.364684210526319</v>
      </c>
      <c r="F341" s="6">
        <f t="shared" ref="F341:F342" si="369">D341*E341</f>
        <v>200.47026315789478</v>
      </c>
      <c r="G341" s="6">
        <f t="shared" ref="G341:G342" si="370">SUM(U341)</f>
        <v>80.430000000000007</v>
      </c>
      <c r="H341" s="6">
        <f t="shared" ref="H341:H342" si="371">D341*G341</f>
        <v>1206.45</v>
      </c>
      <c r="I341" s="6">
        <f t="shared" ref="I341:I342" si="372">E341+G341</f>
        <v>93.794684210526327</v>
      </c>
      <c r="J341" s="6">
        <f t="shared" ref="J341:J342" si="373">F341+H341</f>
        <v>1406.9202631578949</v>
      </c>
      <c r="K341" s="82"/>
      <c r="L341" s="24"/>
      <c r="N341" s="75">
        <v>11.631578947368423</v>
      </c>
      <c r="O341" s="76">
        <f t="shared" ref="O341:O342" si="374">$O$1</f>
        <v>1.149</v>
      </c>
      <c r="P341" s="77">
        <f t="shared" ref="P341:P342" si="375">SUM(O341*N341)</f>
        <v>13.364684210526319</v>
      </c>
      <c r="Q341" s="78">
        <f t="shared" si="348"/>
        <v>174.47368421052636</v>
      </c>
      <c r="R341" s="78"/>
      <c r="S341" s="79">
        <v>70</v>
      </c>
      <c r="T341" s="80">
        <f t="shared" ref="T341:T342" si="376">$T$1</f>
        <v>1.149</v>
      </c>
      <c r="U341" s="79">
        <f t="shared" ref="U341:U342" si="377">SUM(T341*S341)</f>
        <v>80.430000000000007</v>
      </c>
      <c r="V341">
        <f t="shared" si="349"/>
        <v>1050</v>
      </c>
    </row>
    <row r="342" spans="1:22">
      <c r="A342" s="4"/>
      <c r="B342" s="5" t="s">
        <v>310</v>
      </c>
      <c r="C342" s="4" t="s">
        <v>36</v>
      </c>
      <c r="D342" s="6">
        <v>15</v>
      </c>
      <c r="E342" s="6">
        <f t="shared" si="368"/>
        <v>16.473031578947367</v>
      </c>
      <c r="F342" s="6">
        <f t="shared" si="369"/>
        <v>247.0954736842105</v>
      </c>
      <c r="G342" s="6">
        <f t="shared" si="370"/>
        <v>103.41</v>
      </c>
      <c r="H342" s="6">
        <f t="shared" si="371"/>
        <v>1551.1499999999999</v>
      </c>
      <c r="I342" s="6">
        <f t="shared" si="372"/>
        <v>119.88303157894737</v>
      </c>
      <c r="J342" s="6">
        <f t="shared" si="373"/>
        <v>1798.2454736842103</v>
      </c>
      <c r="K342" s="82"/>
      <c r="L342" s="24"/>
      <c r="N342" s="75">
        <v>14.336842105263157</v>
      </c>
      <c r="O342" s="76">
        <f t="shared" si="374"/>
        <v>1.149</v>
      </c>
      <c r="P342" s="77">
        <f t="shared" si="375"/>
        <v>16.473031578947367</v>
      </c>
      <c r="Q342" s="78">
        <f t="shared" si="348"/>
        <v>215.05263157894737</v>
      </c>
      <c r="R342" s="78"/>
      <c r="S342" s="79">
        <v>90</v>
      </c>
      <c r="T342" s="80">
        <f t="shared" si="376"/>
        <v>1.149</v>
      </c>
      <c r="U342" s="79">
        <f t="shared" si="377"/>
        <v>103.41</v>
      </c>
      <c r="V342">
        <f t="shared" si="349"/>
        <v>1350</v>
      </c>
    </row>
    <row r="343" spans="1:22">
      <c r="A343" s="19"/>
      <c r="B343" s="20" t="s">
        <v>311</v>
      </c>
      <c r="C343" s="19" t="s">
        <v>26</v>
      </c>
      <c r="D343" s="21"/>
      <c r="E343" s="21"/>
      <c r="F343" s="21"/>
      <c r="G343" s="21"/>
      <c r="H343" s="21"/>
      <c r="I343" s="21"/>
      <c r="J343" s="21"/>
      <c r="K343" s="82"/>
      <c r="L343" s="24"/>
      <c r="Q343" s="78">
        <f t="shared" si="348"/>
        <v>0</v>
      </c>
      <c r="V343">
        <f t="shared" si="349"/>
        <v>0</v>
      </c>
    </row>
    <row r="344" spans="1:22">
      <c r="A344" s="4"/>
      <c r="B344" s="5" t="s">
        <v>312</v>
      </c>
      <c r="C344" s="4" t="s">
        <v>36</v>
      </c>
      <c r="D344" s="6">
        <v>3</v>
      </c>
      <c r="E344" s="6">
        <f>SUM(P344)</f>
        <v>207.78757894736844</v>
      </c>
      <c r="F344" s="6">
        <f t="shared" ref="F344" si="378">D344*E344</f>
        <v>623.36273684210528</v>
      </c>
      <c r="G344" s="6">
        <f>SUM(U344)</f>
        <v>172.35</v>
      </c>
      <c r="H344" s="6">
        <f t="shared" ref="H344" si="379">D344*G344</f>
        <v>517.04999999999995</v>
      </c>
      <c r="I344" s="6">
        <f t="shared" ref="I344" si="380">E344+G344</f>
        <v>380.13757894736841</v>
      </c>
      <c r="J344" s="6">
        <f t="shared" ref="J344" si="381">F344+H344</f>
        <v>1140.4127368421052</v>
      </c>
      <c r="K344" s="82"/>
      <c r="L344" s="24"/>
      <c r="N344" s="75">
        <v>180.84210526315792</v>
      </c>
      <c r="O344" s="76">
        <f>$O$1</f>
        <v>1.149</v>
      </c>
      <c r="P344" s="77">
        <f>SUM(O344*N344)</f>
        <v>207.78757894736844</v>
      </c>
      <c r="Q344" s="78">
        <f t="shared" si="348"/>
        <v>542.52631578947376</v>
      </c>
      <c r="R344" s="78"/>
      <c r="S344" s="79">
        <v>150</v>
      </c>
      <c r="T344" s="80">
        <f>$T$1</f>
        <v>1.149</v>
      </c>
      <c r="U344" s="79">
        <f>SUM(T344*S344)</f>
        <v>172.35</v>
      </c>
      <c r="V344">
        <f t="shared" si="349"/>
        <v>450</v>
      </c>
    </row>
    <row r="345" spans="1:22" ht="24">
      <c r="A345" s="19"/>
      <c r="B345" s="20" t="s">
        <v>313</v>
      </c>
      <c r="C345" s="19" t="s">
        <v>26</v>
      </c>
      <c r="D345" s="21"/>
      <c r="E345" s="21"/>
      <c r="F345" s="21"/>
      <c r="G345" s="21"/>
      <c r="H345" s="21"/>
      <c r="I345" s="21"/>
      <c r="J345" s="21"/>
      <c r="K345" s="82"/>
      <c r="L345" s="24"/>
      <c r="Q345" s="78">
        <f t="shared" si="348"/>
        <v>0</v>
      </c>
      <c r="V345">
        <f t="shared" si="349"/>
        <v>0</v>
      </c>
    </row>
    <row r="346" spans="1:22">
      <c r="A346" s="4"/>
      <c r="B346" s="5" t="s">
        <v>212</v>
      </c>
      <c r="C346" s="4" t="s">
        <v>36</v>
      </c>
      <c r="D346" s="6">
        <v>840</v>
      </c>
      <c r="E346" s="6">
        <f>SUM(P346)</f>
        <v>0</v>
      </c>
      <c r="F346" s="6">
        <f t="shared" ref="F346" si="382">D346*E346</f>
        <v>0</v>
      </c>
      <c r="G346" s="6">
        <f>SUM(U346)</f>
        <v>9.1920000000000002</v>
      </c>
      <c r="H346" s="6">
        <f t="shared" ref="H346" si="383">D346*G346</f>
        <v>7721.28</v>
      </c>
      <c r="I346" s="6">
        <f t="shared" ref="I346" si="384">E346+G346</f>
        <v>9.1920000000000002</v>
      </c>
      <c r="J346" s="6">
        <f t="shared" ref="J346" si="385">F346+H346</f>
        <v>7721.28</v>
      </c>
      <c r="K346" s="82"/>
      <c r="L346" s="24"/>
      <c r="N346" s="75"/>
      <c r="O346" s="76">
        <f>$O$1</f>
        <v>1.149</v>
      </c>
      <c r="P346" s="77">
        <f>SUM(O346*N346)</f>
        <v>0</v>
      </c>
      <c r="Q346" s="78">
        <f t="shared" si="348"/>
        <v>0</v>
      </c>
      <c r="R346" s="78"/>
      <c r="S346" s="79">
        <v>8</v>
      </c>
      <c r="T346" s="80">
        <f>$T$1</f>
        <v>1.149</v>
      </c>
      <c r="U346" s="79">
        <f>SUM(T346*S346)</f>
        <v>9.1920000000000002</v>
      </c>
      <c r="V346">
        <f t="shared" si="349"/>
        <v>6720</v>
      </c>
    </row>
    <row r="347" spans="1:22">
      <c r="A347" s="19"/>
      <c r="B347" s="20" t="s">
        <v>314</v>
      </c>
      <c r="C347" s="19" t="s">
        <v>26</v>
      </c>
      <c r="D347" s="21"/>
      <c r="E347" s="21"/>
      <c r="F347" s="21"/>
      <c r="G347" s="21"/>
      <c r="H347" s="21"/>
      <c r="I347" s="21"/>
      <c r="J347" s="21"/>
      <c r="K347" s="82"/>
      <c r="L347" s="24"/>
      <c r="Q347" s="78">
        <f t="shared" si="348"/>
        <v>0</v>
      </c>
      <c r="V347">
        <f t="shared" si="349"/>
        <v>0</v>
      </c>
    </row>
    <row r="348" spans="1:22">
      <c r="A348" s="4"/>
      <c r="B348" s="5" t="s">
        <v>315</v>
      </c>
      <c r="C348" s="4" t="s">
        <v>36</v>
      </c>
      <c r="D348" s="6">
        <v>40</v>
      </c>
      <c r="E348" s="6">
        <f t="shared" ref="E348:E350" si="386">SUM(P348)</f>
        <v>0</v>
      </c>
      <c r="F348" s="6">
        <f t="shared" ref="F348:F350" si="387">D348*E348</f>
        <v>0</v>
      </c>
      <c r="G348" s="6">
        <f t="shared" ref="G348:G350" si="388">SUM(U348)</f>
        <v>17.234999999999999</v>
      </c>
      <c r="H348" s="6">
        <f t="shared" ref="H348:H350" si="389">D348*G348</f>
        <v>689.4</v>
      </c>
      <c r="I348" s="6">
        <f t="shared" ref="I348:I350" si="390">E348+G348</f>
        <v>17.234999999999999</v>
      </c>
      <c r="J348" s="6">
        <f t="shared" ref="J348:J350" si="391">F348+H348</f>
        <v>689.4</v>
      </c>
      <c r="K348" s="82"/>
      <c r="L348" s="165">
        <f t="shared" ref="L348:L350" si="392">SUM(J348)</f>
        <v>689.4</v>
      </c>
      <c r="N348" s="75"/>
      <c r="O348" s="76">
        <f t="shared" ref="O348:O350" si="393">$O$1</f>
        <v>1.149</v>
      </c>
      <c r="P348" s="77">
        <f t="shared" ref="P348:P350" si="394">SUM(O348*N348)</f>
        <v>0</v>
      </c>
      <c r="Q348" s="78">
        <f t="shared" si="348"/>
        <v>0</v>
      </c>
      <c r="R348" s="78"/>
      <c r="S348" s="79">
        <v>15</v>
      </c>
      <c r="T348" s="80">
        <f t="shared" ref="T348:T350" si="395">$T$1</f>
        <v>1.149</v>
      </c>
      <c r="U348" s="79">
        <f t="shared" ref="U348:U350" si="396">SUM(T348*S348)</f>
        <v>17.234999999999999</v>
      </c>
      <c r="V348">
        <f t="shared" si="349"/>
        <v>600</v>
      </c>
    </row>
    <row r="349" spans="1:22">
      <c r="A349" s="4"/>
      <c r="B349" s="5" t="s">
        <v>316</v>
      </c>
      <c r="C349" s="4" t="s">
        <v>36</v>
      </c>
      <c r="D349" s="6">
        <v>10</v>
      </c>
      <c r="E349" s="6">
        <f t="shared" si="386"/>
        <v>0</v>
      </c>
      <c r="F349" s="6">
        <f t="shared" si="387"/>
        <v>0</v>
      </c>
      <c r="G349" s="6">
        <f t="shared" si="388"/>
        <v>22.98</v>
      </c>
      <c r="H349" s="6">
        <f t="shared" si="389"/>
        <v>229.8</v>
      </c>
      <c r="I349" s="6">
        <f t="shared" si="390"/>
        <v>22.98</v>
      </c>
      <c r="J349" s="6">
        <f t="shared" si="391"/>
        <v>229.8</v>
      </c>
      <c r="K349" s="82"/>
      <c r="L349" s="165">
        <f t="shared" si="392"/>
        <v>229.8</v>
      </c>
      <c r="N349" s="75"/>
      <c r="O349" s="76">
        <f t="shared" si="393"/>
        <v>1.149</v>
      </c>
      <c r="P349" s="77">
        <f t="shared" si="394"/>
        <v>0</v>
      </c>
      <c r="Q349" s="78">
        <f t="shared" si="348"/>
        <v>0</v>
      </c>
      <c r="R349" s="78"/>
      <c r="S349" s="79">
        <v>20</v>
      </c>
      <c r="T349" s="80">
        <f t="shared" si="395"/>
        <v>1.149</v>
      </c>
      <c r="U349" s="79">
        <f t="shared" si="396"/>
        <v>22.98</v>
      </c>
      <c r="V349">
        <f t="shared" si="349"/>
        <v>200</v>
      </c>
    </row>
    <row r="350" spans="1:22">
      <c r="A350" s="4"/>
      <c r="B350" s="5" t="s">
        <v>317</v>
      </c>
      <c r="C350" s="4" t="s">
        <v>36</v>
      </c>
      <c r="D350" s="6">
        <v>5</v>
      </c>
      <c r="E350" s="6">
        <f t="shared" si="386"/>
        <v>0</v>
      </c>
      <c r="F350" s="6">
        <f t="shared" si="387"/>
        <v>0</v>
      </c>
      <c r="G350" s="6">
        <f t="shared" si="388"/>
        <v>39.066000000000003</v>
      </c>
      <c r="H350" s="6">
        <f t="shared" si="389"/>
        <v>195.33</v>
      </c>
      <c r="I350" s="6">
        <f t="shared" si="390"/>
        <v>39.066000000000003</v>
      </c>
      <c r="J350" s="6">
        <f t="shared" si="391"/>
        <v>195.33</v>
      </c>
      <c r="K350" s="82"/>
      <c r="L350" s="165">
        <f t="shared" si="392"/>
        <v>195.33</v>
      </c>
      <c r="N350" s="75"/>
      <c r="O350" s="76">
        <f t="shared" si="393"/>
        <v>1.149</v>
      </c>
      <c r="P350" s="77">
        <f t="shared" si="394"/>
        <v>0</v>
      </c>
      <c r="Q350" s="78">
        <f t="shared" si="348"/>
        <v>0</v>
      </c>
      <c r="R350" s="78"/>
      <c r="S350" s="79">
        <v>34</v>
      </c>
      <c r="T350" s="80">
        <f t="shared" si="395"/>
        <v>1.149</v>
      </c>
      <c r="U350" s="79">
        <f t="shared" si="396"/>
        <v>39.066000000000003</v>
      </c>
      <c r="V350">
        <f t="shared" si="349"/>
        <v>170</v>
      </c>
    </row>
    <row r="351" spans="1:22">
      <c r="A351" s="13"/>
      <c r="B351" s="14" t="s">
        <v>318</v>
      </c>
      <c r="C351" s="13" t="s">
        <v>26</v>
      </c>
      <c r="D351" s="15"/>
      <c r="E351" s="15"/>
      <c r="F351" s="15">
        <f>SUM(F331:F350)</f>
        <v>28203.172578947371</v>
      </c>
      <c r="G351" s="15"/>
      <c r="H351" s="15">
        <f>SUM(H331:H350)</f>
        <v>42283.200000000004</v>
      </c>
      <c r="I351" s="15"/>
      <c r="J351" s="15">
        <f>SUM(J331:J350)</f>
        <v>70486.372578947368</v>
      </c>
      <c r="K351" s="82"/>
      <c r="L351" s="24"/>
      <c r="Q351" s="78">
        <f t="shared" si="348"/>
        <v>0</v>
      </c>
      <c r="V351">
        <f t="shared" si="349"/>
        <v>0</v>
      </c>
    </row>
    <row r="352" spans="1:22">
      <c r="A352" s="4"/>
      <c r="B352" s="5" t="s">
        <v>26</v>
      </c>
      <c r="C352" s="4" t="s">
        <v>26</v>
      </c>
      <c r="D352" s="6"/>
      <c r="E352" s="6"/>
      <c r="F352" s="6"/>
      <c r="G352" s="6"/>
      <c r="H352" s="6"/>
      <c r="I352" s="6"/>
      <c r="J352" s="6"/>
      <c r="K352" s="82"/>
      <c r="L352" s="24"/>
      <c r="Q352" s="78">
        <f t="shared" si="348"/>
        <v>0</v>
      </c>
      <c r="V352">
        <f t="shared" si="349"/>
        <v>0</v>
      </c>
    </row>
    <row r="353" spans="1:22">
      <c r="A353" s="13"/>
      <c r="B353" s="14" t="s">
        <v>319</v>
      </c>
      <c r="C353" s="13" t="s">
        <v>26</v>
      </c>
      <c r="D353" s="15"/>
      <c r="E353" s="15"/>
      <c r="F353" s="15"/>
      <c r="G353" s="15"/>
      <c r="H353" s="15"/>
      <c r="I353" s="15"/>
      <c r="J353" s="15"/>
      <c r="K353" s="82"/>
      <c r="L353" s="24"/>
      <c r="Q353" s="78">
        <f t="shared" si="348"/>
        <v>0</v>
      </c>
      <c r="V353">
        <f t="shared" si="349"/>
        <v>0</v>
      </c>
    </row>
    <row r="354" spans="1:22">
      <c r="A354" s="19"/>
      <c r="B354" s="20" t="s">
        <v>320</v>
      </c>
      <c r="C354" s="19" t="s">
        <v>26</v>
      </c>
      <c r="D354" s="21"/>
      <c r="E354" s="21"/>
      <c r="F354" s="21"/>
      <c r="G354" s="21"/>
      <c r="H354" s="21"/>
      <c r="I354" s="21"/>
      <c r="J354" s="21"/>
      <c r="K354" s="82"/>
      <c r="L354" s="24"/>
      <c r="Q354" s="78">
        <f t="shared" si="348"/>
        <v>0</v>
      </c>
      <c r="V354">
        <f t="shared" si="349"/>
        <v>0</v>
      </c>
    </row>
    <row r="355" spans="1:22">
      <c r="A355" s="19"/>
      <c r="B355" s="20" t="s">
        <v>321</v>
      </c>
      <c r="C355" s="19" t="s">
        <v>26</v>
      </c>
      <c r="D355" s="21"/>
      <c r="E355" s="21"/>
      <c r="F355" s="21"/>
      <c r="G355" s="21"/>
      <c r="H355" s="21"/>
      <c r="I355" s="21"/>
      <c r="J355" s="21"/>
      <c r="K355" s="82"/>
      <c r="L355" s="24"/>
      <c r="Q355" s="78">
        <f t="shared" si="348"/>
        <v>0</v>
      </c>
      <c r="V355">
        <f t="shared" si="349"/>
        <v>0</v>
      </c>
    </row>
    <row r="356" spans="1:22">
      <c r="A356" s="4"/>
      <c r="B356" s="5" t="s">
        <v>322</v>
      </c>
      <c r="C356" s="4" t="s">
        <v>323</v>
      </c>
      <c r="D356" s="6">
        <v>80</v>
      </c>
      <c r="E356" s="6">
        <f t="shared" ref="E356:E357" si="397">SUM(P356)</f>
        <v>0</v>
      </c>
      <c r="F356" s="6">
        <f t="shared" ref="F356:F357" si="398">D356*E356</f>
        <v>0</v>
      </c>
      <c r="G356" s="6">
        <f t="shared" ref="G356:G357" si="399">SUM(U356)</f>
        <v>746.85</v>
      </c>
      <c r="H356" s="6">
        <f t="shared" ref="H356:H357" si="400">D356*G356</f>
        <v>59748</v>
      </c>
      <c r="I356" s="6">
        <f t="shared" ref="I356:I357" si="401">E356+G356</f>
        <v>746.85</v>
      </c>
      <c r="J356" s="6">
        <f t="shared" ref="J356:J357" si="402">F356+H356</f>
        <v>59748</v>
      </c>
      <c r="K356" s="159"/>
      <c r="L356" s="165">
        <v>30000</v>
      </c>
      <c r="N356" s="75"/>
      <c r="O356" s="76">
        <f t="shared" ref="O356:O357" si="403">$O$1</f>
        <v>1.149</v>
      </c>
      <c r="P356" s="77">
        <f t="shared" ref="P356:P357" si="404">SUM(O356*N356)</f>
        <v>0</v>
      </c>
      <c r="Q356" s="78">
        <f t="shared" si="348"/>
        <v>0</v>
      </c>
      <c r="R356" s="78"/>
      <c r="S356" s="79">
        <v>650</v>
      </c>
      <c r="T356" s="80">
        <f t="shared" ref="T356:T357" si="405">$T$1</f>
        <v>1.149</v>
      </c>
      <c r="U356" s="79">
        <f t="shared" ref="U356:U357" si="406">SUM(T356*S356)</f>
        <v>746.85</v>
      </c>
      <c r="V356">
        <f t="shared" si="349"/>
        <v>52000</v>
      </c>
    </row>
    <row r="357" spans="1:22">
      <c r="A357" s="4"/>
      <c r="B357" s="5" t="s">
        <v>324</v>
      </c>
      <c r="C357" s="4" t="s">
        <v>323</v>
      </c>
      <c r="D357" s="6">
        <v>10</v>
      </c>
      <c r="E357" s="6">
        <f t="shared" si="397"/>
        <v>0</v>
      </c>
      <c r="F357" s="6">
        <f t="shared" si="398"/>
        <v>0</v>
      </c>
      <c r="G357" s="6">
        <f t="shared" si="399"/>
        <v>517.04999999999995</v>
      </c>
      <c r="H357" s="6">
        <f t="shared" si="400"/>
        <v>5170.5</v>
      </c>
      <c r="I357" s="6">
        <f t="shared" si="401"/>
        <v>517.04999999999995</v>
      </c>
      <c r="J357" s="6">
        <f t="shared" si="402"/>
        <v>5170.5</v>
      </c>
      <c r="K357" s="82"/>
      <c r="L357" s="24"/>
      <c r="N357" s="75"/>
      <c r="O357" s="76">
        <f t="shared" si="403"/>
        <v>1.149</v>
      </c>
      <c r="P357" s="77">
        <f t="shared" si="404"/>
        <v>0</v>
      </c>
      <c r="Q357" s="78">
        <f t="shared" si="348"/>
        <v>0</v>
      </c>
      <c r="R357" s="78"/>
      <c r="S357" s="79">
        <v>450</v>
      </c>
      <c r="T357" s="80">
        <f t="shared" si="405"/>
        <v>1.149</v>
      </c>
      <c r="U357" s="79">
        <f t="shared" si="406"/>
        <v>517.04999999999995</v>
      </c>
      <c r="V357">
        <f t="shared" si="349"/>
        <v>4500</v>
      </c>
    </row>
    <row r="358" spans="1:22">
      <c r="A358" s="13"/>
      <c r="B358" s="14" t="s">
        <v>325</v>
      </c>
      <c r="C358" s="13" t="s">
        <v>26</v>
      </c>
      <c r="D358" s="15"/>
      <c r="E358" s="15"/>
      <c r="F358" s="15">
        <f>SUM(F354:F357)</f>
        <v>0</v>
      </c>
      <c r="G358" s="15"/>
      <c r="H358" s="15">
        <f>SUM(H354:H357)</f>
        <v>64918.5</v>
      </c>
      <c r="I358" s="15"/>
      <c r="J358" s="15">
        <f>SUM(J354:J357)</f>
        <v>64918.5</v>
      </c>
      <c r="K358" s="82"/>
      <c r="L358" s="24"/>
      <c r="Q358" s="78">
        <f t="shared" si="348"/>
        <v>0</v>
      </c>
      <c r="V358">
        <f t="shared" si="349"/>
        <v>0</v>
      </c>
    </row>
    <row r="359" spans="1:22">
      <c r="A359" s="4"/>
      <c r="B359" s="5" t="s">
        <v>26</v>
      </c>
      <c r="C359" s="4" t="s">
        <v>26</v>
      </c>
      <c r="D359" s="6"/>
      <c r="E359" s="6"/>
      <c r="F359" s="6"/>
      <c r="G359" s="6"/>
      <c r="H359" s="6"/>
      <c r="I359" s="6"/>
      <c r="J359" s="6"/>
      <c r="K359" s="82"/>
      <c r="L359" s="24"/>
      <c r="Q359" s="78">
        <f t="shared" si="348"/>
        <v>0</v>
      </c>
      <c r="V359">
        <f t="shared" si="349"/>
        <v>0</v>
      </c>
    </row>
    <row r="360" spans="1:22">
      <c r="A360" s="13"/>
      <c r="B360" s="14" t="s">
        <v>326</v>
      </c>
      <c r="C360" s="13" t="s">
        <v>26</v>
      </c>
      <c r="D360" s="15"/>
      <c r="E360" s="15"/>
      <c r="F360" s="15"/>
      <c r="G360" s="15"/>
      <c r="H360" s="15"/>
      <c r="I360" s="15"/>
      <c r="J360" s="15"/>
      <c r="K360" s="82"/>
      <c r="L360" s="24"/>
      <c r="Q360" s="78">
        <f t="shared" si="348"/>
        <v>0</v>
      </c>
      <c r="V360">
        <f t="shared" si="349"/>
        <v>0</v>
      </c>
    </row>
    <row r="361" spans="1:22">
      <c r="A361" s="19"/>
      <c r="B361" s="20" t="s">
        <v>327</v>
      </c>
      <c r="C361" s="19" t="s">
        <v>26</v>
      </c>
      <c r="D361" s="21"/>
      <c r="E361" s="21"/>
      <c r="F361" s="21"/>
      <c r="G361" s="21"/>
      <c r="H361" s="21"/>
      <c r="I361" s="21"/>
      <c r="J361" s="21"/>
      <c r="K361" s="82"/>
      <c r="L361" s="24"/>
      <c r="Q361" s="78">
        <f t="shared" si="348"/>
        <v>0</v>
      </c>
      <c r="V361">
        <f t="shared" si="349"/>
        <v>0</v>
      </c>
    </row>
    <row r="362" spans="1:22">
      <c r="A362" s="4"/>
      <c r="B362" s="5" t="s">
        <v>328</v>
      </c>
      <c r="C362" s="4" t="s">
        <v>329</v>
      </c>
      <c r="D362" s="6">
        <v>1</v>
      </c>
      <c r="E362" s="6">
        <f t="shared" ref="E362:E372" si="407">SUM(P362)</f>
        <v>0</v>
      </c>
      <c r="F362" s="6">
        <f t="shared" ref="F362:F372" si="408">D362*E362</f>
        <v>0</v>
      </c>
      <c r="G362" s="6">
        <f t="shared" ref="G362:G372" si="409">SUM(U362)</f>
        <v>0</v>
      </c>
      <c r="H362" s="6">
        <f t="shared" ref="H362:H372" si="410">D362*G362</f>
        <v>0</v>
      </c>
      <c r="I362" s="6">
        <f t="shared" ref="I362:I372" si="411">E362+G362</f>
        <v>0</v>
      </c>
      <c r="J362" s="6">
        <f t="shared" ref="J362:J371" si="412">F362+H362</f>
        <v>0</v>
      </c>
      <c r="K362" s="82"/>
      <c r="L362" s="24"/>
      <c r="N362" s="75"/>
      <c r="O362" s="76">
        <f t="shared" ref="O362:O372" si="413">$O$1</f>
        <v>1.149</v>
      </c>
      <c r="P362" s="77">
        <f t="shared" ref="P362:P372" si="414">SUM(O362*N362)</f>
        <v>0</v>
      </c>
      <c r="Q362" s="78">
        <f t="shared" si="348"/>
        <v>0</v>
      </c>
      <c r="R362" s="78"/>
      <c r="S362" s="79"/>
      <c r="T362" s="80">
        <f t="shared" ref="T362:T372" si="415">$T$1</f>
        <v>1.149</v>
      </c>
      <c r="U362" s="79">
        <f t="shared" ref="U362:U372" si="416">SUM(T362*S362)</f>
        <v>0</v>
      </c>
      <c r="V362">
        <f t="shared" si="349"/>
        <v>0</v>
      </c>
    </row>
    <row r="363" spans="1:22">
      <c r="A363" s="4"/>
      <c r="B363" s="5" t="s">
        <v>330</v>
      </c>
      <c r="C363" s="4" t="s">
        <v>36</v>
      </c>
      <c r="D363" s="6">
        <v>20</v>
      </c>
      <c r="E363" s="6">
        <f t="shared" si="407"/>
        <v>0</v>
      </c>
      <c r="F363" s="6">
        <f t="shared" si="408"/>
        <v>0</v>
      </c>
      <c r="G363" s="6">
        <f t="shared" si="409"/>
        <v>517.04999999999995</v>
      </c>
      <c r="H363" s="6">
        <f t="shared" si="410"/>
        <v>10341</v>
      </c>
      <c r="I363" s="6">
        <f t="shared" si="411"/>
        <v>517.04999999999995</v>
      </c>
      <c r="J363" s="6">
        <f t="shared" si="412"/>
        <v>10341</v>
      </c>
      <c r="K363" s="82"/>
      <c r="L363" s="24"/>
      <c r="N363" s="75"/>
      <c r="O363" s="76">
        <f t="shared" si="413"/>
        <v>1.149</v>
      </c>
      <c r="P363" s="77">
        <f t="shared" si="414"/>
        <v>0</v>
      </c>
      <c r="Q363" s="78">
        <f t="shared" si="348"/>
        <v>0</v>
      </c>
      <c r="R363" s="78"/>
      <c r="S363" s="79">
        <v>450</v>
      </c>
      <c r="T363" s="80">
        <f t="shared" si="415"/>
        <v>1.149</v>
      </c>
      <c r="U363" s="79">
        <f t="shared" si="416"/>
        <v>517.04999999999995</v>
      </c>
      <c r="V363">
        <f t="shared" si="349"/>
        <v>9000</v>
      </c>
    </row>
    <row r="364" spans="1:22">
      <c r="A364" s="4"/>
      <c r="B364" s="5" t="s">
        <v>331</v>
      </c>
      <c r="C364" s="4" t="s">
        <v>332</v>
      </c>
      <c r="D364" s="6">
        <v>1</v>
      </c>
      <c r="E364" s="6">
        <f t="shared" si="407"/>
        <v>3734.25</v>
      </c>
      <c r="F364" s="6">
        <f t="shared" si="408"/>
        <v>3734.25</v>
      </c>
      <c r="G364" s="6">
        <f t="shared" si="409"/>
        <v>1723.5</v>
      </c>
      <c r="H364" s="6">
        <f t="shared" si="410"/>
        <v>1723.5</v>
      </c>
      <c r="I364" s="6">
        <f t="shared" si="411"/>
        <v>5457.75</v>
      </c>
      <c r="J364" s="6">
        <f t="shared" si="412"/>
        <v>5457.75</v>
      </c>
      <c r="K364" s="82"/>
      <c r="L364" s="24"/>
      <c r="N364" s="75">
        <v>3250</v>
      </c>
      <c r="O364" s="76">
        <f t="shared" si="413"/>
        <v>1.149</v>
      </c>
      <c r="P364" s="77">
        <f t="shared" si="414"/>
        <v>3734.25</v>
      </c>
      <c r="Q364" s="78">
        <f t="shared" si="348"/>
        <v>3250</v>
      </c>
      <c r="R364" s="78"/>
      <c r="S364" s="79">
        <v>1500</v>
      </c>
      <c r="T364" s="80">
        <f t="shared" si="415"/>
        <v>1.149</v>
      </c>
      <c r="U364" s="79">
        <f t="shared" si="416"/>
        <v>1723.5</v>
      </c>
      <c r="V364">
        <f t="shared" si="349"/>
        <v>1500</v>
      </c>
    </row>
    <row r="365" spans="1:22">
      <c r="A365" s="4"/>
      <c r="B365" s="5" t="s">
        <v>333</v>
      </c>
      <c r="C365" s="4" t="s">
        <v>332</v>
      </c>
      <c r="D365" s="6">
        <v>1</v>
      </c>
      <c r="E365" s="6">
        <f t="shared" si="407"/>
        <v>0</v>
      </c>
      <c r="F365" s="6">
        <f t="shared" si="408"/>
        <v>0</v>
      </c>
      <c r="G365" s="6">
        <f t="shared" si="409"/>
        <v>3964.05</v>
      </c>
      <c r="H365" s="6">
        <f t="shared" si="410"/>
        <v>3964.05</v>
      </c>
      <c r="I365" s="6">
        <f t="shared" si="411"/>
        <v>3964.05</v>
      </c>
      <c r="J365" s="6">
        <f t="shared" si="412"/>
        <v>3964.05</v>
      </c>
      <c r="K365" s="82"/>
      <c r="L365" s="165">
        <f t="shared" ref="L365" si="417">SUM(J365)</f>
        <v>3964.05</v>
      </c>
      <c r="N365" s="75"/>
      <c r="O365" s="76">
        <f t="shared" si="413"/>
        <v>1.149</v>
      </c>
      <c r="P365" s="77">
        <f t="shared" si="414"/>
        <v>0</v>
      </c>
      <c r="Q365" s="78">
        <f t="shared" si="348"/>
        <v>0</v>
      </c>
      <c r="R365" s="78"/>
      <c r="S365" s="79">
        <v>3450</v>
      </c>
      <c r="T365" s="80">
        <f t="shared" si="415"/>
        <v>1.149</v>
      </c>
      <c r="U365" s="79">
        <f t="shared" si="416"/>
        <v>3964.05</v>
      </c>
      <c r="V365">
        <f t="shared" si="349"/>
        <v>3450</v>
      </c>
    </row>
    <row r="366" spans="1:22">
      <c r="A366" s="4"/>
      <c r="B366" s="5" t="s">
        <v>334</v>
      </c>
      <c r="C366" s="4" t="s">
        <v>335</v>
      </c>
      <c r="D366" s="6">
        <v>25</v>
      </c>
      <c r="E366" s="6">
        <f t="shared" si="407"/>
        <v>2412.9</v>
      </c>
      <c r="F366" s="6">
        <f t="shared" si="408"/>
        <v>60322.5</v>
      </c>
      <c r="G366" s="6">
        <f t="shared" si="409"/>
        <v>0</v>
      </c>
      <c r="H366" s="6">
        <f t="shared" si="410"/>
        <v>0</v>
      </c>
      <c r="I366" s="6">
        <f t="shared" si="411"/>
        <v>2412.9</v>
      </c>
      <c r="J366" s="6">
        <f t="shared" si="412"/>
        <v>60322.5</v>
      </c>
      <c r="K366" s="82"/>
      <c r="L366" s="24"/>
      <c r="N366" s="75">
        <v>2100</v>
      </c>
      <c r="O366" s="76">
        <f t="shared" si="413"/>
        <v>1.149</v>
      </c>
      <c r="P366" s="77">
        <f t="shared" si="414"/>
        <v>2412.9</v>
      </c>
      <c r="Q366" s="78">
        <f t="shared" si="348"/>
        <v>52500</v>
      </c>
      <c r="R366" s="78"/>
      <c r="S366" s="79"/>
      <c r="T366" s="80">
        <f t="shared" si="415"/>
        <v>1.149</v>
      </c>
      <c r="U366" s="79">
        <f t="shared" si="416"/>
        <v>0</v>
      </c>
      <c r="V366">
        <f t="shared" si="349"/>
        <v>0</v>
      </c>
    </row>
    <row r="367" spans="1:22">
      <c r="A367" s="4"/>
      <c r="B367" s="5" t="s">
        <v>336</v>
      </c>
      <c r="C367" s="4" t="s">
        <v>332</v>
      </c>
      <c r="D367" s="6">
        <v>1</v>
      </c>
      <c r="E367" s="6">
        <f t="shared" si="407"/>
        <v>0</v>
      </c>
      <c r="F367" s="6">
        <f t="shared" si="408"/>
        <v>0</v>
      </c>
      <c r="G367" s="6">
        <f t="shared" si="409"/>
        <v>7468.5</v>
      </c>
      <c r="H367" s="6">
        <f t="shared" si="410"/>
        <v>7468.5</v>
      </c>
      <c r="I367" s="6">
        <f t="shared" si="411"/>
        <v>7468.5</v>
      </c>
      <c r="J367" s="6">
        <f t="shared" si="412"/>
        <v>7468.5</v>
      </c>
      <c r="K367" s="82"/>
      <c r="L367" s="165">
        <f t="shared" ref="L367:L368" si="418">SUM(J367)</f>
        <v>7468.5</v>
      </c>
      <c r="N367" s="75"/>
      <c r="O367" s="76">
        <f t="shared" si="413"/>
        <v>1.149</v>
      </c>
      <c r="P367" s="77">
        <f t="shared" si="414"/>
        <v>0</v>
      </c>
      <c r="Q367" s="78">
        <f t="shared" si="348"/>
        <v>0</v>
      </c>
      <c r="R367" s="78"/>
      <c r="S367" s="79">
        <v>6500</v>
      </c>
      <c r="T367" s="80">
        <f t="shared" si="415"/>
        <v>1.149</v>
      </c>
      <c r="U367" s="79">
        <f t="shared" si="416"/>
        <v>7468.5</v>
      </c>
      <c r="V367">
        <f t="shared" si="349"/>
        <v>6500</v>
      </c>
    </row>
    <row r="368" spans="1:22">
      <c r="A368" s="4"/>
      <c r="B368" s="5" t="s">
        <v>337</v>
      </c>
      <c r="C368" s="4" t="s">
        <v>332</v>
      </c>
      <c r="D368" s="6">
        <v>1</v>
      </c>
      <c r="E368" s="6">
        <f t="shared" si="407"/>
        <v>0</v>
      </c>
      <c r="F368" s="6">
        <f t="shared" si="408"/>
        <v>0</v>
      </c>
      <c r="G368" s="6">
        <f t="shared" si="409"/>
        <v>5515.2</v>
      </c>
      <c r="H368" s="6">
        <f t="shared" si="410"/>
        <v>5515.2</v>
      </c>
      <c r="I368" s="6">
        <f t="shared" si="411"/>
        <v>5515.2</v>
      </c>
      <c r="J368" s="6">
        <f t="shared" si="412"/>
        <v>5515.2</v>
      </c>
      <c r="K368" s="82"/>
      <c r="L368" s="165">
        <f t="shared" si="418"/>
        <v>5515.2</v>
      </c>
      <c r="N368" s="75"/>
      <c r="O368" s="76">
        <f t="shared" si="413"/>
        <v>1.149</v>
      </c>
      <c r="P368" s="77">
        <f t="shared" si="414"/>
        <v>0</v>
      </c>
      <c r="Q368" s="78">
        <f t="shared" si="348"/>
        <v>0</v>
      </c>
      <c r="R368" s="78"/>
      <c r="S368" s="79">
        <v>4800</v>
      </c>
      <c r="T368" s="80">
        <f t="shared" si="415"/>
        <v>1.149</v>
      </c>
      <c r="U368" s="79">
        <f t="shared" si="416"/>
        <v>5515.2</v>
      </c>
      <c r="V368">
        <f t="shared" si="349"/>
        <v>4800</v>
      </c>
    </row>
    <row r="369" spans="1:22">
      <c r="A369" s="4"/>
      <c r="B369" s="5" t="s">
        <v>338</v>
      </c>
      <c r="C369" s="4" t="s">
        <v>339</v>
      </c>
      <c r="D369" s="6">
        <v>30</v>
      </c>
      <c r="E369" s="6">
        <f t="shared" si="407"/>
        <v>0</v>
      </c>
      <c r="F369" s="6">
        <f t="shared" si="408"/>
        <v>0</v>
      </c>
      <c r="G369" s="6">
        <f t="shared" si="409"/>
        <v>746.85</v>
      </c>
      <c r="H369" s="6">
        <f t="shared" si="410"/>
        <v>22405.5</v>
      </c>
      <c r="I369" s="6">
        <f t="shared" si="411"/>
        <v>746.85</v>
      </c>
      <c r="J369" s="6">
        <f t="shared" si="412"/>
        <v>22405.5</v>
      </c>
      <c r="K369" s="82"/>
      <c r="L369" s="24"/>
      <c r="N369" s="75"/>
      <c r="O369" s="76">
        <f t="shared" si="413"/>
        <v>1.149</v>
      </c>
      <c r="P369" s="77">
        <f t="shared" si="414"/>
        <v>0</v>
      </c>
      <c r="Q369" s="78">
        <f t="shared" si="348"/>
        <v>0</v>
      </c>
      <c r="R369" s="78"/>
      <c r="S369" s="79">
        <v>650</v>
      </c>
      <c r="T369" s="80">
        <f t="shared" si="415"/>
        <v>1.149</v>
      </c>
      <c r="U369" s="79">
        <f t="shared" si="416"/>
        <v>746.85</v>
      </c>
      <c r="V369">
        <f t="shared" si="349"/>
        <v>19500</v>
      </c>
    </row>
    <row r="370" spans="1:22">
      <c r="A370" s="4"/>
      <c r="B370" s="5" t="s">
        <v>340</v>
      </c>
      <c r="C370" s="4" t="s">
        <v>332</v>
      </c>
      <c r="D370" s="6">
        <v>1</v>
      </c>
      <c r="E370" s="6">
        <f t="shared" si="407"/>
        <v>0</v>
      </c>
      <c r="F370" s="6">
        <f t="shared" si="408"/>
        <v>0</v>
      </c>
      <c r="G370" s="6">
        <f t="shared" si="409"/>
        <v>8962.2000000000007</v>
      </c>
      <c r="H370" s="6">
        <f t="shared" si="410"/>
        <v>8962.2000000000007</v>
      </c>
      <c r="I370" s="6">
        <f t="shared" si="411"/>
        <v>8962.2000000000007</v>
      </c>
      <c r="J370" s="6">
        <f t="shared" si="412"/>
        <v>8962.2000000000007</v>
      </c>
      <c r="K370" s="82"/>
      <c r="L370" s="165">
        <f t="shared" ref="L370" si="419">SUM(J370)</f>
        <v>8962.2000000000007</v>
      </c>
      <c r="N370" s="75"/>
      <c r="O370" s="76">
        <f t="shared" si="413"/>
        <v>1.149</v>
      </c>
      <c r="P370" s="77">
        <f t="shared" si="414"/>
        <v>0</v>
      </c>
      <c r="Q370" s="78">
        <f t="shared" si="348"/>
        <v>0</v>
      </c>
      <c r="R370" s="78"/>
      <c r="S370" s="79">
        <v>7800</v>
      </c>
      <c r="T370" s="80">
        <f t="shared" si="415"/>
        <v>1.149</v>
      </c>
      <c r="U370" s="79">
        <f t="shared" si="416"/>
        <v>8962.2000000000007</v>
      </c>
      <c r="V370">
        <f t="shared" si="349"/>
        <v>7800</v>
      </c>
    </row>
    <row r="371" spans="1:22">
      <c r="A371" s="4"/>
      <c r="B371" s="5" t="s">
        <v>341</v>
      </c>
      <c r="C371" s="4" t="s">
        <v>332</v>
      </c>
      <c r="D371" s="6">
        <v>1</v>
      </c>
      <c r="E371" s="6">
        <f t="shared" si="407"/>
        <v>5000</v>
      </c>
      <c r="F371" s="6">
        <f t="shared" si="408"/>
        <v>5000</v>
      </c>
      <c r="G371" s="6">
        <f t="shared" si="409"/>
        <v>0</v>
      </c>
      <c r="H371" s="6">
        <f t="shared" si="410"/>
        <v>0</v>
      </c>
      <c r="I371" s="6">
        <f t="shared" si="411"/>
        <v>5000</v>
      </c>
      <c r="J371" s="6">
        <f t="shared" si="412"/>
        <v>5000</v>
      </c>
      <c r="K371" s="82"/>
      <c r="L371" s="24"/>
      <c r="N371" s="75">
        <v>12000</v>
      </c>
      <c r="O371" s="76">
        <f t="shared" si="413"/>
        <v>1.149</v>
      </c>
      <c r="P371" s="77">
        <v>5000</v>
      </c>
      <c r="Q371" s="78">
        <f t="shared" si="348"/>
        <v>12000</v>
      </c>
      <c r="R371" s="78"/>
      <c r="S371" s="79"/>
      <c r="T371" s="80">
        <f t="shared" si="415"/>
        <v>1.149</v>
      </c>
      <c r="U371" s="79">
        <f t="shared" si="416"/>
        <v>0</v>
      </c>
      <c r="V371">
        <f t="shared" si="349"/>
        <v>0</v>
      </c>
    </row>
    <row r="372" spans="1:22">
      <c r="A372" s="13"/>
      <c r="B372" s="14" t="s">
        <v>342</v>
      </c>
      <c r="C372" s="13" t="s">
        <v>26</v>
      </c>
      <c r="D372" s="15"/>
      <c r="E372" s="15">
        <f t="shared" si="407"/>
        <v>0</v>
      </c>
      <c r="F372" s="15">
        <f t="shared" si="408"/>
        <v>0</v>
      </c>
      <c r="G372" s="15">
        <f t="shared" si="409"/>
        <v>0</v>
      </c>
      <c r="H372" s="15">
        <f t="shared" si="410"/>
        <v>0</v>
      </c>
      <c r="I372" s="15">
        <f t="shared" si="411"/>
        <v>0</v>
      </c>
      <c r="J372" s="15">
        <f>SUM(J362:J371)</f>
        <v>129436.7</v>
      </c>
      <c r="K372" s="82"/>
      <c r="L372" s="24"/>
      <c r="N372" s="75"/>
      <c r="O372" s="76">
        <f t="shared" si="413"/>
        <v>1.149</v>
      </c>
      <c r="P372" s="77">
        <f t="shared" si="414"/>
        <v>0</v>
      </c>
      <c r="Q372" s="78">
        <f t="shared" si="348"/>
        <v>0</v>
      </c>
      <c r="R372" s="78"/>
      <c r="S372" s="79"/>
      <c r="T372" s="80">
        <f t="shared" si="415"/>
        <v>1.149</v>
      </c>
      <c r="U372" s="79">
        <f t="shared" si="416"/>
        <v>0</v>
      </c>
      <c r="V372">
        <f t="shared" si="349"/>
        <v>0</v>
      </c>
    </row>
    <row r="373" spans="1:22">
      <c r="A373" s="4"/>
      <c r="B373" s="5" t="s">
        <v>26</v>
      </c>
      <c r="C373" s="4" t="s">
        <v>26</v>
      </c>
      <c r="D373" s="6"/>
      <c r="E373" s="6"/>
      <c r="F373" s="6"/>
      <c r="G373" s="6"/>
      <c r="H373" s="6"/>
      <c r="I373" s="6"/>
      <c r="J373" s="6"/>
      <c r="K373" s="82"/>
      <c r="L373" s="24"/>
      <c r="Q373" s="78">
        <f t="shared" si="348"/>
        <v>0</v>
      </c>
      <c r="V373">
        <f t="shared" si="349"/>
        <v>0</v>
      </c>
    </row>
    <row r="374" spans="1:22" ht="24">
      <c r="A374" s="16"/>
      <c r="B374" s="17" t="s">
        <v>343</v>
      </c>
      <c r="C374" s="16" t="s">
        <v>26</v>
      </c>
      <c r="D374" s="18"/>
      <c r="E374" s="18"/>
      <c r="F374" s="18">
        <f>SUM(F33,F121:F138,F140,F142:F192,F194,F196:F198,F200,F202:F226,F228,F230:F246,F248,F250:F278,F280,F282:F290,F292,F294:F327,F329,F331:F350,F352,F354:F357,F359,F361:F371,F373:F373)</f>
        <v>1433878.4079941078</v>
      </c>
      <c r="G374" s="18"/>
      <c r="H374" s="18">
        <f>SUM(H33,H121:H138,H140,H142:H192,H194,H196:H198,H200,H202:H226,H228,H230:H246,H248,H250:H278,H280,H282:H290,H292,H294:H327,H329,H331:H350,H352,H354:H357,H359,H361:H371,H373:H373)</f>
        <v>1280486.9640000002</v>
      </c>
      <c r="I374" s="18"/>
      <c r="J374" s="18">
        <f>SUM(J372,J358,J351,J328,J291,J279,J247,J227,J199,J193,J139,J118,J81,J28)</f>
        <v>3406693.2537941071</v>
      </c>
      <c r="K374" s="82"/>
      <c r="L374" s="24"/>
      <c r="Q374" s="78">
        <f t="shared" si="348"/>
        <v>0</v>
      </c>
      <c r="V374">
        <f t="shared" si="349"/>
        <v>0</v>
      </c>
    </row>
    <row r="375" spans="1:22">
      <c r="A375" s="4"/>
      <c r="B375" s="5" t="s">
        <v>26</v>
      </c>
      <c r="C375" s="4" t="s">
        <v>26</v>
      </c>
      <c r="D375" s="6"/>
      <c r="E375" s="6"/>
      <c r="F375" s="6"/>
      <c r="G375" s="6"/>
      <c r="H375" s="6"/>
      <c r="I375" s="6"/>
      <c r="J375" s="6"/>
      <c r="K375" s="82"/>
      <c r="L375" s="24"/>
      <c r="Q375" s="78">
        <f t="shared" si="348"/>
        <v>0</v>
      </c>
      <c r="V375">
        <f t="shared" si="349"/>
        <v>0</v>
      </c>
    </row>
    <row r="376" spans="1:22">
      <c r="A376" s="4"/>
      <c r="B376" s="5" t="s">
        <v>344</v>
      </c>
      <c r="C376" s="4" t="s">
        <v>332</v>
      </c>
      <c r="D376" s="6">
        <v>1</v>
      </c>
      <c r="E376" s="6">
        <f>SUM(P376)</f>
        <v>0</v>
      </c>
      <c r="F376" s="6">
        <f t="shared" ref="F376" si="420">D376*E376</f>
        <v>0</v>
      </c>
      <c r="G376" s="6">
        <f>SUM(U376)</f>
        <v>78285.810972188585</v>
      </c>
      <c r="H376" s="6">
        <f t="shared" ref="H376" si="421">D376*G376</f>
        <v>78285.810972188585</v>
      </c>
      <c r="I376" s="6">
        <f t="shared" ref="I376:J376" si="422">E376+G376</f>
        <v>78285.810972188585</v>
      </c>
      <c r="J376" s="6">
        <f t="shared" si="422"/>
        <v>78285.810972188585</v>
      </c>
      <c r="K376" s="82"/>
      <c r="L376" s="165">
        <f t="shared" ref="L376" si="423">SUM(J376)</f>
        <v>78285.810972188585</v>
      </c>
      <c r="N376" s="75"/>
      <c r="O376" s="76">
        <f>$O$1</f>
        <v>1.149</v>
      </c>
      <c r="P376" s="77">
        <f>SUM(O376*N376)</f>
        <v>0</v>
      </c>
      <c r="Q376" s="78">
        <f t="shared" si="348"/>
        <v>0</v>
      </c>
      <c r="R376" s="78"/>
      <c r="S376" s="79">
        <f>SUM(J374*0.02)</f>
        <v>68133.865075882146</v>
      </c>
      <c r="T376" s="80">
        <f>$T$1</f>
        <v>1.149</v>
      </c>
      <c r="U376" s="79">
        <f>SUM(T376*S376)</f>
        <v>78285.810972188585</v>
      </c>
      <c r="V376">
        <f t="shared" si="349"/>
        <v>68133.865075882146</v>
      </c>
    </row>
    <row r="377" spans="1:22">
      <c r="A377" s="7"/>
      <c r="B377" s="8" t="s">
        <v>345</v>
      </c>
      <c r="C377" s="7" t="s">
        <v>26</v>
      </c>
      <c r="D377" s="9"/>
      <c r="E377" s="9"/>
      <c r="F377" s="9">
        <f>SUM(F32,F33,F121:F138,F140,F142:F192,F194,F196:F198,F200,F202:F226,F228,F230:F246,F248,F250:F278,F280,F282:F290,F292,F294:F327,F329,F331:F350,F352,F354:F357,F359,F361:F371,F373,F375:F376)</f>
        <v>1433878.4079941078</v>
      </c>
      <c r="G377" s="9"/>
      <c r="H377" s="9">
        <f>SUM(H31,H33,H121:H138,H140,H142:H192,H194,H196:H198,H200,H202:H226,H228,H230:H246,H248,H250:H278,H280,H282:H290,H292,H294:H327,H329,H331:H350,H352,H354:H357,H359,H361:H371,H373,H375:H376)</f>
        <v>1358772.7749721888</v>
      </c>
      <c r="I377" s="9"/>
      <c r="J377" s="9">
        <f>SUM(J374+J376)</f>
        <v>3484979.0647662957</v>
      </c>
      <c r="K377" s="82"/>
      <c r="L377" s="24"/>
      <c r="Q377" s="78">
        <f t="shared" si="348"/>
        <v>0</v>
      </c>
      <c r="V377">
        <f t="shared" si="349"/>
        <v>0</v>
      </c>
    </row>
    <row r="378" spans="1:22">
      <c r="A378" s="4"/>
      <c r="B378" s="5" t="s">
        <v>26</v>
      </c>
      <c r="C378" s="4" t="s">
        <v>26</v>
      </c>
      <c r="D378" s="6"/>
      <c r="E378" s="6"/>
      <c r="F378" s="6"/>
      <c r="G378" s="6"/>
      <c r="H378" s="6"/>
      <c r="I378" s="6"/>
      <c r="J378" s="6"/>
      <c r="K378" s="82"/>
      <c r="L378" s="24"/>
      <c r="Q378" s="78">
        <f t="shared" si="348"/>
        <v>0</v>
      </c>
      <c r="V378">
        <f t="shared" si="349"/>
        <v>0</v>
      </c>
    </row>
    <row r="379" spans="1:22">
      <c r="A379" s="7"/>
      <c r="B379" s="8" t="s">
        <v>346</v>
      </c>
      <c r="C379" s="7" t="s">
        <v>26</v>
      </c>
      <c r="D379" s="9"/>
      <c r="E379" s="9"/>
      <c r="F379" s="9"/>
      <c r="G379" s="9"/>
      <c r="H379" s="9"/>
      <c r="I379" s="9"/>
      <c r="J379" s="9"/>
      <c r="K379" s="82"/>
      <c r="L379" s="24"/>
      <c r="Q379" s="78">
        <f t="shared" si="348"/>
        <v>0</v>
      </c>
      <c r="V379">
        <f t="shared" si="349"/>
        <v>0</v>
      </c>
    </row>
    <row r="380" spans="1:22">
      <c r="A380" s="4"/>
      <c r="B380" s="5" t="s">
        <v>26</v>
      </c>
      <c r="C380" s="4" t="s">
        <v>26</v>
      </c>
      <c r="D380" s="6"/>
      <c r="E380" s="6"/>
      <c r="F380" s="6"/>
      <c r="G380" s="6"/>
      <c r="H380" s="6"/>
      <c r="I380" s="6"/>
      <c r="J380" s="6"/>
      <c r="K380" s="82"/>
      <c r="L380" s="24"/>
      <c r="Q380" s="78">
        <f t="shared" si="348"/>
        <v>0</v>
      </c>
      <c r="V380">
        <f t="shared" si="349"/>
        <v>0</v>
      </c>
    </row>
    <row r="381" spans="1:22">
      <c r="A381" s="10"/>
      <c r="B381" s="11" t="s">
        <v>347</v>
      </c>
      <c r="C381" s="10" t="s">
        <v>26</v>
      </c>
      <c r="D381" s="12"/>
      <c r="E381" s="12"/>
      <c r="F381" s="12"/>
      <c r="G381" s="12"/>
      <c r="H381" s="12"/>
      <c r="I381" s="12"/>
      <c r="J381" s="12"/>
      <c r="K381" s="82"/>
      <c r="L381" s="24"/>
      <c r="Q381" s="78">
        <f t="shared" si="348"/>
        <v>0</v>
      </c>
      <c r="V381">
        <f t="shared" si="349"/>
        <v>0</v>
      </c>
    </row>
    <row r="382" spans="1:22">
      <c r="A382" s="19"/>
      <c r="B382" s="20" t="s">
        <v>348</v>
      </c>
      <c r="C382" s="19" t="s">
        <v>26</v>
      </c>
      <c r="D382" s="21"/>
      <c r="E382" s="21"/>
      <c r="F382" s="21"/>
      <c r="G382" s="21"/>
      <c r="H382" s="21"/>
      <c r="I382" s="21"/>
      <c r="J382" s="21"/>
      <c r="K382" s="82"/>
      <c r="L382" s="24"/>
      <c r="Q382" s="78">
        <f t="shared" si="348"/>
        <v>0</v>
      </c>
      <c r="V382">
        <f t="shared" si="349"/>
        <v>0</v>
      </c>
    </row>
    <row r="383" spans="1:22">
      <c r="A383" s="4"/>
      <c r="B383" s="5" t="s">
        <v>349</v>
      </c>
      <c r="C383" s="4" t="s">
        <v>188</v>
      </c>
      <c r="D383" s="6">
        <v>650</v>
      </c>
      <c r="E383" s="6">
        <f>SUM(P383)</f>
        <v>0</v>
      </c>
      <c r="F383" s="6">
        <f t="shared" ref="F383" si="424">D383*E383</f>
        <v>0</v>
      </c>
      <c r="G383" s="6">
        <f>SUM(U383)</f>
        <v>0</v>
      </c>
      <c r="H383" s="6">
        <f t="shared" ref="H383" si="425">D383*G383</f>
        <v>0</v>
      </c>
      <c r="I383" s="6">
        <f t="shared" ref="I383" si="426">E383+G383</f>
        <v>0</v>
      </c>
      <c r="J383" s="6">
        <f t="shared" ref="J383" si="427">F383+H383</f>
        <v>0</v>
      </c>
      <c r="K383" s="83"/>
      <c r="L383" s="24"/>
      <c r="N383" s="75"/>
      <c r="O383" s="76">
        <f>$O$1</f>
        <v>1.149</v>
      </c>
      <c r="P383" s="77">
        <f>SUM(O383*N383)</f>
        <v>0</v>
      </c>
      <c r="Q383" s="78">
        <f t="shared" si="348"/>
        <v>0</v>
      </c>
      <c r="R383" s="78"/>
      <c r="S383" s="79"/>
      <c r="T383" s="80">
        <f>$T$1</f>
        <v>1.149</v>
      </c>
      <c r="U383" s="79">
        <f>SUM(T383*S383)</f>
        <v>0</v>
      </c>
      <c r="V383">
        <f t="shared" si="349"/>
        <v>0</v>
      </c>
    </row>
    <row r="384" spans="1:22">
      <c r="A384" s="19"/>
      <c r="B384" s="20" t="s">
        <v>350</v>
      </c>
      <c r="C384" s="19" t="s">
        <v>26</v>
      </c>
      <c r="D384" s="21"/>
      <c r="E384" s="21"/>
      <c r="F384" s="21"/>
      <c r="G384" s="21"/>
      <c r="H384" s="21"/>
      <c r="I384" s="21"/>
      <c r="J384" s="21"/>
      <c r="K384" s="82"/>
      <c r="L384" s="24"/>
      <c r="Q384" s="78">
        <f t="shared" si="348"/>
        <v>0</v>
      </c>
      <c r="V384">
        <f t="shared" si="349"/>
        <v>0</v>
      </c>
    </row>
    <row r="385" spans="1:24">
      <c r="A385" s="4"/>
      <c r="B385" s="5" t="s">
        <v>349</v>
      </c>
      <c r="C385" s="4" t="s">
        <v>188</v>
      </c>
      <c r="D385" s="6">
        <v>650</v>
      </c>
      <c r="E385" s="6">
        <f>SUM(P385)</f>
        <v>0</v>
      </c>
      <c r="F385" s="6">
        <f t="shared" ref="F385" si="428">D385*E385</f>
        <v>0</v>
      </c>
      <c r="G385" s="6">
        <f>SUM(U385)</f>
        <v>0</v>
      </c>
      <c r="H385" s="6">
        <f t="shared" ref="H385" si="429">D385*G385</f>
        <v>0</v>
      </c>
      <c r="I385" s="6">
        <f t="shared" ref="I385" si="430">E385+G385</f>
        <v>0</v>
      </c>
      <c r="J385" s="6">
        <f t="shared" ref="J385" si="431">F385+H385</f>
        <v>0</v>
      </c>
      <c r="K385" s="83"/>
      <c r="L385" s="24"/>
      <c r="N385" s="75"/>
      <c r="O385" s="76">
        <f>$O$1</f>
        <v>1.149</v>
      </c>
      <c r="P385" s="77">
        <f>SUM(O385*N385)</f>
        <v>0</v>
      </c>
      <c r="Q385" s="78">
        <f t="shared" si="348"/>
        <v>0</v>
      </c>
      <c r="R385" s="78"/>
      <c r="S385" s="79"/>
      <c r="T385" s="80">
        <f>$T$1</f>
        <v>1.149</v>
      </c>
      <c r="U385" s="79">
        <f>SUM(T385*S385)</f>
        <v>0</v>
      </c>
      <c r="V385">
        <f t="shared" si="349"/>
        <v>0</v>
      </c>
    </row>
    <row r="386" spans="1:24">
      <c r="A386" s="10"/>
      <c r="B386" s="11" t="s">
        <v>351</v>
      </c>
      <c r="C386" s="10" t="s">
        <v>26</v>
      </c>
      <c r="D386" s="12"/>
      <c r="E386" s="12"/>
      <c r="F386" s="12">
        <f>SUM(F382:F385)</f>
        <v>0</v>
      </c>
      <c r="G386" s="12"/>
      <c r="H386" s="12">
        <f>SUM(H382:H385)</f>
        <v>0</v>
      </c>
      <c r="I386" s="12"/>
      <c r="J386" s="12">
        <f>SUM(J382:J385)</f>
        <v>0</v>
      </c>
      <c r="K386" s="82"/>
      <c r="L386" s="24"/>
      <c r="Q386" s="78">
        <f t="shared" si="348"/>
        <v>0</v>
      </c>
      <c r="V386">
        <f t="shared" si="349"/>
        <v>0</v>
      </c>
    </row>
    <row r="387" spans="1:24">
      <c r="A387" s="4"/>
      <c r="B387" s="5" t="s">
        <v>26</v>
      </c>
      <c r="C387" s="4" t="s">
        <v>26</v>
      </c>
      <c r="D387" s="6"/>
      <c r="E387" s="6"/>
      <c r="F387" s="6"/>
      <c r="G387" s="6"/>
      <c r="H387" s="6"/>
      <c r="I387" s="6"/>
      <c r="J387" s="6"/>
      <c r="K387" s="82"/>
      <c r="L387" s="24"/>
      <c r="Q387" s="78">
        <f t="shared" si="348"/>
        <v>0</v>
      </c>
      <c r="V387">
        <f t="shared" si="349"/>
        <v>0</v>
      </c>
    </row>
    <row r="388" spans="1:24">
      <c r="A388" s="7"/>
      <c r="B388" s="8" t="s">
        <v>352</v>
      </c>
      <c r="C388" s="7" t="s">
        <v>26</v>
      </c>
      <c r="D388" s="9"/>
      <c r="E388" s="9"/>
      <c r="F388" s="9">
        <f>SUM(F380,F382:F385,F387:F387)</f>
        <v>0</v>
      </c>
      <c r="G388" s="9"/>
      <c r="H388" s="9">
        <f>SUM(H380,H382:H385,H387:H387)</f>
        <v>0</v>
      </c>
      <c r="I388" s="9"/>
      <c r="J388" s="9">
        <f>SUM(J380,J382:J385,J387:J387)</f>
        <v>0</v>
      </c>
      <c r="K388" s="82"/>
      <c r="L388" s="24"/>
      <c r="Q388" s="78">
        <f t="shared" si="348"/>
        <v>0</v>
      </c>
      <c r="V388">
        <f t="shared" si="349"/>
        <v>0</v>
      </c>
    </row>
    <row r="389" spans="1:24">
      <c r="A389" s="4"/>
      <c r="B389" s="5" t="s">
        <v>26</v>
      </c>
      <c r="C389" s="4" t="s">
        <v>26</v>
      </c>
      <c r="D389" s="6"/>
      <c r="E389" s="6"/>
      <c r="F389" s="6"/>
      <c r="G389" s="6"/>
      <c r="H389" s="6"/>
      <c r="I389" s="6"/>
      <c r="J389" s="6"/>
      <c r="K389" s="82"/>
      <c r="L389" s="24"/>
      <c r="Q389" s="78">
        <f t="shared" si="348"/>
        <v>0</v>
      </c>
      <c r="V389">
        <f t="shared" si="349"/>
        <v>0</v>
      </c>
    </row>
    <row r="390" spans="1:24">
      <c r="B390" s="11" t="s">
        <v>353</v>
      </c>
      <c r="C390" s="10"/>
      <c r="D390" s="12"/>
      <c r="E390" s="12"/>
      <c r="F390" s="12"/>
      <c r="G390" s="12"/>
      <c r="H390" s="12"/>
      <c r="I390" s="12"/>
      <c r="J390" s="12">
        <v>0</v>
      </c>
      <c r="K390" s="84"/>
      <c r="O390" s="279" t="s">
        <v>354</v>
      </c>
      <c r="P390" s="279"/>
      <c r="Q390" s="160">
        <f>SUM(Q8:Q389)</f>
        <v>1694004.3411611032</v>
      </c>
      <c r="T390" s="279" t="s">
        <v>355</v>
      </c>
      <c r="U390" s="279"/>
      <c r="V390" s="160">
        <f>SUM(V8:V389)</f>
        <v>1346698.065075882</v>
      </c>
    </row>
    <row r="393" spans="1:24" ht="18.45">
      <c r="B393" s="33" t="s">
        <v>356</v>
      </c>
      <c r="C393" s="34"/>
      <c r="D393" s="35"/>
      <c r="E393" s="35"/>
      <c r="F393" s="35"/>
      <c r="G393" s="35"/>
      <c r="H393" s="35"/>
      <c r="I393" s="35"/>
      <c r="J393" s="35">
        <f>SUM(J377)</f>
        <v>3484979.0647662957</v>
      </c>
      <c r="R393" s="280">
        <f>SUM(Q390,V390)</f>
        <v>3040702.4062369852</v>
      </c>
      <c r="S393" s="281"/>
      <c r="T393" s="281"/>
      <c r="U393" s="163"/>
      <c r="V393" s="164">
        <f>SUM(1-(R393/J393))</f>
        <v>0.12748330772515093</v>
      </c>
    </row>
    <row r="394" spans="1:24">
      <c r="L394" s="166">
        <f>SUM(L2:L390)</f>
        <v>188113.7349721886</v>
      </c>
      <c r="S394" s="166">
        <f>SUM(J393-R393)</f>
        <v>444276.65852931049</v>
      </c>
      <c r="W394" s="166">
        <f>SUM(L394:U394)</f>
        <v>632390.39350149909</v>
      </c>
      <c r="X394" t="s">
        <v>357</v>
      </c>
    </row>
    <row r="395" spans="1:24">
      <c r="L395" s="167" t="s">
        <v>358</v>
      </c>
      <c r="S395" s="167" t="s">
        <v>359</v>
      </c>
    </row>
    <row r="396" spans="1:24">
      <c r="L396" s="167" t="s">
        <v>360</v>
      </c>
    </row>
  </sheetData>
  <mergeCells count="3">
    <mergeCell ref="O390:P390"/>
    <mergeCell ref="T390:U390"/>
    <mergeCell ref="R393:T393"/>
  </mergeCells>
  <pageMargins left="0.7" right="0.7" top="0.78740157499999996" bottom="0.78740157499999996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6C0B-99F8-4136-9D54-2228907DD963}">
  <dimension ref="A1:R348"/>
  <sheetViews>
    <sheetView topLeftCell="A59" zoomScale="85" zoomScaleNormal="85" workbookViewId="0">
      <selection activeCell="C70" sqref="C70:F70"/>
    </sheetView>
  </sheetViews>
  <sheetFormatPr defaultColWidth="84" defaultRowHeight="14.6" outlineLevelCol="1"/>
  <cols>
    <col min="1" max="1" width="3.3046875" style="73" bestFit="1" customWidth="1"/>
    <col min="2" max="2" width="40.07421875" style="73" customWidth="1"/>
    <col min="3" max="3" width="52.69140625" style="73" customWidth="1"/>
    <col min="4" max="4" width="4.3046875" style="73" hidden="1" customWidth="1" outlineLevel="1"/>
    <col min="5" max="5" width="8.3046875" style="205" hidden="1" customWidth="1" outlineLevel="1"/>
    <col min="6" max="6" width="11.3046875" style="205" customWidth="1" collapsed="1"/>
    <col min="7" max="7" width="4.69140625" style="201" bestFit="1" customWidth="1"/>
    <col min="8" max="8" width="11.53515625" style="196" bestFit="1" customWidth="1"/>
    <col min="9" max="9" width="17.3046875" style="196" customWidth="1"/>
    <col min="10" max="10" width="2.69140625" style="73" customWidth="1"/>
    <col min="11" max="11" width="8.53515625" style="73" customWidth="1"/>
    <col min="12" max="12" width="12.07421875" style="73" customWidth="1" outlineLevel="1"/>
    <col min="13" max="13" width="8.84375" style="73" customWidth="1" outlineLevel="1"/>
    <col min="14" max="14" width="12" style="73" customWidth="1" outlineLevel="1"/>
    <col min="15" max="15" width="8.84375" style="73" customWidth="1"/>
    <col min="16" max="16" width="11.3046875" style="73" bestFit="1" customWidth="1"/>
    <col min="17" max="17" width="8.84375" style="73" bestFit="1" customWidth="1"/>
    <col min="18" max="18" width="11.3046875" style="73" bestFit="1" customWidth="1"/>
    <col min="19" max="16384" width="84" style="73"/>
  </cols>
  <sheetData>
    <row r="1" spans="1:18">
      <c r="A1" s="192"/>
      <c r="B1" s="192"/>
      <c r="C1" s="192"/>
      <c r="D1" s="193"/>
      <c r="E1" s="194"/>
      <c r="F1" s="194"/>
      <c r="G1" s="195"/>
      <c r="L1" s="197"/>
      <c r="M1" s="74">
        <v>1.149</v>
      </c>
      <c r="N1" s="197"/>
      <c r="O1" s="90"/>
      <c r="P1" s="197"/>
      <c r="Q1" s="91">
        <v>1.149</v>
      </c>
      <c r="R1" s="197"/>
    </row>
    <row r="2" spans="1:18" ht="15.45">
      <c r="A2" s="198"/>
      <c r="B2" s="199"/>
      <c r="C2" s="199"/>
      <c r="D2" s="199"/>
      <c r="E2" s="200"/>
      <c r="F2" s="200"/>
      <c r="H2" s="202"/>
      <c r="I2" s="203"/>
      <c r="L2" s="92" t="s">
        <v>27</v>
      </c>
      <c r="M2" s="93" t="s">
        <v>28</v>
      </c>
      <c r="N2" s="92" t="s">
        <v>29</v>
      </c>
      <c r="O2" s="90"/>
      <c r="P2" s="94" t="s">
        <v>30</v>
      </c>
      <c r="Q2" s="95" t="s">
        <v>28</v>
      </c>
      <c r="R2" s="94" t="s">
        <v>31</v>
      </c>
    </row>
    <row r="3" spans="1:18" ht="15.45">
      <c r="C3" s="204" t="s">
        <v>361</v>
      </c>
      <c r="H3" s="206"/>
      <c r="I3" s="207"/>
      <c r="L3" s="93"/>
      <c r="M3" s="93"/>
      <c r="N3" s="93"/>
      <c r="P3" s="95"/>
      <c r="Q3" s="95"/>
      <c r="R3" s="95"/>
    </row>
    <row r="4" spans="1:18" ht="24">
      <c r="A4" s="208" t="s">
        <v>362</v>
      </c>
      <c r="B4" s="208" t="s">
        <v>363</v>
      </c>
      <c r="C4" s="208" t="s">
        <v>364</v>
      </c>
      <c r="D4" s="209" t="s">
        <v>951</v>
      </c>
      <c r="E4" s="210" t="s">
        <v>952</v>
      </c>
      <c r="F4" s="211" t="s">
        <v>953</v>
      </c>
      <c r="G4" s="212" t="s">
        <v>18</v>
      </c>
      <c r="H4" s="213" t="s">
        <v>954</v>
      </c>
      <c r="I4" s="214" t="s">
        <v>955</v>
      </c>
      <c r="L4" s="93"/>
      <c r="M4" s="93"/>
      <c r="N4" s="93"/>
      <c r="P4" s="95"/>
      <c r="Q4" s="95"/>
      <c r="R4" s="95"/>
    </row>
    <row r="5" spans="1:18">
      <c r="A5" s="215">
        <v>1</v>
      </c>
      <c r="B5" s="215" t="s">
        <v>367</v>
      </c>
      <c r="C5" s="215" t="s">
        <v>368</v>
      </c>
      <c r="D5" s="216">
        <v>5</v>
      </c>
      <c r="E5" s="217"/>
      <c r="F5" s="216">
        <f>D5</f>
        <v>5</v>
      </c>
      <c r="G5" s="218" t="s">
        <v>36</v>
      </c>
      <c r="H5" s="196">
        <f>N5+R5</f>
        <v>64.229100000000003</v>
      </c>
      <c r="I5" s="196">
        <f>H5*F5</f>
        <v>321.14550000000003</v>
      </c>
      <c r="L5" s="93">
        <v>10.9</v>
      </c>
      <c r="M5" s="93">
        <f>$M$1</f>
        <v>1.149</v>
      </c>
      <c r="N5" s="93">
        <f>L5*M5</f>
        <v>12.524100000000001</v>
      </c>
      <c r="P5" s="95">
        <v>45</v>
      </c>
      <c r="Q5" s="95">
        <f>Q$1</f>
        <v>1.149</v>
      </c>
      <c r="R5" s="95">
        <f>P5*Q5</f>
        <v>51.704999999999998</v>
      </c>
    </row>
    <row r="6" spans="1:18">
      <c r="A6" s="215">
        <v>2</v>
      </c>
      <c r="B6" s="215" t="s">
        <v>369</v>
      </c>
      <c r="C6" s="215" t="s">
        <v>370</v>
      </c>
      <c r="D6" s="216">
        <v>5</v>
      </c>
      <c r="E6" s="217"/>
      <c r="F6" s="216">
        <f t="shared" ref="F6:F8" si="0">D6</f>
        <v>5</v>
      </c>
      <c r="G6" s="218" t="s">
        <v>36</v>
      </c>
      <c r="H6" s="196">
        <f t="shared" ref="H6:H46" si="1">N6+R6</f>
        <v>172.35</v>
      </c>
      <c r="I6" s="196">
        <f t="shared" ref="I6:I46" si="2">H6*F6</f>
        <v>861.75</v>
      </c>
      <c r="L6" s="93"/>
      <c r="M6" s="93">
        <f t="shared" ref="M6:M65" si="3">$M$1</f>
        <v>1.149</v>
      </c>
      <c r="N6" s="93">
        <f t="shared" ref="N6:N65" si="4">L6*M6</f>
        <v>0</v>
      </c>
      <c r="P6" s="95">
        <v>150</v>
      </c>
      <c r="Q6" s="95">
        <f t="shared" ref="Q6:Q65" si="5">Q$1</f>
        <v>1.149</v>
      </c>
      <c r="R6" s="95">
        <f t="shared" ref="R6:R65" si="6">P6*Q6</f>
        <v>172.35</v>
      </c>
    </row>
    <row r="7" spans="1:18">
      <c r="A7" s="215">
        <v>3</v>
      </c>
      <c r="B7" s="215" t="s">
        <v>371</v>
      </c>
      <c r="C7" s="215" t="s">
        <v>372</v>
      </c>
      <c r="D7" s="216">
        <v>245</v>
      </c>
      <c r="E7" s="217"/>
      <c r="F7" s="216">
        <f t="shared" si="0"/>
        <v>245</v>
      </c>
      <c r="G7" s="218" t="s">
        <v>188</v>
      </c>
      <c r="H7" s="196">
        <f t="shared" si="1"/>
        <v>18.958500000000001</v>
      </c>
      <c r="I7" s="196">
        <f t="shared" si="2"/>
        <v>4644.8325000000004</v>
      </c>
      <c r="L7" s="93">
        <v>16.5</v>
      </c>
      <c r="M7" s="93">
        <f t="shared" si="3"/>
        <v>1.149</v>
      </c>
      <c r="N7" s="93">
        <f t="shared" si="4"/>
        <v>18.958500000000001</v>
      </c>
      <c r="P7" s="95"/>
      <c r="Q7" s="95">
        <f t="shared" si="5"/>
        <v>1.149</v>
      </c>
      <c r="R7" s="95">
        <f t="shared" si="6"/>
        <v>0</v>
      </c>
    </row>
    <row r="8" spans="1:18">
      <c r="A8" s="215">
        <v>4</v>
      </c>
      <c r="B8" s="215" t="s">
        <v>373</v>
      </c>
      <c r="C8" s="215" t="s">
        <v>374</v>
      </c>
      <c r="D8" s="216">
        <v>245</v>
      </c>
      <c r="E8" s="217"/>
      <c r="F8" s="216">
        <f t="shared" si="0"/>
        <v>245</v>
      </c>
      <c r="G8" s="218" t="s">
        <v>188</v>
      </c>
      <c r="H8" s="196">
        <f t="shared" si="1"/>
        <v>20.682000000000002</v>
      </c>
      <c r="I8" s="196">
        <f t="shared" si="2"/>
        <v>5067.09</v>
      </c>
      <c r="L8" s="93">
        <v>18</v>
      </c>
      <c r="M8" s="93">
        <f t="shared" si="3"/>
        <v>1.149</v>
      </c>
      <c r="N8" s="93">
        <f t="shared" si="4"/>
        <v>20.682000000000002</v>
      </c>
      <c r="P8" s="95"/>
      <c r="Q8" s="95">
        <f t="shared" si="5"/>
        <v>1.149</v>
      </c>
      <c r="R8" s="95">
        <f t="shared" si="6"/>
        <v>0</v>
      </c>
    </row>
    <row r="9" spans="1:18">
      <c r="A9" s="215">
        <v>5</v>
      </c>
      <c r="B9" s="215" t="s">
        <v>375</v>
      </c>
      <c r="C9" s="215" t="s">
        <v>376</v>
      </c>
      <c r="D9" s="216">
        <v>124</v>
      </c>
      <c r="E9" s="217">
        <v>24</v>
      </c>
      <c r="F9" s="217">
        <f>D9+E9</f>
        <v>148</v>
      </c>
      <c r="G9" s="218" t="s">
        <v>36</v>
      </c>
      <c r="H9" s="196">
        <f t="shared" si="1"/>
        <v>5.4577499999999999</v>
      </c>
      <c r="I9" s="196">
        <f t="shared" si="2"/>
        <v>807.74699999999996</v>
      </c>
      <c r="L9" s="93">
        <v>4.75</v>
      </c>
      <c r="M9" s="93">
        <f t="shared" si="3"/>
        <v>1.149</v>
      </c>
      <c r="N9" s="93">
        <f t="shared" si="4"/>
        <v>5.4577499999999999</v>
      </c>
      <c r="P9" s="95"/>
      <c r="Q9" s="95">
        <f t="shared" si="5"/>
        <v>1.149</v>
      </c>
      <c r="R9" s="95">
        <f t="shared" si="6"/>
        <v>0</v>
      </c>
    </row>
    <row r="10" spans="1:18">
      <c r="A10" s="215">
        <v>6</v>
      </c>
      <c r="B10" s="215" t="s">
        <v>378</v>
      </c>
      <c r="C10" s="215" t="s">
        <v>379</v>
      </c>
      <c r="D10" s="216">
        <v>62</v>
      </c>
      <c r="E10" s="217">
        <v>12</v>
      </c>
      <c r="F10" s="217">
        <f>D10+E10</f>
        <v>74</v>
      </c>
      <c r="G10" s="218" t="s">
        <v>36</v>
      </c>
      <c r="H10" s="196">
        <f t="shared" si="1"/>
        <v>27.518550000000001</v>
      </c>
      <c r="I10" s="196">
        <f t="shared" si="2"/>
        <v>2036.3727000000001</v>
      </c>
      <c r="L10" s="93">
        <v>23.95</v>
      </c>
      <c r="M10" s="93">
        <f t="shared" si="3"/>
        <v>1.149</v>
      </c>
      <c r="N10" s="93">
        <f t="shared" si="4"/>
        <v>27.518550000000001</v>
      </c>
      <c r="P10" s="95"/>
      <c r="Q10" s="95">
        <f t="shared" si="5"/>
        <v>1.149</v>
      </c>
      <c r="R10" s="95">
        <f t="shared" si="6"/>
        <v>0</v>
      </c>
    </row>
    <row r="11" spans="1:18">
      <c r="A11" s="215">
        <v>7</v>
      </c>
      <c r="B11" s="215" t="s">
        <v>380</v>
      </c>
      <c r="C11" s="215" t="s">
        <v>381</v>
      </c>
      <c r="D11" s="216">
        <v>8</v>
      </c>
      <c r="E11" s="217"/>
      <c r="F11" s="216">
        <f t="shared" ref="F11:F13" si="7">D11</f>
        <v>8</v>
      </c>
      <c r="G11" s="218" t="s">
        <v>36</v>
      </c>
      <c r="H11" s="196">
        <f t="shared" si="1"/>
        <v>98.469300000000004</v>
      </c>
      <c r="I11" s="196">
        <f t="shared" si="2"/>
        <v>787.75440000000003</v>
      </c>
      <c r="L11" s="93">
        <v>85.7</v>
      </c>
      <c r="M11" s="93">
        <f t="shared" si="3"/>
        <v>1.149</v>
      </c>
      <c r="N11" s="93">
        <f t="shared" si="4"/>
        <v>98.469300000000004</v>
      </c>
      <c r="P11" s="95"/>
      <c r="Q11" s="95">
        <f t="shared" si="5"/>
        <v>1.149</v>
      </c>
      <c r="R11" s="95">
        <f t="shared" si="6"/>
        <v>0</v>
      </c>
    </row>
    <row r="12" spans="1:18">
      <c r="A12" s="215">
        <v>8</v>
      </c>
      <c r="B12" s="215" t="s">
        <v>382</v>
      </c>
      <c r="C12" s="215" t="s">
        <v>383</v>
      </c>
      <c r="D12" s="216">
        <v>8</v>
      </c>
      <c r="E12" s="217"/>
      <c r="F12" s="216">
        <f t="shared" si="7"/>
        <v>8</v>
      </c>
      <c r="G12" s="218" t="s">
        <v>36</v>
      </c>
      <c r="H12" s="196">
        <f t="shared" si="1"/>
        <v>303.56579999999997</v>
      </c>
      <c r="I12" s="196">
        <f t="shared" si="2"/>
        <v>2428.5263999999997</v>
      </c>
      <c r="L12" s="93">
        <v>264.2</v>
      </c>
      <c r="M12" s="93">
        <f t="shared" si="3"/>
        <v>1.149</v>
      </c>
      <c r="N12" s="93">
        <f t="shared" si="4"/>
        <v>303.56579999999997</v>
      </c>
      <c r="P12" s="95"/>
      <c r="Q12" s="95">
        <f t="shared" si="5"/>
        <v>1.149</v>
      </c>
      <c r="R12" s="95">
        <f t="shared" si="6"/>
        <v>0</v>
      </c>
    </row>
    <row r="13" spans="1:18">
      <c r="A13" s="215">
        <v>9</v>
      </c>
      <c r="B13" s="215" t="s">
        <v>384</v>
      </c>
      <c r="C13" s="215" t="s">
        <v>385</v>
      </c>
      <c r="D13" s="216">
        <v>44</v>
      </c>
      <c r="E13" s="217"/>
      <c r="F13" s="216">
        <f t="shared" si="7"/>
        <v>44</v>
      </c>
      <c r="G13" s="218" t="s">
        <v>36</v>
      </c>
      <c r="H13" s="196">
        <f t="shared" si="1"/>
        <v>100.67537999999999</v>
      </c>
      <c r="I13" s="196">
        <f t="shared" si="2"/>
        <v>4429.7167199999994</v>
      </c>
      <c r="L13" s="93">
        <v>42.62</v>
      </c>
      <c r="M13" s="93">
        <f t="shared" si="3"/>
        <v>1.149</v>
      </c>
      <c r="N13" s="93">
        <f t="shared" si="4"/>
        <v>48.970379999999999</v>
      </c>
      <c r="P13" s="95">
        <v>45</v>
      </c>
      <c r="Q13" s="95">
        <f t="shared" si="5"/>
        <v>1.149</v>
      </c>
      <c r="R13" s="95">
        <f t="shared" si="6"/>
        <v>51.704999999999998</v>
      </c>
    </row>
    <row r="14" spans="1:18">
      <c r="A14" s="215">
        <v>10</v>
      </c>
      <c r="B14" s="215" t="s">
        <v>386</v>
      </c>
      <c r="C14" s="215" t="s">
        <v>387</v>
      </c>
      <c r="D14" s="216">
        <v>202</v>
      </c>
      <c r="E14" s="217">
        <v>36</v>
      </c>
      <c r="F14" s="217">
        <f>D14+E14</f>
        <v>238</v>
      </c>
      <c r="G14" s="218" t="s">
        <v>36</v>
      </c>
      <c r="H14" s="196">
        <f t="shared" si="1"/>
        <v>10.341000000000001</v>
      </c>
      <c r="I14" s="196">
        <f t="shared" si="2"/>
        <v>2461.1580000000004</v>
      </c>
      <c r="L14" s="93"/>
      <c r="M14" s="93">
        <f t="shared" si="3"/>
        <v>1.149</v>
      </c>
      <c r="N14" s="93">
        <f t="shared" si="4"/>
        <v>0</v>
      </c>
      <c r="P14" s="95">
        <v>9</v>
      </c>
      <c r="Q14" s="95">
        <f t="shared" si="5"/>
        <v>1.149</v>
      </c>
      <c r="R14" s="95">
        <f t="shared" si="6"/>
        <v>10.341000000000001</v>
      </c>
    </row>
    <row r="15" spans="1:18">
      <c r="A15" s="215">
        <v>11</v>
      </c>
      <c r="B15" s="215" t="s">
        <v>388</v>
      </c>
      <c r="C15" s="215" t="s">
        <v>389</v>
      </c>
      <c r="D15" s="216">
        <v>186</v>
      </c>
      <c r="E15" s="217">
        <v>36</v>
      </c>
      <c r="F15" s="217">
        <f>D15+E15</f>
        <v>222</v>
      </c>
      <c r="G15" s="218" t="s">
        <v>36</v>
      </c>
      <c r="H15" s="196">
        <f t="shared" si="1"/>
        <v>4.5960000000000001</v>
      </c>
      <c r="I15" s="196">
        <f t="shared" si="2"/>
        <v>1020.312</v>
      </c>
      <c r="L15" s="93"/>
      <c r="M15" s="93">
        <f t="shared" si="3"/>
        <v>1.149</v>
      </c>
      <c r="N15" s="93">
        <f t="shared" si="4"/>
        <v>0</v>
      </c>
      <c r="P15" s="95">
        <v>4</v>
      </c>
      <c r="Q15" s="95">
        <f t="shared" si="5"/>
        <v>1.149</v>
      </c>
      <c r="R15" s="95">
        <f t="shared" si="6"/>
        <v>4.5960000000000001</v>
      </c>
    </row>
    <row r="16" spans="1:18">
      <c r="A16" s="215">
        <v>12</v>
      </c>
      <c r="B16" s="215" t="s">
        <v>390</v>
      </c>
      <c r="C16" s="215" t="s">
        <v>391</v>
      </c>
      <c r="D16" s="216">
        <v>8</v>
      </c>
      <c r="E16" s="217"/>
      <c r="F16" s="216">
        <f t="shared" ref="F16" si="8">D16</f>
        <v>8</v>
      </c>
      <c r="G16" s="218" t="s">
        <v>36</v>
      </c>
      <c r="H16" s="196">
        <f t="shared" si="1"/>
        <v>4.5960000000000001</v>
      </c>
      <c r="I16" s="196">
        <f t="shared" si="2"/>
        <v>36.768000000000001</v>
      </c>
      <c r="L16" s="93"/>
      <c r="M16" s="93">
        <f t="shared" si="3"/>
        <v>1.149</v>
      </c>
      <c r="N16" s="93">
        <f t="shared" si="4"/>
        <v>0</v>
      </c>
      <c r="P16" s="95">
        <v>4</v>
      </c>
      <c r="Q16" s="95">
        <f t="shared" si="5"/>
        <v>1.149</v>
      </c>
      <c r="R16" s="95">
        <f t="shared" si="6"/>
        <v>4.5960000000000001</v>
      </c>
    </row>
    <row r="17" spans="1:18">
      <c r="A17" s="215">
        <v>13</v>
      </c>
      <c r="B17" s="215" t="s">
        <v>392</v>
      </c>
      <c r="C17" s="215" t="s">
        <v>393</v>
      </c>
      <c r="D17" s="216">
        <v>186</v>
      </c>
      <c r="E17" s="217">
        <v>265</v>
      </c>
      <c r="F17" s="217">
        <f>D17+E17</f>
        <v>451</v>
      </c>
      <c r="G17" s="218" t="s">
        <v>188</v>
      </c>
      <c r="H17" s="196">
        <f t="shared" si="1"/>
        <v>28.403279999999999</v>
      </c>
      <c r="I17" s="196">
        <f t="shared" si="2"/>
        <v>12809.879279999999</v>
      </c>
      <c r="L17" s="93">
        <v>5.72</v>
      </c>
      <c r="M17" s="93">
        <f t="shared" si="3"/>
        <v>1.149</v>
      </c>
      <c r="N17" s="93">
        <f t="shared" si="4"/>
        <v>6.5722800000000001</v>
      </c>
      <c r="P17" s="95">
        <v>19</v>
      </c>
      <c r="Q17" s="95">
        <f t="shared" si="5"/>
        <v>1.149</v>
      </c>
      <c r="R17" s="95">
        <f t="shared" si="6"/>
        <v>21.831</v>
      </c>
    </row>
    <row r="18" spans="1:18">
      <c r="A18" s="215">
        <v>15</v>
      </c>
      <c r="B18" s="215" t="s">
        <v>394</v>
      </c>
      <c r="C18" s="215" t="s">
        <v>395</v>
      </c>
      <c r="D18" s="216">
        <v>82</v>
      </c>
      <c r="E18" s="217"/>
      <c r="F18" s="216">
        <f t="shared" ref="F18:F20" si="9">D18</f>
        <v>82</v>
      </c>
      <c r="G18" s="218" t="s">
        <v>188</v>
      </c>
      <c r="H18" s="196">
        <f t="shared" si="1"/>
        <v>40.272449999999999</v>
      </c>
      <c r="I18" s="196">
        <f t="shared" si="2"/>
        <v>3302.3409000000001</v>
      </c>
      <c r="L18" s="93">
        <v>16.05</v>
      </c>
      <c r="M18" s="93">
        <f t="shared" si="3"/>
        <v>1.149</v>
      </c>
      <c r="N18" s="93">
        <f t="shared" si="4"/>
        <v>18.44145</v>
      </c>
      <c r="P18" s="95">
        <v>19</v>
      </c>
      <c r="Q18" s="95">
        <f t="shared" si="5"/>
        <v>1.149</v>
      </c>
      <c r="R18" s="95">
        <f t="shared" si="6"/>
        <v>21.831</v>
      </c>
    </row>
    <row r="19" spans="1:18">
      <c r="A19" s="215">
        <v>16</v>
      </c>
      <c r="B19" s="215" t="s">
        <v>396</v>
      </c>
      <c r="C19" s="215" t="s">
        <v>397</v>
      </c>
      <c r="D19" s="216">
        <v>122</v>
      </c>
      <c r="E19" s="217"/>
      <c r="F19" s="216">
        <f t="shared" si="9"/>
        <v>122</v>
      </c>
      <c r="G19" s="218" t="s">
        <v>188</v>
      </c>
      <c r="H19" s="196">
        <f t="shared" si="1"/>
        <v>39.180900000000001</v>
      </c>
      <c r="I19" s="196">
        <f t="shared" si="2"/>
        <v>4780.0698000000002</v>
      </c>
      <c r="L19" s="93">
        <v>15.1</v>
      </c>
      <c r="M19" s="93">
        <f t="shared" si="3"/>
        <v>1.149</v>
      </c>
      <c r="N19" s="93">
        <f t="shared" si="4"/>
        <v>17.349900000000002</v>
      </c>
      <c r="P19" s="95">
        <v>19</v>
      </c>
      <c r="Q19" s="95">
        <f t="shared" si="5"/>
        <v>1.149</v>
      </c>
      <c r="R19" s="95">
        <f t="shared" si="6"/>
        <v>21.831</v>
      </c>
    </row>
    <row r="20" spans="1:18">
      <c r="A20" s="215">
        <v>18</v>
      </c>
      <c r="B20" s="215" t="s">
        <v>398</v>
      </c>
      <c r="C20" s="215" t="s">
        <v>399</v>
      </c>
      <c r="D20" s="216">
        <v>66</v>
      </c>
      <c r="E20" s="217"/>
      <c r="F20" s="216">
        <f t="shared" si="9"/>
        <v>66</v>
      </c>
      <c r="G20" s="218" t="s">
        <v>188</v>
      </c>
      <c r="H20" s="196">
        <f t="shared" si="1"/>
        <v>54.003</v>
      </c>
      <c r="I20" s="196">
        <f t="shared" si="2"/>
        <v>3564.1979999999999</v>
      </c>
      <c r="L20" s="93">
        <v>28</v>
      </c>
      <c r="M20" s="93">
        <f t="shared" si="3"/>
        <v>1.149</v>
      </c>
      <c r="N20" s="93">
        <f t="shared" si="4"/>
        <v>32.171999999999997</v>
      </c>
      <c r="P20" s="95">
        <v>19</v>
      </c>
      <c r="Q20" s="95">
        <f t="shared" si="5"/>
        <v>1.149</v>
      </c>
      <c r="R20" s="95">
        <f t="shared" si="6"/>
        <v>21.831</v>
      </c>
    </row>
    <row r="21" spans="1:18">
      <c r="A21" s="215">
        <v>19</v>
      </c>
      <c r="B21" s="215" t="s">
        <v>400</v>
      </c>
      <c r="C21" s="215" t="s">
        <v>401</v>
      </c>
      <c r="D21" s="216">
        <v>268</v>
      </c>
      <c r="E21" s="217">
        <v>265</v>
      </c>
      <c r="F21" s="217">
        <f t="shared" ref="F21:F23" si="10">D21+E21</f>
        <v>533</v>
      </c>
      <c r="G21" s="218" t="s">
        <v>188</v>
      </c>
      <c r="H21" s="196">
        <f t="shared" si="1"/>
        <v>4.0214999999999996</v>
      </c>
      <c r="I21" s="196">
        <f t="shared" si="2"/>
        <v>2143.4594999999999</v>
      </c>
      <c r="L21" s="93">
        <v>3.5</v>
      </c>
      <c r="M21" s="93">
        <f t="shared" si="3"/>
        <v>1.149</v>
      </c>
      <c r="N21" s="93">
        <f t="shared" si="4"/>
        <v>4.0214999999999996</v>
      </c>
      <c r="P21" s="95"/>
      <c r="Q21" s="95">
        <f t="shared" si="5"/>
        <v>1.149</v>
      </c>
      <c r="R21" s="95">
        <f t="shared" si="6"/>
        <v>0</v>
      </c>
    </row>
    <row r="22" spans="1:18">
      <c r="A22" s="215">
        <v>20</v>
      </c>
      <c r="B22" s="215" t="s">
        <v>402</v>
      </c>
      <c r="C22" s="215" t="s">
        <v>403</v>
      </c>
      <c r="D22" s="216">
        <v>268</v>
      </c>
      <c r="E22" s="217">
        <v>265</v>
      </c>
      <c r="F22" s="217">
        <f t="shared" si="10"/>
        <v>533</v>
      </c>
      <c r="G22" s="218" t="s">
        <v>188</v>
      </c>
      <c r="H22" s="196">
        <f t="shared" si="1"/>
        <v>4.8258000000000001</v>
      </c>
      <c r="I22" s="196">
        <f t="shared" si="2"/>
        <v>2572.1514000000002</v>
      </c>
      <c r="L22" s="93"/>
      <c r="M22" s="93">
        <f t="shared" si="3"/>
        <v>1.149</v>
      </c>
      <c r="N22" s="93">
        <f t="shared" si="4"/>
        <v>0</v>
      </c>
      <c r="P22" s="95">
        <v>4.2</v>
      </c>
      <c r="Q22" s="95">
        <f t="shared" si="5"/>
        <v>1.149</v>
      </c>
      <c r="R22" s="95">
        <f t="shared" si="6"/>
        <v>4.8258000000000001</v>
      </c>
    </row>
    <row r="23" spans="1:18">
      <c r="A23" s="215">
        <v>21</v>
      </c>
      <c r="B23" s="215" t="s">
        <v>404</v>
      </c>
      <c r="C23" s="215" t="s">
        <v>405</v>
      </c>
      <c r="D23" s="216">
        <v>268</v>
      </c>
      <c r="E23" s="217">
        <v>265</v>
      </c>
      <c r="F23" s="217">
        <f t="shared" si="10"/>
        <v>533</v>
      </c>
      <c r="G23" s="218" t="s">
        <v>188</v>
      </c>
      <c r="H23" s="196">
        <f t="shared" si="1"/>
        <v>4.5960000000000001</v>
      </c>
      <c r="I23" s="196">
        <f t="shared" si="2"/>
        <v>2449.6680000000001</v>
      </c>
      <c r="L23" s="93"/>
      <c r="M23" s="93">
        <f t="shared" si="3"/>
        <v>1.149</v>
      </c>
      <c r="N23" s="93">
        <f t="shared" si="4"/>
        <v>0</v>
      </c>
      <c r="P23" s="95">
        <v>4</v>
      </c>
      <c r="Q23" s="95">
        <f t="shared" si="5"/>
        <v>1.149</v>
      </c>
      <c r="R23" s="95">
        <f t="shared" si="6"/>
        <v>4.5960000000000001</v>
      </c>
    </row>
    <row r="24" spans="1:18">
      <c r="A24" s="215">
        <v>22</v>
      </c>
      <c r="B24" s="219">
        <v>220260722</v>
      </c>
      <c r="C24" s="215" t="s">
        <v>406</v>
      </c>
      <c r="D24" s="216">
        <v>42</v>
      </c>
      <c r="E24" s="217"/>
      <c r="F24" s="216">
        <f t="shared" ref="F24:F46" si="11">D24</f>
        <v>42</v>
      </c>
      <c r="G24" s="218" t="s">
        <v>188</v>
      </c>
      <c r="H24" s="196">
        <f t="shared" si="1"/>
        <v>367.68</v>
      </c>
      <c r="I24" s="196">
        <f t="shared" si="2"/>
        <v>15442.56</v>
      </c>
      <c r="L24" s="93">
        <v>180</v>
      </c>
      <c r="M24" s="93">
        <f t="shared" si="3"/>
        <v>1.149</v>
      </c>
      <c r="N24" s="93">
        <f t="shared" si="4"/>
        <v>206.82</v>
      </c>
      <c r="P24" s="95">
        <v>140</v>
      </c>
      <c r="Q24" s="95">
        <f t="shared" si="5"/>
        <v>1.149</v>
      </c>
      <c r="R24" s="95">
        <f t="shared" si="6"/>
        <v>160.86000000000001</v>
      </c>
    </row>
    <row r="25" spans="1:18">
      <c r="A25" s="215">
        <v>23</v>
      </c>
      <c r="B25" s="215" t="s">
        <v>407</v>
      </c>
      <c r="C25" s="215" t="s">
        <v>408</v>
      </c>
      <c r="D25" s="216">
        <v>0</v>
      </c>
      <c r="E25" s="217"/>
      <c r="F25" s="216">
        <f t="shared" si="11"/>
        <v>0</v>
      </c>
      <c r="G25" s="218" t="s">
        <v>188</v>
      </c>
      <c r="H25" s="196">
        <f t="shared" si="1"/>
        <v>436.62</v>
      </c>
      <c r="I25" s="196">
        <f t="shared" si="2"/>
        <v>0</v>
      </c>
      <c r="L25" s="93">
        <v>220</v>
      </c>
      <c r="M25" s="93">
        <f t="shared" si="3"/>
        <v>1.149</v>
      </c>
      <c r="N25" s="93">
        <f t="shared" si="4"/>
        <v>252.78</v>
      </c>
      <c r="P25" s="95">
        <v>160</v>
      </c>
      <c r="Q25" s="95">
        <f t="shared" si="5"/>
        <v>1.149</v>
      </c>
      <c r="R25" s="95">
        <f t="shared" si="6"/>
        <v>183.84</v>
      </c>
    </row>
    <row r="26" spans="1:18">
      <c r="A26" s="215">
        <v>24</v>
      </c>
      <c r="B26" s="215" t="s">
        <v>409</v>
      </c>
      <c r="C26" s="215" t="s">
        <v>410</v>
      </c>
      <c r="D26" s="216">
        <v>108</v>
      </c>
      <c r="E26" s="217"/>
      <c r="F26" s="216">
        <f t="shared" si="11"/>
        <v>108</v>
      </c>
      <c r="G26" s="218" t="s">
        <v>188</v>
      </c>
      <c r="H26" s="196">
        <f t="shared" si="1"/>
        <v>596.33100000000002</v>
      </c>
      <c r="I26" s="196">
        <f t="shared" si="2"/>
        <v>64403.748</v>
      </c>
      <c r="L26" s="93">
        <v>319</v>
      </c>
      <c r="M26" s="93">
        <f t="shared" si="3"/>
        <v>1.149</v>
      </c>
      <c r="N26" s="93">
        <f t="shared" si="4"/>
        <v>366.53100000000001</v>
      </c>
      <c r="P26" s="95">
        <v>200</v>
      </c>
      <c r="Q26" s="95">
        <f t="shared" si="5"/>
        <v>1.149</v>
      </c>
      <c r="R26" s="95">
        <f t="shared" si="6"/>
        <v>229.8</v>
      </c>
    </row>
    <row r="27" spans="1:18">
      <c r="A27" s="215">
        <v>25</v>
      </c>
      <c r="B27" s="215" t="s">
        <v>411</v>
      </c>
      <c r="C27" s="215" t="s">
        <v>412</v>
      </c>
      <c r="D27" s="216">
        <v>4</v>
      </c>
      <c r="E27" s="217"/>
      <c r="F27" s="216">
        <f t="shared" si="11"/>
        <v>4</v>
      </c>
      <c r="G27" s="218" t="s">
        <v>188</v>
      </c>
      <c r="H27" s="196">
        <f t="shared" si="1"/>
        <v>884.73</v>
      </c>
      <c r="I27" s="196">
        <f t="shared" si="2"/>
        <v>3538.92</v>
      </c>
      <c r="L27" s="93">
        <v>630</v>
      </c>
      <c r="M27" s="93">
        <f t="shared" si="3"/>
        <v>1.149</v>
      </c>
      <c r="N27" s="93">
        <f t="shared" si="4"/>
        <v>723.87</v>
      </c>
      <c r="P27" s="95">
        <v>140</v>
      </c>
      <c r="Q27" s="95">
        <f t="shared" si="5"/>
        <v>1.149</v>
      </c>
      <c r="R27" s="95">
        <f t="shared" si="6"/>
        <v>160.86000000000001</v>
      </c>
    </row>
    <row r="28" spans="1:18">
      <c r="A28" s="215">
        <v>26</v>
      </c>
      <c r="B28" s="215" t="s">
        <v>413</v>
      </c>
      <c r="C28" s="215" t="s">
        <v>414</v>
      </c>
      <c r="D28" s="216">
        <v>96</v>
      </c>
      <c r="E28" s="217"/>
      <c r="F28" s="216">
        <f t="shared" si="11"/>
        <v>96</v>
      </c>
      <c r="G28" s="218" t="s">
        <v>36</v>
      </c>
      <c r="H28" s="196">
        <f t="shared" si="1"/>
        <v>51.704999999999998</v>
      </c>
      <c r="I28" s="196">
        <f t="shared" si="2"/>
        <v>4963.68</v>
      </c>
      <c r="L28" s="93">
        <v>45</v>
      </c>
      <c r="M28" s="93">
        <f t="shared" si="3"/>
        <v>1.149</v>
      </c>
      <c r="N28" s="93">
        <f t="shared" si="4"/>
        <v>51.704999999999998</v>
      </c>
      <c r="P28" s="95"/>
      <c r="Q28" s="95">
        <f t="shared" si="5"/>
        <v>1.149</v>
      </c>
      <c r="R28" s="95">
        <f t="shared" si="6"/>
        <v>0</v>
      </c>
    </row>
    <row r="29" spans="1:18">
      <c r="A29" s="215">
        <v>27</v>
      </c>
      <c r="B29" s="215" t="s">
        <v>415</v>
      </c>
      <c r="C29" s="215" t="s">
        <v>416</v>
      </c>
      <c r="D29" s="216">
        <v>216</v>
      </c>
      <c r="E29" s="217"/>
      <c r="F29" s="216">
        <f t="shared" si="11"/>
        <v>216</v>
      </c>
      <c r="G29" s="218" t="s">
        <v>36</v>
      </c>
      <c r="H29" s="196">
        <f t="shared" si="1"/>
        <v>74.685000000000002</v>
      </c>
      <c r="I29" s="196">
        <f t="shared" si="2"/>
        <v>16131.960000000001</v>
      </c>
      <c r="L29" s="93">
        <v>65</v>
      </c>
      <c r="M29" s="93">
        <f t="shared" si="3"/>
        <v>1.149</v>
      </c>
      <c r="N29" s="93">
        <f t="shared" si="4"/>
        <v>74.685000000000002</v>
      </c>
      <c r="P29" s="95"/>
      <c r="Q29" s="95">
        <f t="shared" si="5"/>
        <v>1.149</v>
      </c>
      <c r="R29" s="95">
        <f t="shared" si="6"/>
        <v>0</v>
      </c>
    </row>
    <row r="30" spans="1:18">
      <c r="A30" s="215">
        <v>28</v>
      </c>
      <c r="B30" s="215" t="s">
        <v>417</v>
      </c>
      <c r="C30" s="215" t="s">
        <v>418</v>
      </c>
      <c r="D30" s="216">
        <v>308</v>
      </c>
      <c r="E30" s="217"/>
      <c r="F30" s="216">
        <f t="shared" si="11"/>
        <v>308</v>
      </c>
      <c r="G30" s="218" t="s">
        <v>36</v>
      </c>
      <c r="H30" s="196">
        <f t="shared" si="1"/>
        <v>74.685000000000002</v>
      </c>
      <c r="I30" s="196">
        <f t="shared" si="2"/>
        <v>23002.98</v>
      </c>
      <c r="L30" s="93"/>
      <c r="M30" s="93">
        <f t="shared" si="3"/>
        <v>1.149</v>
      </c>
      <c r="N30" s="93">
        <f t="shared" si="4"/>
        <v>0</v>
      </c>
      <c r="P30" s="95">
        <v>65</v>
      </c>
      <c r="Q30" s="95">
        <f t="shared" si="5"/>
        <v>1.149</v>
      </c>
      <c r="R30" s="95">
        <f t="shared" si="6"/>
        <v>74.685000000000002</v>
      </c>
    </row>
    <row r="31" spans="1:18">
      <c r="A31" s="215">
        <v>29</v>
      </c>
      <c r="B31" s="215" t="s">
        <v>419</v>
      </c>
      <c r="C31" s="215" t="s">
        <v>420</v>
      </c>
      <c r="D31" s="216">
        <v>78</v>
      </c>
      <c r="E31" s="217"/>
      <c r="F31" s="216">
        <f t="shared" si="11"/>
        <v>78</v>
      </c>
      <c r="G31" s="218" t="s">
        <v>36</v>
      </c>
      <c r="H31" s="196">
        <f t="shared" si="1"/>
        <v>6.8940000000000001</v>
      </c>
      <c r="I31" s="196">
        <f t="shared" si="2"/>
        <v>537.73199999999997</v>
      </c>
      <c r="L31" s="93"/>
      <c r="M31" s="93">
        <f t="shared" si="3"/>
        <v>1.149</v>
      </c>
      <c r="N31" s="93">
        <f t="shared" si="4"/>
        <v>0</v>
      </c>
      <c r="P31" s="95">
        <v>6</v>
      </c>
      <c r="Q31" s="95">
        <f t="shared" si="5"/>
        <v>1.149</v>
      </c>
      <c r="R31" s="95">
        <f t="shared" si="6"/>
        <v>6.8940000000000001</v>
      </c>
    </row>
    <row r="32" spans="1:18">
      <c r="A32" s="215">
        <v>30</v>
      </c>
      <c r="B32" s="215" t="s">
        <v>421</v>
      </c>
      <c r="C32" s="215" t="s">
        <v>422</v>
      </c>
      <c r="D32" s="216">
        <v>1020</v>
      </c>
      <c r="E32" s="217"/>
      <c r="F32" s="216">
        <f t="shared" si="11"/>
        <v>1020</v>
      </c>
      <c r="G32" s="218" t="s">
        <v>36</v>
      </c>
      <c r="H32" s="196">
        <f t="shared" si="1"/>
        <v>6.8940000000000001</v>
      </c>
      <c r="I32" s="196">
        <f t="shared" si="2"/>
        <v>7031.88</v>
      </c>
      <c r="L32" s="93"/>
      <c r="M32" s="93">
        <f t="shared" si="3"/>
        <v>1.149</v>
      </c>
      <c r="N32" s="93">
        <f t="shared" si="4"/>
        <v>0</v>
      </c>
      <c r="P32" s="95">
        <v>6</v>
      </c>
      <c r="Q32" s="95">
        <f t="shared" si="5"/>
        <v>1.149</v>
      </c>
      <c r="R32" s="95">
        <f t="shared" si="6"/>
        <v>6.8940000000000001</v>
      </c>
    </row>
    <row r="33" spans="1:18">
      <c r="A33" s="215">
        <v>31</v>
      </c>
      <c r="B33" s="215" t="s">
        <v>423</v>
      </c>
      <c r="C33" s="215" t="s">
        <v>424</v>
      </c>
      <c r="D33" s="216">
        <v>84</v>
      </c>
      <c r="E33" s="217"/>
      <c r="F33" s="216">
        <f t="shared" si="11"/>
        <v>84</v>
      </c>
      <c r="G33" s="218" t="s">
        <v>36</v>
      </c>
      <c r="H33" s="196">
        <f t="shared" si="1"/>
        <v>8.0429999999999993</v>
      </c>
      <c r="I33" s="196">
        <f t="shared" si="2"/>
        <v>675.61199999999997</v>
      </c>
      <c r="L33" s="93"/>
      <c r="M33" s="93">
        <f t="shared" si="3"/>
        <v>1.149</v>
      </c>
      <c r="N33" s="93">
        <f t="shared" si="4"/>
        <v>0</v>
      </c>
      <c r="P33" s="95">
        <v>7</v>
      </c>
      <c r="Q33" s="95">
        <f t="shared" si="5"/>
        <v>1.149</v>
      </c>
      <c r="R33" s="95">
        <f t="shared" si="6"/>
        <v>8.0429999999999993</v>
      </c>
    </row>
    <row r="34" spans="1:18">
      <c r="A34" s="215">
        <v>32</v>
      </c>
      <c r="B34" s="215" t="s">
        <v>425</v>
      </c>
      <c r="C34" s="215" t="s">
        <v>426</v>
      </c>
      <c r="D34" s="216">
        <v>224</v>
      </c>
      <c r="E34" s="217"/>
      <c r="F34" s="216">
        <f t="shared" si="11"/>
        <v>224</v>
      </c>
      <c r="G34" s="218" t="s">
        <v>36</v>
      </c>
      <c r="H34" s="196">
        <f t="shared" si="1"/>
        <v>8.0429999999999993</v>
      </c>
      <c r="I34" s="196">
        <f t="shared" si="2"/>
        <v>1801.6319999999998</v>
      </c>
      <c r="L34" s="93"/>
      <c r="M34" s="93">
        <f t="shared" si="3"/>
        <v>1.149</v>
      </c>
      <c r="N34" s="93">
        <f t="shared" si="4"/>
        <v>0</v>
      </c>
      <c r="P34" s="95">
        <v>7</v>
      </c>
      <c r="Q34" s="95">
        <f t="shared" si="5"/>
        <v>1.149</v>
      </c>
      <c r="R34" s="95">
        <f t="shared" si="6"/>
        <v>8.0429999999999993</v>
      </c>
    </row>
    <row r="35" spans="1:18">
      <c r="A35" s="215">
        <v>33</v>
      </c>
      <c r="B35" s="215" t="s">
        <v>427</v>
      </c>
      <c r="C35" s="215" t="s">
        <v>428</v>
      </c>
      <c r="D35" s="216">
        <v>1</v>
      </c>
      <c r="E35" s="217"/>
      <c r="F35" s="216">
        <f t="shared" si="11"/>
        <v>1</v>
      </c>
      <c r="G35" s="218" t="s">
        <v>36</v>
      </c>
      <c r="H35" s="196">
        <f t="shared" si="1"/>
        <v>172.35</v>
      </c>
      <c r="I35" s="196">
        <f t="shared" si="2"/>
        <v>172.35</v>
      </c>
      <c r="L35" s="93"/>
      <c r="M35" s="93">
        <f t="shared" si="3"/>
        <v>1.149</v>
      </c>
      <c r="N35" s="93">
        <f t="shared" si="4"/>
        <v>0</v>
      </c>
      <c r="P35" s="95">
        <v>150</v>
      </c>
      <c r="Q35" s="95">
        <f t="shared" si="5"/>
        <v>1.149</v>
      </c>
      <c r="R35" s="95">
        <f t="shared" si="6"/>
        <v>172.35</v>
      </c>
    </row>
    <row r="36" spans="1:18">
      <c r="A36" s="215">
        <v>34</v>
      </c>
      <c r="B36" s="215" t="s">
        <v>429</v>
      </c>
      <c r="C36" s="215" t="s">
        <v>430</v>
      </c>
      <c r="D36" s="216">
        <v>1</v>
      </c>
      <c r="E36" s="217"/>
      <c r="F36" s="216">
        <f t="shared" si="11"/>
        <v>1</v>
      </c>
      <c r="G36" s="218" t="s">
        <v>36</v>
      </c>
      <c r="H36" s="196">
        <f t="shared" si="1"/>
        <v>344.7</v>
      </c>
      <c r="I36" s="196">
        <f t="shared" si="2"/>
        <v>344.7</v>
      </c>
      <c r="L36" s="93"/>
      <c r="M36" s="93">
        <f t="shared" si="3"/>
        <v>1.149</v>
      </c>
      <c r="N36" s="93">
        <f t="shared" si="4"/>
        <v>0</v>
      </c>
      <c r="P36" s="95">
        <v>300</v>
      </c>
      <c r="Q36" s="95">
        <f t="shared" si="5"/>
        <v>1.149</v>
      </c>
      <c r="R36" s="95">
        <f t="shared" si="6"/>
        <v>344.7</v>
      </c>
    </row>
    <row r="37" spans="1:18">
      <c r="A37" s="215">
        <v>35</v>
      </c>
      <c r="B37" s="215" t="s">
        <v>431</v>
      </c>
      <c r="C37" s="215" t="s">
        <v>432</v>
      </c>
      <c r="D37" s="216">
        <v>1</v>
      </c>
      <c r="E37" s="217"/>
      <c r="F37" s="216">
        <f t="shared" si="11"/>
        <v>1</v>
      </c>
      <c r="G37" s="218" t="s">
        <v>36</v>
      </c>
      <c r="H37" s="196">
        <f t="shared" si="1"/>
        <v>172.35</v>
      </c>
      <c r="I37" s="196">
        <f t="shared" si="2"/>
        <v>172.35</v>
      </c>
      <c r="L37" s="93"/>
      <c r="M37" s="93">
        <f t="shared" si="3"/>
        <v>1.149</v>
      </c>
      <c r="N37" s="93">
        <f t="shared" si="4"/>
        <v>0</v>
      </c>
      <c r="P37" s="95">
        <v>150</v>
      </c>
      <c r="Q37" s="95">
        <f t="shared" si="5"/>
        <v>1.149</v>
      </c>
      <c r="R37" s="95">
        <f t="shared" si="6"/>
        <v>172.35</v>
      </c>
    </row>
    <row r="38" spans="1:18">
      <c r="A38" s="215">
        <v>36</v>
      </c>
      <c r="B38" s="215" t="s">
        <v>433</v>
      </c>
      <c r="C38" s="215" t="s">
        <v>434</v>
      </c>
      <c r="D38" s="216">
        <v>1</v>
      </c>
      <c r="E38" s="217"/>
      <c r="F38" s="216">
        <f t="shared" si="11"/>
        <v>1</v>
      </c>
      <c r="G38" s="218" t="s">
        <v>36</v>
      </c>
      <c r="H38" s="196">
        <f t="shared" si="1"/>
        <v>172.35</v>
      </c>
      <c r="I38" s="196">
        <f t="shared" si="2"/>
        <v>172.35</v>
      </c>
      <c r="L38" s="93"/>
      <c r="M38" s="93">
        <f t="shared" si="3"/>
        <v>1.149</v>
      </c>
      <c r="N38" s="93">
        <f t="shared" si="4"/>
        <v>0</v>
      </c>
      <c r="P38" s="95">
        <v>150</v>
      </c>
      <c r="Q38" s="95">
        <f t="shared" si="5"/>
        <v>1.149</v>
      </c>
      <c r="R38" s="95">
        <f t="shared" si="6"/>
        <v>172.35</v>
      </c>
    </row>
    <row r="39" spans="1:18">
      <c r="A39" s="215">
        <v>37</v>
      </c>
      <c r="B39" s="215" t="s">
        <v>435</v>
      </c>
      <c r="C39" s="215" t="s">
        <v>436</v>
      </c>
      <c r="D39" s="216">
        <v>0.2</v>
      </c>
      <c r="E39" s="217"/>
      <c r="F39" s="216">
        <f t="shared" si="11"/>
        <v>0.2</v>
      </c>
      <c r="G39" s="218" t="s">
        <v>260</v>
      </c>
      <c r="H39" s="196">
        <f t="shared" si="1"/>
        <v>0</v>
      </c>
      <c r="I39" s="196">
        <f t="shared" si="2"/>
        <v>0</v>
      </c>
      <c r="L39" s="93"/>
      <c r="M39" s="93">
        <f t="shared" si="3"/>
        <v>1.149</v>
      </c>
      <c r="N39" s="93">
        <f t="shared" si="4"/>
        <v>0</v>
      </c>
      <c r="P39" s="95"/>
      <c r="Q39" s="95">
        <f t="shared" si="5"/>
        <v>1.149</v>
      </c>
      <c r="R39" s="95">
        <f t="shared" si="6"/>
        <v>0</v>
      </c>
    </row>
    <row r="40" spans="1:18">
      <c r="A40" s="215">
        <v>38</v>
      </c>
      <c r="B40" s="215"/>
      <c r="C40" s="215" t="s">
        <v>437</v>
      </c>
      <c r="D40" s="216">
        <v>2</v>
      </c>
      <c r="E40" s="217"/>
      <c r="F40" s="216">
        <f t="shared" si="11"/>
        <v>2</v>
      </c>
      <c r="G40" s="218" t="s">
        <v>323</v>
      </c>
      <c r="H40" s="196">
        <f t="shared" si="1"/>
        <v>344.7</v>
      </c>
      <c r="I40" s="196">
        <f t="shared" si="2"/>
        <v>689.4</v>
      </c>
      <c r="L40" s="93"/>
      <c r="M40" s="93">
        <f t="shared" si="3"/>
        <v>1.149</v>
      </c>
      <c r="N40" s="93">
        <f t="shared" si="4"/>
        <v>0</v>
      </c>
      <c r="P40" s="95">
        <v>300</v>
      </c>
      <c r="Q40" s="95">
        <f t="shared" si="5"/>
        <v>1.149</v>
      </c>
      <c r="R40" s="95">
        <f t="shared" si="6"/>
        <v>344.7</v>
      </c>
    </row>
    <row r="41" spans="1:18">
      <c r="A41" s="215">
        <v>39</v>
      </c>
      <c r="B41" s="215"/>
      <c r="C41" s="215" t="s">
        <v>438</v>
      </c>
      <c r="D41" s="216">
        <v>1</v>
      </c>
      <c r="E41" s="217"/>
      <c r="F41" s="216">
        <f t="shared" si="11"/>
        <v>1</v>
      </c>
      <c r="G41" s="218" t="s">
        <v>332</v>
      </c>
      <c r="H41" s="196">
        <f t="shared" si="1"/>
        <v>1723.5</v>
      </c>
      <c r="I41" s="196">
        <f t="shared" si="2"/>
        <v>1723.5</v>
      </c>
      <c r="L41" s="93"/>
      <c r="M41" s="93">
        <f t="shared" si="3"/>
        <v>1.149</v>
      </c>
      <c r="N41" s="93">
        <f t="shared" si="4"/>
        <v>0</v>
      </c>
      <c r="P41" s="95">
        <v>1500</v>
      </c>
      <c r="Q41" s="95">
        <f t="shared" si="5"/>
        <v>1.149</v>
      </c>
      <c r="R41" s="95">
        <f t="shared" si="6"/>
        <v>1723.5</v>
      </c>
    </row>
    <row r="42" spans="1:18">
      <c r="A42" s="215">
        <v>40</v>
      </c>
      <c r="B42" s="215"/>
      <c r="C42" s="215" t="s">
        <v>439</v>
      </c>
      <c r="D42" s="216">
        <v>10</v>
      </c>
      <c r="E42" s="217"/>
      <c r="F42" s="216">
        <f t="shared" si="11"/>
        <v>10</v>
      </c>
      <c r="G42" s="218" t="s">
        <v>323</v>
      </c>
      <c r="H42" s="196">
        <f t="shared" si="1"/>
        <v>517.04999999999995</v>
      </c>
      <c r="I42" s="196">
        <f t="shared" si="2"/>
        <v>5170.5</v>
      </c>
      <c r="L42" s="93"/>
      <c r="M42" s="93">
        <f t="shared" si="3"/>
        <v>1.149</v>
      </c>
      <c r="N42" s="93">
        <f t="shared" si="4"/>
        <v>0</v>
      </c>
      <c r="P42" s="95">
        <v>450</v>
      </c>
      <c r="Q42" s="95">
        <f t="shared" si="5"/>
        <v>1.149</v>
      </c>
      <c r="R42" s="95">
        <f t="shared" si="6"/>
        <v>517.04999999999995</v>
      </c>
    </row>
    <row r="43" spans="1:18">
      <c r="A43" s="215">
        <v>41</v>
      </c>
      <c r="B43" s="215"/>
      <c r="C43" s="215" t="s">
        <v>440</v>
      </c>
      <c r="D43" s="216">
        <v>10</v>
      </c>
      <c r="E43" s="217"/>
      <c r="F43" s="216">
        <f t="shared" si="11"/>
        <v>10</v>
      </c>
      <c r="G43" s="218" t="s">
        <v>323</v>
      </c>
      <c r="H43" s="196">
        <f t="shared" si="1"/>
        <v>517.04999999999995</v>
      </c>
      <c r="I43" s="196">
        <f t="shared" si="2"/>
        <v>5170.5</v>
      </c>
      <c r="L43" s="93"/>
      <c r="M43" s="93">
        <f t="shared" si="3"/>
        <v>1.149</v>
      </c>
      <c r="N43" s="93">
        <f t="shared" si="4"/>
        <v>0</v>
      </c>
      <c r="P43" s="95">
        <v>450</v>
      </c>
      <c r="Q43" s="95">
        <f t="shared" si="5"/>
        <v>1.149</v>
      </c>
      <c r="R43" s="95">
        <f t="shared" si="6"/>
        <v>517.04999999999995</v>
      </c>
    </row>
    <row r="44" spans="1:18">
      <c r="A44" s="215">
        <v>42</v>
      </c>
      <c r="B44" s="215"/>
      <c r="C44" s="215" t="s">
        <v>441</v>
      </c>
      <c r="D44" s="216">
        <v>1</v>
      </c>
      <c r="E44" s="217"/>
      <c r="F44" s="216">
        <f t="shared" si="11"/>
        <v>1</v>
      </c>
      <c r="G44" s="218" t="s">
        <v>332</v>
      </c>
      <c r="H44" s="196">
        <f t="shared" si="1"/>
        <v>4596</v>
      </c>
      <c r="I44" s="196">
        <f t="shared" si="2"/>
        <v>4596</v>
      </c>
      <c r="L44" s="93"/>
      <c r="M44" s="93">
        <f t="shared" si="3"/>
        <v>1.149</v>
      </c>
      <c r="N44" s="93">
        <f t="shared" si="4"/>
        <v>0</v>
      </c>
      <c r="P44" s="95">
        <v>4000</v>
      </c>
      <c r="Q44" s="95">
        <f t="shared" si="5"/>
        <v>1.149</v>
      </c>
      <c r="R44" s="95">
        <f t="shared" si="6"/>
        <v>4596</v>
      </c>
    </row>
    <row r="45" spans="1:18">
      <c r="A45" s="215">
        <v>43</v>
      </c>
      <c r="B45" s="215"/>
      <c r="C45" s="215" t="s">
        <v>442</v>
      </c>
      <c r="D45" s="216">
        <v>4</v>
      </c>
      <c r="E45" s="217"/>
      <c r="F45" s="216">
        <f t="shared" si="11"/>
        <v>4</v>
      </c>
      <c r="G45" s="218" t="s">
        <v>323</v>
      </c>
      <c r="H45" s="196">
        <f t="shared" si="1"/>
        <v>517.04999999999995</v>
      </c>
      <c r="I45" s="196">
        <f t="shared" si="2"/>
        <v>2068.1999999999998</v>
      </c>
      <c r="L45" s="93"/>
      <c r="M45" s="93">
        <f t="shared" si="3"/>
        <v>1.149</v>
      </c>
      <c r="N45" s="93">
        <f t="shared" si="4"/>
        <v>0</v>
      </c>
      <c r="P45" s="95">
        <v>450</v>
      </c>
      <c r="Q45" s="95">
        <f t="shared" si="5"/>
        <v>1.149</v>
      </c>
      <c r="R45" s="95">
        <f t="shared" si="6"/>
        <v>517.04999999999995</v>
      </c>
    </row>
    <row r="46" spans="1:18">
      <c r="A46" s="215">
        <v>44</v>
      </c>
      <c r="B46" s="215"/>
      <c r="C46" s="215" t="s">
        <v>443</v>
      </c>
      <c r="D46" s="216">
        <v>13</v>
      </c>
      <c r="E46" s="217"/>
      <c r="F46" s="216">
        <f t="shared" si="11"/>
        <v>13</v>
      </c>
      <c r="G46" s="218" t="s">
        <v>332</v>
      </c>
      <c r="H46" s="196">
        <f t="shared" si="1"/>
        <v>517.04999999999995</v>
      </c>
      <c r="I46" s="196">
        <f t="shared" si="2"/>
        <v>6721.65</v>
      </c>
      <c r="L46" s="93"/>
      <c r="M46" s="93">
        <f t="shared" si="3"/>
        <v>1.149</v>
      </c>
      <c r="N46" s="93">
        <f t="shared" si="4"/>
        <v>0</v>
      </c>
      <c r="P46" s="95">
        <v>450</v>
      </c>
      <c r="Q46" s="95">
        <f t="shared" si="5"/>
        <v>1.149</v>
      </c>
      <c r="R46" s="95">
        <f t="shared" si="6"/>
        <v>517.04999999999995</v>
      </c>
    </row>
    <row r="47" spans="1:18" ht="15.45">
      <c r="I47" s="220">
        <f>SUM(I5:I46)</f>
        <v>221057.14410000003</v>
      </c>
    </row>
    <row r="48" spans="1:18" ht="15.45">
      <c r="C48" s="204" t="s">
        <v>444</v>
      </c>
    </row>
    <row r="49" spans="1:18" ht="23.15">
      <c r="A49" s="208" t="s">
        <v>362</v>
      </c>
      <c r="B49" s="208" t="s">
        <v>363</v>
      </c>
      <c r="C49" s="208" t="s">
        <v>364</v>
      </c>
      <c r="D49" s="209" t="s">
        <v>951</v>
      </c>
      <c r="E49" s="210" t="s">
        <v>952</v>
      </c>
      <c r="F49" s="210"/>
      <c r="G49" s="212" t="s">
        <v>18</v>
      </c>
      <c r="H49" s="213" t="s">
        <v>954</v>
      </c>
      <c r="I49" s="214" t="s">
        <v>955</v>
      </c>
    </row>
    <row r="50" spans="1:18">
      <c r="A50" s="215">
        <v>1</v>
      </c>
      <c r="B50" s="215" t="s">
        <v>445</v>
      </c>
      <c r="C50" s="221" t="s">
        <v>446</v>
      </c>
      <c r="D50" s="221">
        <v>0.9</v>
      </c>
      <c r="E50" s="217"/>
      <c r="F50" s="221">
        <f t="shared" ref="F50:F65" si="12">D50</f>
        <v>0.9</v>
      </c>
      <c r="G50" s="222" t="s">
        <v>447</v>
      </c>
      <c r="H50" s="223">
        <f t="shared" ref="H50:H65" si="13">N50+R50</f>
        <v>0</v>
      </c>
      <c r="I50" s="223">
        <f t="shared" ref="I50:I65" si="14">H50*F50</f>
        <v>0</v>
      </c>
      <c r="L50" s="93"/>
      <c r="M50" s="93">
        <f t="shared" si="3"/>
        <v>1.149</v>
      </c>
      <c r="N50" s="93">
        <f t="shared" si="4"/>
        <v>0</v>
      </c>
      <c r="P50" s="95"/>
      <c r="Q50" s="95">
        <f t="shared" si="5"/>
        <v>1.149</v>
      </c>
      <c r="R50" s="95">
        <f t="shared" si="6"/>
        <v>0</v>
      </c>
    </row>
    <row r="51" spans="1:18">
      <c r="A51" s="215">
        <v>2</v>
      </c>
      <c r="B51" s="215" t="s">
        <v>448</v>
      </c>
      <c r="C51" s="221" t="s">
        <v>449</v>
      </c>
      <c r="D51" s="221">
        <v>4.0999999999999996</v>
      </c>
      <c r="E51" s="217"/>
      <c r="F51" s="221">
        <f t="shared" si="12"/>
        <v>4.0999999999999996</v>
      </c>
      <c r="G51" s="222" t="s">
        <v>450</v>
      </c>
      <c r="H51" s="223">
        <f t="shared" si="13"/>
        <v>0</v>
      </c>
      <c r="I51" s="223">
        <f t="shared" si="14"/>
        <v>0</v>
      </c>
      <c r="L51" s="93"/>
      <c r="M51" s="93">
        <f t="shared" si="3"/>
        <v>1.149</v>
      </c>
      <c r="N51" s="93">
        <f t="shared" si="4"/>
        <v>0</v>
      </c>
      <c r="P51" s="95"/>
      <c r="Q51" s="95">
        <f t="shared" si="5"/>
        <v>1.149</v>
      </c>
      <c r="R51" s="95">
        <f t="shared" si="6"/>
        <v>0</v>
      </c>
    </row>
    <row r="52" spans="1:18">
      <c r="A52" s="215">
        <v>3</v>
      </c>
      <c r="B52" s="215" t="s">
        <v>451</v>
      </c>
      <c r="C52" s="221" t="s">
        <v>452</v>
      </c>
      <c r="D52" s="221">
        <v>42.8</v>
      </c>
      <c r="E52" s="217"/>
      <c r="F52" s="221">
        <f t="shared" si="12"/>
        <v>42.8</v>
      </c>
      <c r="G52" s="222" t="s">
        <v>450</v>
      </c>
      <c r="H52" s="223">
        <f t="shared" si="13"/>
        <v>0</v>
      </c>
      <c r="I52" s="223">
        <f t="shared" si="14"/>
        <v>0</v>
      </c>
      <c r="L52" s="93"/>
      <c r="M52" s="93">
        <f t="shared" si="3"/>
        <v>1.149</v>
      </c>
      <c r="N52" s="93">
        <f t="shared" si="4"/>
        <v>0</v>
      </c>
      <c r="P52" s="95"/>
      <c r="Q52" s="95">
        <f t="shared" si="5"/>
        <v>1.149</v>
      </c>
      <c r="R52" s="95">
        <f t="shared" si="6"/>
        <v>0</v>
      </c>
    </row>
    <row r="53" spans="1:18">
      <c r="A53" s="215">
        <v>4</v>
      </c>
      <c r="B53" s="215" t="s">
        <v>453</v>
      </c>
      <c r="C53" s="221" t="s">
        <v>454</v>
      </c>
      <c r="D53" s="221">
        <v>42.8</v>
      </c>
      <c r="E53" s="217"/>
      <c r="F53" s="221">
        <f t="shared" si="12"/>
        <v>42.8</v>
      </c>
      <c r="G53" s="222" t="s">
        <v>450</v>
      </c>
      <c r="H53" s="223">
        <f t="shared" si="13"/>
        <v>0</v>
      </c>
      <c r="I53" s="223">
        <f t="shared" si="14"/>
        <v>0</v>
      </c>
      <c r="L53" s="93"/>
      <c r="M53" s="93">
        <f t="shared" si="3"/>
        <v>1.149</v>
      </c>
      <c r="N53" s="93">
        <f t="shared" si="4"/>
        <v>0</v>
      </c>
      <c r="P53" s="95"/>
      <c r="Q53" s="95">
        <f t="shared" si="5"/>
        <v>1.149</v>
      </c>
      <c r="R53" s="95">
        <f t="shared" si="6"/>
        <v>0</v>
      </c>
    </row>
    <row r="54" spans="1:18">
      <c r="A54" s="215">
        <v>5</v>
      </c>
      <c r="B54" s="215" t="s">
        <v>455</v>
      </c>
      <c r="C54" s="221" t="s">
        <v>456</v>
      </c>
      <c r="D54" s="221">
        <v>42.8</v>
      </c>
      <c r="E54" s="217"/>
      <c r="F54" s="221">
        <f t="shared" si="12"/>
        <v>42.8</v>
      </c>
      <c r="G54" s="222" t="s">
        <v>450</v>
      </c>
      <c r="H54" s="223">
        <f t="shared" si="13"/>
        <v>0</v>
      </c>
      <c r="I54" s="223">
        <f t="shared" si="14"/>
        <v>0</v>
      </c>
      <c r="L54" s="93"/>
      <c r="M54" s="93">
        <f t="shared" si="3"/>
        <v>1.149</v>
      </c>
      <c r="N54" s="93">
        <f t="shared" si="4"/>
        <v>0</v>
      </c>
      <c r="P54" s="95"/>
      <c r="Q54" s="95">
        <f t="shared" si="5"/>
        <v>1.149</v>
      </c>
      <c r="R54" s="95">
        <f t="shared" si="6"/>
        <v>0</v>
      </c>
    </row>
    <row r="55" spans="1:18">
      <c r="A55" s="215">
        <v>6</v>
      </c>
      <c r="B55" s="215" t="s">
        <v>457</v>
      </c>
      <c r="C55" s="221" t="s">
        <v>458</v>
      </c>
      <c r="D55" s="221">
        <v>476</v>
      </c>
      <c r="E55" s="217"/>
      <c r="F55" s="221">
        <f t="shared" si="12"/>
        <v>476</v>
      </c>
      <c r="G55" s="222" t="s">
        <v>188</v>
      </c>
      <c r="H55" s="223">
        <f t="shared" si="13"/>
        <v>0</v>
      </c>
      <c r="I55" s="223">
        <f t="shared" si="14"/>
        <v>0</v>
      </c>
      <c r="L55" s="93"/>
      <c r="M55" s="93">
        <f t="shared" si="3"/>
        <v>1.149</v>
      </c>
      <c r="N55" s="93">
        <f t="shared" si="4"/>
        <v>0</v>
      </c>
      <c r="P55" s="95"/>
      <c r="Q55" s="95">
        <f t="shared" si="5"/>
        <v>1.149</v>
      </c>
      <c r="R55" s="95">
        <f t="shared" si="6"/>
        <v>0</v>
      </c>
    </row>
    <row r="56" spans="1:18">
      <c r="A56" s="215">
        <v>8</v>
      </c>
      <c r="B56" s="215" t="s">
        <v>459</v>
      </c>
      <c r="C56" s="221" t="s">
        <v>460</v>
      </c>
      <c r="D56" s="221">
        <v>476</v>
      </c>
      <c r="E56" s="217"/>
      <c r="F56" s="221">
        <f t="shared" si="12"/>
        <v>476</v>
      </c>
      <c r="G56" s="222" t="s">
        <v>188</v>
      </c>
      <c r="H56" s="223">
        <f t="shared" si="13"/>
        <v>0</v>
      </c>
      <c r="I56" s="223">
        <f t="shared" si="14"/>
        <v>0</v>
      </c>
      <c r="L56" s="93"/>
      <c r="M56" s="93">
        <f t="shared" si="3"/>
        <v>1.149</v>
      </c>
      <c r="N56" s="93">
        <f t="shared" si="4"/>
        <v>0</v>
      </c>
      <c r="P56" s="95"/>
      <c r="Q56" s="95">
        <f t="shared" si="5"/>
        <v>1.149</v>
      </c>
      <c r="R56" s="95">
        <f t="shared" si="6"/>
        <v>0</v>
      </c>
    </row>
    <row r="57" spans="1:18">
      <c r="A57" s="215">
        <v>9</v>
      </c>
      <c r="B57" s="215" t="s">
        <v>461</v>
      </c>
      <c r="C57" s="215" t="s">
        <v>462</v>
      </c>
      <c r="D57" s="216">
        <v>9</v>
      </c>
      <c r="E57" s="217"/>
      <c r="F57" s="216">
        <f t="shared" si="12"/>
        <v>9</v>
      </c>
      <c r="G57" s="218" t="s">
        <v>36</v>
      </c>
      <c r="H57" s="196">
        <f t="shared" si="13"/>
        <v>287.25</v>
      </c>
      <c r="I57" s="196">
        <f t="shared" si="14"/>
        <v>2585.25</v>
      </c>
      <c r="L57" s="93">
        <v>250</v>
      </c>
      <c r="M57" s="93">
        <f t="shared" si="3"/>
        <v>1.149</v>
      </c>
      <c r="N57" s="93">
        <f t="shared" si="4"/>
        <v>287.25</v>
      </c>
      <c r="P57" s="95"/>
      <c r="Q57" s="95">
        <f t="shared" si="5"/>
        <v>1.149</v>
      </c>
      <c r="R57" s="95">
        <f t="shared" si="6"/>
        <v>0</v>
      </c>
    </row>
    <row r="58" spans="1:18">
      <c r="A58" s="215">
        <v>10</v>
      </c>
      <c r="B58" s="215" t="s">
        <v>463</v>
      </c>
      <c r="C58" s="215" t="s">
        <v>464</v>
      </c>
      <c r="D58" s="216">
        <v>476</v>
      </c>
      <c r="E58" s="217"/>
      <c r="F58" s="216">
        <f t="shared" si="12"/>
        <v>476</v>
      </c>
      <c r="G58" s="218" t="s">
        <v>188</v>
      </c>
      <c r="H58" s="196">
        <f t="shared" si="13"/>
        <v>3.6768000000000001</v>
      </c>
      <c r="I58" s="196">
        <f t="shared" si="14"/>
        <v>1750.1568</v>
      </c>
      <c r="L58" s="93"/>
      <c r="M58" s="93">
        <f t="shared" si="3"/>
        <v>1.149</v>
      </c>
      <c r="N58" s="93">
        <f t="shared" si="4"/>
        <v>0</v>
      </c>
      <c r="P58" s="95">
        <v>3.2</v>
      </c>
      <c r="Q58" s="95">
        <f t="shared" si="5"/>
        <v>1.149</v>
      </c>
      <c r="R58" s="95">
        <f t="shared" si="6"/>
        <v>3.6768000000000001</v>
      </c>
    </row>
    <row r="59" spans="1:18">
      <c r="A59" s="215">
        <v>11</v>
      </c>
      <c r="B59" s="215" t="s">
        <v>465</v>
      </c>
      <c r="C59" s="215" t="s">
        <v>466</v>
      </c>
      <c r="D59" s="216">
        <v>32</v>
      </c>
      <c r="E59" s="217"/>
      <c r="F59" s="216">
        <f t="shared" si="12"/>
        <v>32</v>
      </c>
      <c r="G59" s="218" t="s">
        <v>36</v>
      </c>
      <c r="H59" s="196">
        <f t="shared" si="13"/>
        <v>379.17</v>
      </c>
      <c r="I59" s="196">
        <f t="shared" si="14"/>
        <v>12133.44</v>
      </c>
      <c r="L59" s="93"/>
      <c r="M59" s="93">
        <f t="shared" si="3"/>
        <v>1.149</v>
      </c>
      <c r="N59" s="93">
        <f t="shared" si="4"/>
        <v>0</v>
      </c>
      <c r="P59" s="95">
        <v>330</v>
      </c>
      <c r="Q59" s="95">
        <f t="shared" si="5"/>
        <v>1.149</v>
      </c>
      <c r="R59" s="95">
        <f t="shared" si="6"/>
        <v>379.17</v>
      </c>
    </row>
    <row r="60" spans="1:18">
      <c r="A60" s="215">
        <v>12</v>
      </c>
      <c r="B60" s="215" t="s">
        <v>467</v>
      </c>
      <c r="C60" s="215" t="s">
        <v>468</v>
      </c>
      <c r="D60" s="216">
        <v>32</v>
      </c>
      <c r="E60" s="217"/>
      <c r="F60" s="216">
        <f t="shared" si="12"/>
        <v>32</v>
      </c>
      <c r="G60" s="218" t="s">
        <v>36</v>
      </c>
      <c r="H60" s="196">
        <f t="shared" si="13"/>
        <v>344.7</v>
      </c>
      <c r="I60" s="196">
        <f t="shared" si="14"/>
        <v>11030.4</v>
      </c>
      <c r="L60" s="93"/>
      <c r="M60" s="93">
        <f t="shared" si="3"/>
        <v>1.149</v>
      </c>
      <c r="N60" s="93">
        <f t="shared" si="4"/>
        <v>0</v>
      </c>
      <c r="P60" s="95">
        <v>300</v>
      </c>
      <c r="Q60" s="95">
        <f t="shared" si="5"/>
        <v>1.149</v>
      </c>
      <c r="R60" s="95">
        <f t="shared" si="6"/>
        <v>344.7</v>
      </c>
    </row>
    <row r="61" spans="1:18">
      <c r="A61" s="215">
        <v>13</v>
      </c>
      <c r="B61" s="215" t="s">
        <v>469</v>
      </c>
      <c r="C61" s="221" t="s">
        <v>470</v>
      </c>
      <c r="D61" s="221">
        <v>476</v>
      </c>
      <c r="E61" s="217"/>
      <c r="F61" s="221">
        <f t="shared" si="12"/>
        <v>476</v>
      </c>
      <c r="G61" s="222" t="s">
        <v>188</v>
      </c>
      <c r="H61" s="223">
        <f t="shared" si="13"/>
        <v>0</v>
      </c>
      <c r="I61" s="223">
        <f t="shared" si="14"/>
        <v>0</v>
      </c>
      <c r="L61" s="93"/>
      <c r="M61" s="93">
        <f t="shared" si="3"/>
        <v>1.149</v>
      </c>
      <c r="N61" s="93">
        <f t="shared" si="4"/>
        <v>0</v>
      </c>
      <c r="P61" s="95"/>
      <c r="Q61" s="95">
        <f t="shared" si="5"/>
        <v>1.149</v>
      </c>
      <c r="R61" s="95">
        <f t="shared" si="6"/>
        <v>0</v>
      </c>
    </row>
    <row r="62" spans="1:18">
      <c r="A62" s="215">
        <v>15</v>
      </c>
      <c r="B62" s="215" t="s">
        <v>471</v>
      </c>
      <c r="C62" s="221" t="s">
        <v>472</v>
      </c>
      <c r="D62" s="221">
        <v>558</v>
      </c>
      <c r="E62" s="217"/>
      <c r="F62" s="221">
        <f t="shared" si="12"/>
        <v>558</v>
      </c>
      <c r="G62" s="222" t="s">
        <v>260</v>
      </c>
      <c r="H62" s="223">
        <f t="shared" si="13"/>
        <v>0</v>
      </c>
      <c r="I62" s="223">
        <f t="shared" si="14"/>
        <v>0</v>
      </c>
      <c r="L62" s="93"/>
      <c r="M62" s="93">
        <f t="shared" si="3"/>
        <v>1.149</v>
      </c>
      <c r="N62" s="93">
        <f t="shared" si="4"/>
        <v>0</v>
      </c>
      <c r="P62" s="95"/>
      <c r="Q62" s="95">
        <f t="shared" si="5"/>
        <v>1.149</v>
      </c>
      <c r="R62" s="95">
        <f t="shared" si="6"/>
        <v>0</v>
      </c>
    </row>
    <row r="63" spans="1:18">
      <c r="A63" s="215">
        <v>16</v>
      </c>
      <c r="B63" s="224" t="s">
        <v>473</v>
      </c>
      <c r="C63" s="221" t="s">
        <v>474</v>
      </c>
      <c r="D63" s="221">
        <v>82</v>
      </c>
      <c r="E63" s="217"/>
      <c r="F63" s="221">
        <f t="shared" si="12"/>
        <v>82</v>
      </c>
      <c r="G63" s="222" t="s">
        <v>188</v>
      </c>
      <c r="H63" s="223">
        <f t="shared" si="13"/>
        <v>0</v>
      </c>
      <c r="I63" s="223">
        <f t="shared" si="14"/>
        <v>0</v>
      </c>
      <c r="J63" s="225"/>
      <c r="L63" s="93"/>
      <c r="M63" s="93">
        <f t="shared" si="3"/>
        <v>1.149</v>
      </c>
      <c r="N63" s="93">
        <f t="shared" si="4"/>
        <v>0</v>
      </c>
      <c r="P63" s="95"/>
      <c r="Q63" s="95">
        <f t="shared" si="5"/>
        <v>1.149</v>
      </c>
      <c r="R63" s="95">
        <f t="shared" si="6"/>
        <v>0</v>
      </c>
    </row>
    <row r="64" spans="1:18">
      <c r="A64" s="215">
        <v>17</v>
      </c>
      <c r="B64" s="224" t="s">
        <v>475</v>
      </c>
      <c r="C64" s="221" t="s">
        <v>476</v>
      </c>
      <c r="D64" s="221">
        <v>82</v>
      </c>
      <c r="E64" s="217"/>
      <c r="F64" s="221">
        <f t="shared" si="12"/>
        <v>82</v>
      </c>
      <c r="G64" s="222" t="s">
        <v>188</v>
      </c>
      <c r="H64" s="223">
        <f t="shared" si="13"/>
        <v>0</v>
      </c>
      <c r="I64" s="223">
        <f t="shared" si="14"/>
        <v>0</v>
      </c>
      <c r="J64" s="225"/>
      <c r="L64" s="93"/>
      <c r="M64" s="93">
        <f t="shared" si="3"/>
        <v>1.149</v>
      </c>
      <c r="N64" s="93">
        <f t="shared" si="4"/>
        <v>0</v>
      </c>
      <c r="P64" s="95"/>
      <c r="Q64" s="95">
        <f t="shared" si="5"/>
        <v>1.149</v>
      </c>
      <c r="R64" s="95">
        <f t="shared" si="6"/>
        <v>0</v>
      </c>
    </row>
    <row r="65" spans="1:18">
      <c r="A65" s="215">
        <v>18</v>
      </c>
      <c r="B65" s="224" t="s">
        <v>477</v>
      </c>
      <c r="C65" s="215" t="s">
        <v>478</v>
      </c>
      <c r="D65" s="216">
        <v>328</v>
      </c>
      <c r="E65" s="217"/>
      <c r="F65" s="216">
        <f t="shared" si="12"/>
        <v>328</v>
      </c>
      <c r="G65" s="218" t="s">
        <v>188</v>
      </c>
      <c r="H65" s="196">
        <f t="shared" si="13"/>
        <v>87.324000000000012</v>
      </c>
      <c r="I65" s="196">
        <f t="shared" si="14"/>
        <v>28642.272000000004</v>
      </c>
      <c r="J65" s="225"/>
      <c r="L65" s="93">
        <v>41</v>
      </c>
      <c r="M65" s="93">
        <f t="shared" si="3"/>
        <v>1.149</v>
      </c>
      <c r="N65" s="93">
        <f t="shared" si="4"/>
        <v>47.109000000000002</v>
      </c>
      <c r="P65" s="95">
        <v>35</v>
      </c>
      <c r="Q65" s="95">
        <f t="shared" si="5"/>
        <v>1.149</v>
      </c>
      <c r="R65" s="95">
        <f t="shared" si="6"/>
        <v>40.215000000000003</v>
      </c>
    </row>
    <row r="66" spans="1:18" ht="15.45">
      <c r="I66" s="220">
        <f>SUM(I50:I65)</f>
        <v>56141.518800000005</v>
      </c>
    </row>
    <row r="68" spans="1:18" ht="15.45">
      <c r="C68" s="204" t="s">
        <v>479</v>
      </c>
    </row>
    <row r="69" spans="1:18" ht="23.15">
      <c r="A69" s="208" t="s">
        <v>362</v>
      </c>
      <c r="B69" s="208" t="s">
        <v>363</v>
      </c>
      <c r="C69" s="208" t="s">
        <v>364</v>
      </c>
      <c r="D69" s="209" t="s">
        <v>951</v>
      </c>
      <c r="E69" s="210" t="s">
        <v>952</v>
      </c>
      <c r="F69" s="210"/>
      <c r="G69" s="212" t="s">
        <v>18</v>
      </c>
      <c r="H69" s="213" t="s">
        <v>954</v>
      </c>
      <c r="I69" s="214" t="s">
        <v>955</v>
      </c>
    </row>
    <row r="70" spans="1:18">
      <c r="A70" s="215">
        <v>1</v>
      </c>
      <c r="B70" s="215"/>
      <c r="C70" s="215" t="s">
        <v>480</v>
      </c>
      <c r="D70" s="216">
        <v>5</v>
      </c>
      <c r="E70" s="217">
        <v>2</v>
      </c>
      <c r="F70" s="217">
        <f t="shared" ref="F70:F78" si="15">D70+E70</f>
        <v>7</v>
      </c>
      <c r="G70" s="218" t="s">
        <v>36</v>
      </c>
      <c r="H70" s="196">
        <f t="shared" ref="H70:H117" si="16">N70+R70</f>
        <v>1556.895</v>
      </c>
      <c r="I70" s="196">
        <f t="shared" ref="I70:I117" si="17">H70*F70</f>
        <v>10898.264999999999</v>
      </c>
      <c r="P70" s="95">
        <v>1355</v>
      </c>
      <c r="Q70" s="95">
        <f t="shared" ref="Q70:Q117" si="18">Q$1</f>
        <v>1.149</v>
      </c>
      <c r="R70" s="95">
        <f t="shared" ref="R70:R117" si="19">P70*Q70</f>
        <v>1556.895</v>
      </c>
    </row>
    <row r="71" spans="1:18">
      <c r="A71" s="215">
        <v>2</v>
      </c>
      <c r="B71" s="215"/>
      <c r="C71" s="215" t="s">
        <v>481</v>
      </c>
      <c r="D71" s="216">
        <v>1</v>
      </c>
      <c r="E71" s="217">
        <v>-1</v>
      </c>
      <c r="F71" s="217">
        <f t="shared" si="15"/>
        <v>0</v>
      </c>
      <c r="G71" s="218" t="s">
        <v>36</v>
      </c>
      <c r="H71" s="196">
        <f t="shared" si="16"/>
        <v>3113.79</v>
      </c>
      <c r="I71" s="196">
        <f t="shared" si="17"/>
        <v>0</v>
      </c>
      <c r="P71" s="95">
        <v>2710</v>
      </c>
      <c r="Q71" s="95">
        <f t="shared" si="18"/>
        <v>1.149</v>
      </c>
      <c r="R71" s="95">
        <f t="shared" si="19"/>
        <v>3113.79</v>
      </c>
    </row>
    <row r="72" spans="1:18">
      <c r="A72" s="215">
        <v>3</v>
      </c>
      <c r="B72" s="215"/>
      <c r="C72" s="215" t="s">
        <v>482</v>
      </c>
      <c r="D72" s="216">
        <v>8</v>
      </c>
      <c r="E72" s="217">
        <v>-4</v>
      </c>
      <c r="F72" s="217">
        <f t="shared" si="15"/>
        <v>4</v>
      </c>
      <c r="G72" s="218" t="s">
        <v>36</v>
      </c>
      <c r="H72" s="196">
        <f t="shared" si="16"/>
        <v>287.25</v>
      </c>
      <c r="I72" s="196">
        <f t="shared" si="17"/>
        <v>1149</v>
      </c>
      <c r="P72" s="95">
        <v>250</v>
      </c>
      <c r="Q72" s="95">
        <f t="shared" si="18"/>
        <v>1.149</v>
      </c>
      <c r="R72" s="95">
        <f t="shared" si="19"/>
        <v>287.25</v>
      </c>
    </row>
    <row r="73" spans="1:18">
      <c r="A73" s="215">
        <v>4</v>
      </c>
      <c r="B73" s="215"/>
      <c r="C73" s="215" t="s">
        <v>483</v>
      </c>
      <c r="D73" s="216">
        <v>4875</v>
      </c>
      <c r="E73" s="217">
        <v>390</v>
      </c>
      <c r="F73" s="217">
        <f t="shared" si="15"/>
        <v>5265</v>
      </c>
      <c r="G73" s="218" t="s">
        <v>188</v>
      </c>
      <c r="H73" s="196">
        <f t="shared" si="16"/>
        <v>20.682000000000002</v>
      </c>
      <c r="I73" s="196">
        <f t="shared" si="17"/>
        <v>108890.73000000001</v>
      </c>
      <c r="P73" s="95">
        <v>18</v>
      </c>
      <c r="Q73" s="95">
        <f t="shared" si="18"/>
        <v>1.149</v>
      </c>
      <c r="R73" s="95">
        <f t="shared" si="19"/>
        <v>20.682000000000002</v>
      </c>
    </row>
    <row r="74" spans="1:18">
      <c r="A74" s="215">
        <v>5</v>
      </c>
      <c r="B74" s="215"/>
      <c r="C74" s="215" t="s">
        <v>484</v>
      </c>
      <c r="D74" s="216">
        <v>150</v>
      </c>
      <c r="E74" s="217">
        <v>12</v>
      </c>
      <c r="F74" s="217">
        <f t="shared" si="15"/>
        <v>162</v>
      </c>
      <c r="G74" s="218" t="s">
        <v>36</v>
      </c>
      <c r="H74" s="196">
        <f t="shared" si="16"/>
        <v>55.152000000000001</v>
      </c>
      <c r="I74" s="196">
        <f t="shared" si="17"/>
        <v>8934.6239999999998</v>
      </c>
      <c r="P74" s="95">
        <v>48</v>
      </c>
      <c r="Q74" s="95">
        <f t="shared" si="18"/>
        <v>1.149</v>
      </c>
      <c r="R74" s="95">
        <f t="shared" si="19"/>
        <v>55.152000000000001</v>
      </c>
    </row>
    <row r="75" spans="1:18">
      <c r="A75" s="215">
        <v>6</v>
      </c>
      <c r="B75" s="215"/>
      <c r="C75" s="215" t="s">
        <v>485</v>
      </c>
      <c r="D75" s="216">
        <v>75</v>
      </c>
      <c r="E75" s="217">
        <v>6</v>
      </c>
      <c r="F75" s="217">
        <f t="shared" si="15"/>
        <v>81</v>
      </c>
      <c r="G75" s="218" t="s">
        <v>36</v>
      </c>
      <c r="H75" s="196">
        <f t="shared" si="16"/>
        <v>40.215000000000003</v>
      </c>
      <c r="I75" s="196">
        <f t="shared" si="17"/>
        <v>3257.4150000000004</v>
      </c>
      <c r="P75" s="95">
        <v>35</v>
      </c>
      <c r="Q75" s="95">
        <f t="shared" si="18"/>
        <v>1.149</v>
      </c>
      <c r="R75" s="95">
        <f t="shared" si="19"/>
        <v>40.215000000000003</v>
      </c>
    </row>
    <row r="76" spans="1:18">
      <c r="A76" s="215">
        <v>7</v>
      </c>
      <c r="B76" s="215"/>
      <c r="C76" s="215" t="s">
        <v>486</v>
      </c>
      <c r="D76" s="216">
        <v>33</v>
      </c>
      <c r="E76" s="217">
        <v>1</v>
      </c>
      <c r="F76" s="217">
        <f t="shared" si="15"/>
        <v>34</v>
      </c>
      <c r="G76" s="218" t="s">
        <v>36</v>
      </c>
      <c r="H76" s="196">
        <f t="shared" si="16"/>
        <v>151.66800000000001</v>
      </c>
      <c r="I76" s="196">
        <f t="shared" si="17"/>
        <v>5156.7120000000004</v>
      </c>
      <c r="P76" s="95">
        <v>132</v>
      </c>
      <c r="Q76" s="95">
        <f t="shared" si="18"/>
        <v>1.149</v>
      </c>
      <c r="R76" s="95">
        <f t="shared" si="19"/>
        <v>151.66800000000001</v>
      </c>
    </row>
    <row r="77" spans="1:18">
      <c r="A77" s="215">
        <v>8</v>
      </c>
      <c r="B77" s="215"/>
      <c r="C77" s="215" t="s">
        <v>487</v>
      </c>
      <c r="D77" s="216">
        <v>66</v>
      </c>
      <c r="E77" s="217">
        <v>2</v>
      </c>
      <c r="F77" s="217">
        <f t="shared" si="15"/>
        <v>68</v>
      </c>
      <c r="G77" s="218" t="s">
        <v>36</v>
      </c>
      <c r="H77" s="196">
        <f t="shared" si="16"/>
        <v>65.492999999999995</v>
      </c>
      <c r="I77" s="196">
        <f t="shared" si="17"/>
        <v>4453.5239999999994</v>
      </c>
      <c r="P77" s="95">
        <v>57</v>
      </c>
      <c r="Q77" s="95">
        <f t="shared" si="18"/>
        <v>1.149</v>
      </c>
      <c r="R77" s="95">
        <f t="shared" si="19"/>
        <v>65.492999999999995</v>
      </c>
    </row>
    <row r="78" spans="1:18">
      <c r="A78" s="215">
        <v>9</v>
      </c>
      <c r="B78" s="215"/>
      <c r="C78" s="215" t="s">
        <v>488</v>
      </c>
      <c r="D78" s="216">
        <v>75</v>
      </c>
      <c r="E78" s="217">
        <v>6</v>
      </c>
      <c r="F78" s="217">
        <f t="shared" si="15"/>
        <v>81</v>
      </c>
      <c r="G78" s="218" t="s">
        <v>36</v>
      </c>
      <c r="H78" s="196">
        <f t="shared" si="16"/>
        <v>33.320999999999998</v>
      </c>
      <c r="I78" s="196">
        <f t="shared" si="17"/>
        <v>2699.0009999999997</v>
      </c>
      <c r="P78" s="95">
        <v>29</v>
      </c>
      <c r="Q78" s="95">
        <f t="shared" si="18"/>
        <v>1.149</v>
      </c>
      <c r="R78" s="95">
        <f t="shared" si="19"/>
        <v>33.320999999999998</v>
      </c>
    </row>
    <row r="79" spans="1:18">
      <c r="A79" s="215">
        <v>10</v>
      </c>
      <c r="B79" s="215"/>
      <c r="C79" s="215" t="s">
        <v>489</v>
      </c>
      <c r="D79" s="216">
        <v>8</v>
      </c>
      <c r="E79" s="217"/>
      <c r="F79" s="216">
        <f t="shared" ref="F79:F80" si="20">D79</f>
        <v>8</v>
      </c>
      <c r="G79" s="218" t="s">
        <v>323</v>
      </c>
      <c r="H79" s="196">
        <f t="shared" si="16"/>
        <v>631.95000000000005</v>
      </c>
      <c r="I79" s="196">
        <f t="shared" si="17"/>
        <v>5055.6000000000004</v>
      </c>
      <c r="P79" s="95">
        <v>550</v>
      </c>
      <c r="Q79" s="95">
        <f t="shared" si="18"/>
        <v>1.149</v>
      </c>
      <c r="R79" s="95">
        <f t="shared" si="19"/>
        <v>631.95000000000005</v>
      </c>
    </row>
    <row r="80" spans="1:18">
      <c r="A80" s="215">
        <v>11</v>
      </c>
      <c r="B80" s="215" t="s">
        <v>490</v>
      </c>
      <c r="C80" s="215" t="s">
        <v>491</v>
      </c>
      <c r="D80" s="216">
        <v>1</v>
      </c>
      <c r="E80" s="217"/>
      <c r="F80" s="216">
        <f t="shared" si="20"/>
        <v>1</v>
      </c>
      <c r="G80" s="218" t="s">
        <v>36</v>
      </c>
      <c r="H80" s="196">
        <f t="shared" si="16"/>
        <v>2137.14</v>
      </c>
      <c r="I80" s="196">
        <f t="shared" si="17"/>
        <v>2137.14</v>
      </c>
      <c r="P80" s="95">
        <v>1860</v>
      </c>
      <c r="Q80" s="95">
        <f t="shared" si="18"/>
        <v>1.149</v>
      </c>
      <c r="R80" s="95">
        <f t="shared" si="19"/>
        <v>2137.14</v>
      </c>
    </row>
    <row r="81" spans="1:18">
      <c r="A81" s="215">
        <v>12</v>
      </c>
      <c r="B81" s="215"/>
      <c r="C81" s="215" t="s">
        <v>492</v>
      </c>
      <c r="D81" s="216">
        <v>8</v>
      </c>
      <c r="E81" s="217">
        <v>-5</v>
      </c>
      <c r="F81" s="217">
        <f t="shared" ref="F81:F89" si="21">D81+E81</f>
        <v>3</v>
      </c>
      <c r="G81" s="218" t="s">
        <v>36</v>
      </c>
      <c r="H81" s="196">
        <f t="shared" si="16"/>
        <v>229.8</v>
      </c>
      <c r="I81" s="196">
        <f t="shared" si="17"/>
        <v>689.40000000000009</v>
      </c>
      <c r="P81" s="95">
        <v>200</v>
      </c>
      <c r="Q81" s="95">
        <f t="shared" si="18"/>
        <v>1.149</v>
      </c>
      <c r="R81" s="95">
        <f t="shared" si="19"/>
        <v>229.8</v>
      </c>
    </row>
    <row r="82" spans="1:18">
      <c r="A82" s="215">
        <v>13</v>
      </c>
      <c r="B82" s="215" t="s">
        <v>493</v>
      </c>
      <c r="C82" s="215" t="s">
        <v>494</v>
      </c>
      <c r="D82" s="216">
        <v>3</v>
      </c>
      <c r="E82" s="217">
        <v>1</v>
      </c>
      <c r="F82" s="217">
        <f t="shared" si="21"/>
        <v>4</v>
      </c>
      <c r="G82" s="218" t="s">
        <v>36</v>
      </c>
      <c r="H82" s="196">
        <f t="shared" si="16"/>
        <v>172.35</v>
      </c>
      <c r="I82" s="196">
        <f t="shared" si="17"/>
        <v>689.4</v>
      </c>
      <c r="P82" s="95">
        <v>150</v>
      </c>
      <c r="Q82" s="95">
        <f t="shared" si="18"/>
        <v>1.149</v>
      </c>
      <c r="R82" s="95">
        <f t="shared" si="19"/>
        <v>172.35</v>
      </c>
    </row>
    <row r="83" spans="1:18">
      <c r="A83" s="215">
        <v>14</v>
      </c>
      <c r="B83" s="215" t="s">
        <v>495</v>
      </c>
      <c r="C83" s="215" t="s">
        <v>496</v>
      </c>
      <c r="D83" s="216">
        <v>2</v>
      </c>
      <c r="E83" s="217">
        <v>1</v>
      </c>
      <c r="F83" s="217">
        <f t="shared" si="21"/>
        <v>3</v>
      </c>
      <c r="G83" s="218" t="s">
        <v>36</v>
      </c>
      <c r="H83" s="196">
        <f t="shared" si="16"/>
        <v>229.8</v>
      </c>
      <c r="I83" s="196">
        <f t="shared" si="17"/>
        <v>689.40000000000009</v>
      </c>
      <c r="P83" s="95">
        <v>200</v>
      </c>
      <c r="Q83" s="95">
        <f t="shared" si="18"/>
        <v>1.149</v>
      </c>
      <c r="R83" s="95">
        <f t="shared" si="19"/>
        <v>229.8</v>
      </c>
    </row>
    <row r="84" spans="1:18">
      <c r="A84" s="215">
        <v>15</v>
      </c>
      <c r="B84" s="215" t="s">
        <v>497</v>
      </c>
      <c r="C84" s="215" t="s">
        <v>498</v>
      </c>
      <c r="D84" s="216">
        <v>2</v>
      </c>
      <c r="E84" s="217">
        <v>1</v>
      </c>
      <c r="F84" s="217">
        <f t="shared" si="21"/>
        <v>3</v>
      </c>
      <c r="G84" s="218" t="s">
        <v>36</v>
      </c>
      <c r="H84" s="196">
        <f t="shared" si="16"/>
        <v>402.15000000000003</v>
      </c>
      <c r="I84" s="196">
        <f t="shared" si="17"/>
        <v>1206.45</v>
      </c>
      <c r="P84" s="95">
        <v>350</v>
      </c>
      <c r="Q84" s="95">
        <f t="shared" si="18"/>
        <v>1.149</v>
      </c>
      <c r="R84" s="95">
        <f t="shared" si="19"/>
        <v>402.15000000000003</v>
      </c>
    </row>
    <row r="85" spans="1:18">
      <c r="A85" s="215">
        <v>16</v>
      </c>
      <c r="B85" s="215" t="s">
        <v>367</v>
      </c>
      <c r="C85" s="215" t="s">
        <v>368</v>
      </c>
      <c r="D85" s="216">
        <v>2</v>
      </c>
      <c r="E85" s="217">
        <v>1</v>
      </c>
      <c r="F85" s="217">
        <f t="shared" si="21"/>
        <v>3</v>
      </c>
      <c r="G85" s="218" t="s">
        <v>36</v>
      </c>
      <c r="H85" s="196">
        <f t="shared" si="16"/>
        <v>57.45</v>
      </c>
      <c r="I85" s="196">
        <f t="shared" si="17"/>
        <v>172.35000000000002</v>
      </c>
      <c r="P85" s="95">
        <v>50</v>
      </c>
      <c r="Q85" s="95">
        <f t="shared" si="18"/>
        <v>1.149</v>
      </c>
      <c r="R85" s="95">
        <f t="shared" si="19"/>
        <v>57.45</v>
      </c>
    </row>
    <row r="86" spans="1:18">
      <c r="A86" s="215">
        <v>17</v>
      </c>
      <c r="B86" s="215" t="s">
        <v>369</v>
      </c>
      <c r="C86" s="215" t="s">
        <v>370</v>
      </c>
      <c r="D86" s="216">
        <v>2</v>
      </c>
      <c r="E86" s="217">
        <v>1</v>
      </c>
      <c r="F86" s="217">
        <f t="shared" si="21"/>
        <v>3</v>
      </c>
      <c r="G86" s="218" t="s">
        <v>36</v>
      </c>
      <c r="H86" s="196">
        <f t="shared" si="16"/>
        <v>33.320999999999998</v>
      </c>
      <c r="I86" s="196">
        <f t="shared" si="17"/>
        <v>99.962999999999994</v>
      </c>
      <c r="P86" s="95">
        <v>29</v>
      </c>
      <c r="Q86" s="95">
        <f t="shared" si="18"/>
        <v>1.149</v>
      </c>
      <c r="R86" s="95">
        <f t="shared" si="19"/>
        <v>33.320999999999998</v>
      </c>
    </row>
    <row r="87" spans="1:18">
      <c r="A87" s="215">
        <v>18</v>
      </c>
      <c r="B87" s="215" t="s">
        <v>499</v>
      </c>
      <c r="C87" s="215" t="s">
        <v>500</v>
      </c>
      <c r="D87" s="216">
        <v>80</v>
      </c>
      <c r="E87" s="217">
        <v>40</v>
      </c>
      <c r="F87" s="217">
        <f t="shared" si="21"/>
        <v>120</v>
      </c>
      <c r="G87" s="218" t="s">
        <v>188</v>
      </c>
      <c r="H87" s="196">
        <f t="shared" si="16"/>
        <v>6.8940000000000001</v>
      </c>
      <c r="I87" s="196">
        <f t="shared" si="17"/>
        <v>827.28</v>
      </c>
      <c r="P87" s="95">
        <v>6</v>
      </c>
      <c r="Q87" s="95">
        <f t="shared" si="18"/>
        <v>1.149</v>
      </c>
      <c r="R87" s="95">
        <f t="shared" si="19"/>
        <v>6.8940000000000001</v>
      </c>
    </row>
    <row r="88" spans="1:18">
      <c r="A88" s="215">
        <v>19</v>
      </c>
      <c r="B88" s="215" t="s">
        <v>501</v>
      </c>
      <c r="C88" s="215" t="s">
        <v>502</v>
      </c>
      <c r="D88" s="216">
        <v>2</v>
      </c>
      <c r="E88" s="217">
        <v>1</v>
      </c>
      <c r="F88" s="217">
        <f t="shared" si="21"/>
        <v>3</v>
      </c>
      <c r="G88" s="218" t="s">
        <v>36</v>
      </c>
      <c r="H88" s="196">
        <f t="shared" si="16"/>
        <v>78.132000000000005</v>
      </c>
      <c r="I88" s="196">
        <f t="shared" si="17"/>
        <v>234.39600000000002</v>
      </c>
      <c r="P88" s="95">
        <v>68</v>
      </c>
      <c r="Q88" s="95">
        <f t="shared" si="18"/>
        <v>1.149</v>
      </c>
      <c r="R88" s="95">
        <f t="shared" si="19"/>
        <v>78.132000000000005</v>
      </c>
    </row>
    <row r="89" spans="1:18">
      <c r="A89" s="215">
        <v>20</v>
      </c>
      <c r="B89" s="215" t="s">
        <v>503</v>
      </c>
      <c r="C89" s="215" t="s">
        <v>504</v>
      </c>
      <c r="D89" s="216">
        <v>80</v>
      </c>
      <c r="E89" s="217">
        <v>40</v>
      </c>
      <c r="F89" s="217">
        <f t="shared" si="21"/>
        <v>120</v>
      </c>
      <c r="G89" s="218" t="s">
        <v>188</v>
      </c>
      <c r="H89" s="196">
        <f t="shared" si="16"/>
        <v>16.085999999999999</v>
      </c>
      <c r="I89" s="196">
        <f t="shared" si="17"/>
        <v>1930.3199999999997</v>
      </c>
      <c r="P89" s="95">
        <v>14</v>
      </c>
      <c r="Q89" s="95">
        <f t="shared" si="18"/>
        <v>1.149</v>
      </c>
      <c r="R89" s="95">
        <f t="shared" si="19"/>
        <v>16.085999999999999</v>
      </c>
    </row>
    <row r="90" spans="1:18">
      <c r="A90" s="215">
        <v>21</v>
      </c>
      <c r="B90" s="215"/>
      <c r="C90" s="215" t="s">
        <v>439</v>
      </c>
      <c r="D90" s="216">
        <v>12</v>
      </c>
      <c r="E90" s="217"/>
      <c r="F90" s="216">
        <f t="shared" ref="F90:F91" si="22">D90</f>
        <v>12</v>
      </c>
      <c r="G90" s="218" t="s">
        <v>323</v>
      </c>
      <c r="H90" s="196">
        <f t="shared" si="16"/>
        <v>402.15000000000003</v>
      </c>
      <c r="I90" s="196">
        <f t="shared" si="17"/>
        <v>4825.8</v>
      </c>
      <c r="P90" s="95">
        <v>350</v>
      </c>
      <c r="Q90" s="95">
        <f t="shared" si="18"/>
        <v>1.149</v>
      </c>
      <c r="R90" s="95">
        <f t="shared" si="19"/>
        <v>402.15000000000003</v>
      </c>
    </row>
    <row r="91" spans="1:18">
      <c r="A91" s="215">
        <v>22</v>
      </c>
      <c r="B91" s="215"/>
      <c r="C91" s="215" t="s">
        <v>440</v>
      </c>
      <c r="D91" s="216">
        <v>12</v>
      </c>
      <c r="E91" s="217"/>
      <c r="F91" s="216">
        <f t="shared" si="22"/>
        <v>12</v>
      </c>
      <c r="G91" s="218" t="s">
        <v>323</v>
      </c>
      <c r="H91" s="196">
        <f t="shared" si="16"/>
        <v>402.15000000000003</v>
      </c>
      <c r="I91" s="196">
        <f t="shared" si="17"/>
        <v>4825.8</v>
      </c>
      <c r="P91" s="95">
        <v>350</v>
      </c>
      <c r="Q91" s="95">
        <f t="shared" si="18"/>
        <v>1.149</v>
      </c>
      <c r="R91" s="95">
        <f t="shared" si="19"/>
        <v>402.15000000000003</v>
      </c>
    </row>
    <row r="92" spans="1:18">
      <c r="A92" s="215">
        <v>23</v>
      </c>
      <c r="B92" s="216" t="s">
        <v>505</v>
      </c>
      <c r="C92" s="216" t="s">
        <v>506</v>
      </c>
      <c r="D92" s="216">
        <v>112</v>
      </c>
      <c r="E92" s="217">
        <f>0-D92</f>
        <v>-112</v>
      </c>
      <c r="F92" s="217">
        <f t="shared" ref="F92:F102" si="23">D92+E92</f>
        <v>0</v>
      </c>
      <c r="G92" s="218" t="s">
        <v>188</v>
      </c>
      <c r="H92" s="196">
        <f t="shared" si="16"/>
        <v>20.682000000000002</v>
      </c>
      <c r="I92" s="196">
        <f t="shared" si="17"/>
        <v>0</v>
      </c>
      <c r="P92" s="226">
        <v>18</v>
      </c>
      <c r="Q92" s="95">
        <f t="shared" si="18"/>
        <v>1.149</v>
      </c>
      <c r="R92" s="95">
        <f t="shared" si="19"/>
        <v>20.682000000000002</v>
      </c>
    </row>
    <row r="93" spans="1:18">
      <c r="A93" s="215">
        <v>24</v>
      </c>
      <c r="B93" s="216" t="s">
        <v>507</v>
      </c>
      <c r="C93" s="216" t="s">
        <v>508</v>
      </c>
      <c r="D93" s="216">
        <v>32</v>
      </c>
      <c r="E93" s="217">
        <f t="shared" ref="E93:E102" si="24">0-D93</f>
        <v>-32</v>
      </c>
      <c r="F93" s="217">
        <f t="shared" si="23"/>
        <v>0</v>
      </c>
      <c r="G93" s="218" t="s">
        <v>36</v>
      </c>
      <c r="H93" s="196">
        <f t="shared" si="16"/>
        <v>178.095</v>
      </c>
      <c r="I93" s="196">
        <f t="shared" si="17"/>
        <v>0</v>
      </c>
      <c r="P93" s="226">
        <v>155</v>
      </c>
      <c r="Q93" s="95">
        <f t="shared" si="18"/>
        <v>1.149</v>
      </c>
      <c r="R93" s="95">
        <f t="shared" si="19"/>
        <v>178.095</v>
      </c>
    </row>
    <row r="94" spans="1:18">
      <c r="A94" s="215">
        <v>25</v>
      </c>
      <c r="B94" s="216" t="s">
        <v>509</v>
      </c>
      <c r="C94" s="216" t="s">
        <v>510</v>
      </c>
      <c r="D94" s="216">
        <v>4</v>
      </c>
      <c r="E94" s="217">
        <f t="shared" si="24"/>
        <v>-4</v>
      </c>
      <c r="F94" s="217">
        <f t="shared" si="23"/>
        <v>0</v>
      </c>
      <c r="G94" s="218" t="s">
        <v>36</v>
      </c>
      <c r="H94" s="196">
        <f t="shared" si="16"/>
        <v>17.234999999999999</v>
      </c>
      <c r="I94" s="196">
        <f t="shared" si="17"/>
        <v>0</v>
      </c>
      <c r="P94" s="226">
        <v>15</v>
      </c>
      <c r="Q94" s="95">
        <f t="shared" si="18"/>
        <v>1.149</v>
      </c>
      <c r="R94" s="95">
        <f t="shared" si="19"/>
        <v>17.234999999999999</v>
      </c>
    </row>
    <row r="95" spans="1:18">
      <c r="A95" s="215">
        <v>26</v>
      </c>
      <c r="B95" s="216" t="s">
        <v>511</v>
      </c>
      <c r="C95" s="216" t="s">
        <v>512</v>
      </c>
      <c r="D95" s="216">
        <v>4</v>
      </c>
      <c r="E95" s="217">
        <f t="shared" si="24"/>
        <v>-4</v>
      </c>
      <c r="F95" s="217">
        <f t="shared" si="23"/>
        <v>0</v>
      </c>
      <c r="G95" s="218" t="s">
        <v>36</v>
      </c>
      <c r="H95" s="196">
        <f t="shared" si="16"/>
        <v>183.84</v>
      </c>
      <c r="I95" s="196">
        <f t="shared" si="17"/>
        <v>0</v>
      </c>
      <c r="P95" s="226">
        <v>160</v>
      </c>
      <c r="Q95" s="95">
        <f t="shared" si="18"/>
        <v>1.149</v>
      </c>
      <c r="R95" s="95">
        <f t="shared" si="19"/>
        <v>183.84</v>
      </c>
    </row>
    <row r="96" spans="1:18">
      <c r="A96" s="215">
        <v>27</v>
      </c>
      <c r="B96" s="216" t="s">
        <v>513</v>
      </c>
      <c r="C96" s="216" t="s">
        <v>514</v>
      </c>
      <c r="D96" s="216">
        <v>4</v>
      </c>
      <c r="E96" s="217">
        <f t="shared" si="24"/>
        <v>-4</v>
      </c>
      <c r="F96" s="217">
        <f t="shared" si="23"/>
        <v>0</v>
      </c>
      <c r="G96" s="218" t="s">
        <v>36</v>
      </c>
      <c r="H96" s="196">
        <f t="shared" si="16"/>
        <v>109.155</v>
      </c>
      <c r="I96" s="196">
        <f t="shared" si="17"/>
        <v>0</v>
      </c>
      <c r="P96" s="226">
        <v>95</v>
      </c>
      <c r="Q96" s="95">
        <f t="shared" si="18"/>
        <v>1.149</v>
      </c>
      <c r="R96" s="95">
        <f t="shared" si="19"/>
        <v>109.155</v>
      </c>
    </row>
    <row r="97" spans="1:18">
      <c r="A97" s="215">
        <v>28</v>
      </c>
      <c r="B97" s="216" t="s">
        <v>515</v>
      </c>
      <c r="C97" s="216" t="s">
        <v>516</v>
      </c>
      <c r="D97" s="216">
        <v>16</v>
      </c>
      <c r="E97" s="217">
        <f t="shared" si="24"/>
        <v>-16</v>
      </c>
      <c r="F97" s="217">
        <f t="shared" si="23"/>
        <v>0</v>
      </c>
      <c r="G97" s="218" t="s">
        <v>36</v>
      </c>
      <c r="H97" s="196">
        <f t="shared" si="16"/>
        <v>51.704999999999998</v>
      </c>
      <c r="I97" s="196">
        <f t="shared" si="17"/>
        <v>0</v>
      </c>
      <c r="P97" s="226">
        <v>45</v>
      </c>
      <c r="Q97" s="95">
        <f t="shared" si="18"/>
        <v>1.149</v>
      </c>
      <c r="R97" s="95">
        <f t="shared" si="19"/>
        <v>51.704999999999998</v>
      </c>
    </row>
    <row r="98" spans="1:18">
      <c r="A98" s="215">
        <v>29</v>
      </c>
      <c r="B98" s="216" t="s">
        <v>517</v>
      </c>
      <c r="C98" s="216" t="s">
        <v>518</v>
      </c>
      <c r="D98" s="216">
        <v>32</v>
      </c>
      <c r="E98" s="217">
        <f t="shared" si="24"/>
        <v>-32</v>
      </c>
      <c r="F98" s="217">
        <f t="shared" si="23"/>
        <v>0</v>
      </c>
      <c r="G98" s="218" t="s">
        <v>36</v>
      </c>
      <c r="H98" s="196">
        <f t="shared" si="16"/>
        <v>45.96</v>
      </c>
      <c r="I98" s="196">
        <f t="shared" si="17"/>
        <v>0</v>
      </c>
      <c r="P98" s="226">
        <v>40</v>
      </c>
      <c r="Q98" s="95">
        <f t="shared" si="18"/>
        <v>1.149</v>
      </c>
      <c r="R98" s="95">
        <f t="shared" si="19"/>
        <v>45.96</v>
      </c>
    </row>
    <row r="99" spans="1:18">
      <c r="A99" s="215">
        <v>30</v>
      </c>
      <c r="B99" s="216" t="s">
        <v>519</v>
      </c>
      <c r="C99" s="216" t="s">
        <v>520</v>
      </c>
      <c r="D99" s="216">
        <v>4</v>
      </c>
      <c r="E99" s="217">
        <f t="shared" si="24"/>
        <v>-4</v>
      </c>
      <c r="F99" s="217">
        <f t="shared" si="23"/>
        <v>0</v>
      </c>
      <c r="G99" s="218" t="s">
        <v>36</v>
      </c>
      <c r="H99" s="196">
        <f t="shared" si="16"/>
        <v>137.88</v>
      </c>
      <c r="I99" s="196">
        <f t="shared" si="17"/>
        <v>0</v>
      </c>
      <c r="P99" s="226">
        <v>120</v>
      </c>
      <c r="Q99" s="95">
        <f t="shared" si="18"/>
        <v>1.149</v>
      </c>
      <c r="R99" s="95">
        <f t="shared" si="19"/>
        <v>137.88</v>
      </c>
    </row>
    <row r="100" spans="1:18">
      <c r="A100" s="215">
        <v>31</v>
      </c>
      <c r="B100" s="216" t="s">
        <v>521</v>
      </c>
      <c r="C100" s="216" t="s">
        <v>522</v>
      </c>
      <c r="D100" s="216">
        <v>32</v>
      </c>
      <c r="E100" s="217">
        <f t="shared" si="24"/>
        <v>-32</v>
      </c>
      <c r="F100" s="217">
        <f t="shared" si="23"/>
        <v>0</v>
      </c>
      <c r="G100" s="218" t="s">
        <v>36</v>
      </c>
      <c r="H100" s="196">
        <f t="shared" si="16"/>
        <v>31.023</v>
      </c>
      <c r="I100" s="196">
        <f t="shared" si="17"/>
        <v>0</v>
      </c>
      <c r="P100" s="226">
        <v>27</v>
      </c>
      <c r="Q100" s="95">
        <f t="shared" si="18"/>
        <v>1.149</v>
      </c>
      <c r="R100" s="95">
        <f t="shared" si="19"/>
        <v>31.023</v>
      </c>
    </row>
    <row r="101" spans="1:18">
      <c r="A101" s="215">
        <v>32</v>
      </c>
      <c r="B101" s="216" t="s">
        <v>523</v>
      </c>
      <c r="C101" s="216" t="s">
        <v>524</v>
      </c>
      <c r="D101" s="216">
        <v>4</v>
      </c>
      <c r="E101" s="217">
        <f t="shared" si="24"/>
        <v>-4</v>
      </c>
      <c r="F101" s="217">
        <f t="shared" si="23"/>
        <v>0</v>
      </c>
      <c r="G101" s="218" t="s">
        <v>36</v>
      </c>
      <c r="H101" s="196">
        <f t="shared" si="16"/>
        <v>109.155</v>
      </c>
      <c r="I101" s="196">
        <f t="shared" si="17"/>
        <v>0</v>
      </c>
      <c r="P101" s="226">
        <v>95</v>
      </c>
      <c r="Q101" s="95">
        <f t="shared" si="18"/>
        <v>1.149</v>
      </c>
      <c r="R101" s="95">
        <f t="shared" si="19"/>
        <v>109.155</v>
      </c>
    </row>
    <row r="102" spans="1:18">
      <c r="A102" s="215">
        <v>33</v>
      </c>
      <c r="B102" s="216" t="s">
        <v>525</v>
      </c>
      <c r="C102" s="216" t="s">
        <v>526</v>
      </c>
      <c r="D102" s="216">
        <v>16</v>
      </c>
      <c r="E102" s="217">
        <f t="shared" si="24"/>
        <v>-16</v>
      </c>
      <c r="F102" s="217">
        <f t="shared" si="23"/>
        <v>0</v>
      </c>
      <c r="G102" s="218" t="s">
        <v>36</v>
      </c>
      <c r="H102" s="196">
        <f t="shared" si="16"/>
        <v>143.625</v>
      </c>
      <c r="I102" s="196">
        <f t="shared" si="17"/>
        <v>0</v>
      </c>
      <c r="P102" s="226">
        <v>125</v>
      </c>
      <c r="Q102" s="95">
        <f t="shared" si="18"/>
        <v>1.149</v>
      </c>
      <c r="R102" s="95">
        <f t="shared" si="19"/>
        <v>143.625</v>
      </c>
    </row>
    <row r="103" spans="1:18">
      <c r="A103" s="215">
        <v>34</v>
      </c>
      <c r="B103" s="216"/>
      <c r="C103" s="216" t="s">
        <v>527</v>
      </c>
      <c r="D103" s="216">
        <v>2</v>
      </c>
      <c r="E103" s="217"/>
      <c r="F103" s="216">
        <f t="shared" ref="F103:F104" si="25">D103</f>
        <v>2</v>
      </c>
      <c r="G103" s="218" t="s">
        <v>36</v>
      </c>
      <c r="H103" s="196">
        <f t="shared" si="16"/>
        <v>976.65</v>
      </c>
      <c r="I103" s="196">
        <f t="shared" si="17"/>
        <v>1953.3</v>
      </c>
      <c r="P103" s="226">
        <v>850</v>
      </c>
      <c r="Q103" s="95">
        <f t="shared" si="18"/>
        <v>1.149</v>
      </c>
      <c r="R103" s="95">
        <f t="shared" si="19"/>
        <v>976.65</v>
      </c>
    </row>
    <row r="104" spans="1:18">
      <c r="A104" s="215">
        <v>35</v>
      </c>
      <c r="B104" s="216"/>
      <c r="C104" s="216" t="s">
        <v>528</v>
      </c>
      <c r="D104" s="216">
        <v>2</v>
      </c>
      <c r="E104" s="217"/>
      <c r="F104" s="216">
        <f t="shared" si="25"/>
        <v>2</v>
      </c>
      <c r="G104" s="218" t="s">
        <v>36</v>
      </c>
      <c r="H104" s="196">
        <f t="shared" si="16"/>
        <v>172.35</v>
      </c>
      <c r="I104" s="196">
        <f t="shared" si="17"/>
        <v>344.7</v>
      </c>
      <c r="P104" s="226">
        <v>150</v>
      </c>
      <c r="Q104" s="95">
        <f t="shared" si="18"/>
        <v>1.149</v>
      </c>
      <c r="R104" s="95">
        <f t="shared" si="19"/>
        <v>172.35</v>
      </c>
    </row>
    <row r="105" spans="1:18" s="234" customFormat="1">
      <c r="A105" s="227">
        <v>36</v>
      </c>
      <c r="B105" s="228" t="s">
        <v>505</v>
      </c>
      <c r="C105" s="228" t="s">
        <v>956</v>
      </c>
      <c r="D105" s="229">
        <v>0</v>
      </c>
      <c r="E105" s="230">
        <v>242</v>
      </c>
      <c r="F105" s="230">
        <f t="shared" ref="F105:F117" si="26">D105+E105</f>
        <v>242</v>
      </c>
      <c r="G105" s="231" t="s">
        <v>188</v>
      </c>
      <c r="H105" s="196">
        <f t="shared" si="16"/>
        <v>20.682000000000002</v>
      </c>
      <c r="I105" s="232">
        <f t="shared" si="17"/>
        <v>5005.0440000000008</v>
      </c>
      <c r="J105" s="227"/>
      <c r="K105" s="233"/>
      <c r="L105" s="73"/>
      <c r="M105" s="73"/>
      <c r="N105" s="73"/>
      <c r="P105" s="95">
        <v>18</v>
      </c>
      <c r="Q105" s="95">
        <f t="shared" si="18"/>
        <v>1.149</v>
      </c>
      <c r="R105" s="95">
        <f t="shared" si="19"/>
        <v>20.682000000000002</v>
      </c>
    </row>
    <row r="106" spans="1:18" s="234" customFormat="1">
      <c r="A106" s="227">
        <v>37</v>
      </c>
      <c r="B106" s="228" t="s">
        <v>507</v>
      </c>
      <c r="C106" s="228" t="s">
        <v>957</v>
      </c>
      <c r="D106" s="229">
        <v>0</v>
      </c>
      <c r="E106" s="230">
        <v>48</v>
      </c>
      <c r="F106" s="230">
        <f t="shared" si="26"/>
        <v>48</v>
      </c>
      <c r="G106" s="231" t="s">
        <v>36</v>
      </c>
      <c r="H106" s="196">
        <f t="shared" si="16"/>
        <v>178.095</v>
      </c>
      <c r="I106" s="232">
        <f t="shared" si="17"/>
        <v>8548.56</v>
      </c>
      <c r="J106" s="227"/>
      <c r="K106" s="233"/>
      <c r="L106" s="73"/>
      <c r="M106" s="73"/>
      <c r="N106" s="73"/>
      <c r="P106" s="95">
        <v>155</v>
      </c>
      <c r="Q106" s="95">
        <f t="shared" si="18"/>
        <v>1.149</v>
      </c>
      <c r="R106" s="95">
        <f t="shared" si="19"/>
        <v>178.095</v>
      </c>
    </row>
    <row r="107" spans="1:18" s="234" customFormat="1">
      <c r="A107" s="227">
        <v>38</v>
      </c>
      <c r="B107" s="228" t="s">
        <v>509</v>
      </c>
      <c r="C107" s="228" t="s">
        <v>958</v>
      </c>
      <c r="D107" s="229">
        <v>0</v>
      </c>
      <c r="E107" s="230">
        <v>4</v>
      </c>
      <c r="F107" s="230">
        <f t="shared" si="26"/>
        <v>4</v>
      </c>
      <c r="G107" s="231" t="s">
        <v>36</v>
      </c>
      <c r="H107" s="196">
        <f t="shared" si="16"/>
        <v>22.98</v>
      </c>
      <c r="I107" s="232">
        <f t="shared" si="17"/>
        <v>91.92</v>
      </c>
      <c r="J107" s="227"/>
      <c r="K107" s="233"/>
      <c r="L107" s="73"/>
      <c r="M107" s="73"/>
      <c r="N107" s="73"/>
      <c r="P107" s="95">
        <v>20</v>
      </c>
      <c r="Q107" s="95">
        <f t="shared" si="18"/>
        <v>1.149</v>
      </c>
      <c r="R107" s="95">
        <f t="shared" si="19"/>
        <v>22.98</v>
      </c>
    </row>
    <row r="108" spans="1:18" s="234" customFormat="1" ht="23.15">
      <c r="A108" s="227">
        <v>39</v>
      </c>
      <c r="B108" s="228" t="s">
        <v>511</v>
      </c>
      <c r="C108" s="228" t="s">
        <v>959</v>
      </c>
      <c r="D108" s="229">
        <v>0</v>
      </c>
      <c r="E108" s="230">
        <v>4</v>
      </c>
      <c r="F108" s="230">
        <f t="shared" si="26"/>
        <v>4</v>
      </c>
      <c r="G108" s="231" t="s">
        <v>36</v>
      </c>
      <c r="H108" s="196">
        <f t="shared" si="16"/>
        <v>241.29</v>
      </c>
      <c r="I108" s="232">
        <f t="shared" si="17"/>
        <v>965.16</v>
      </c>
      <c r="J108" s="227"/>
      <c r="K108" s="233"/>
      <c r="L108" s="73"/>
      <c r="M108" s="73"/>
      <c r="N108" s="73"/>
      <c r="P108" s="95">
        <v>210</v>
      </c>
      <c r="Q108" s="95">
        <f t="shared" si="18"/>
        <v>1.149</v>
      </c>
      <c r="R108" s="95">
        <f t="shared" si="19"/>
        <v>241.29</v>
      </c>
    </row>
    <row r="109" spans="1:18" s="234" customFormat="1">
      <c r="A109" s="227">
        <v>40</v>
      </c>
      <c r="B109" s="228" t="s">
        <v>513</v>
      </c>
      <c r="C109" s="228" t="s">
        <v>514</v>
      </c>
      <c r="D109" s="229">
        <v>0</v>
      </c>
      <c r="E109" s="230">
        <v>3</v>
      </c>
      <c r="F109" s="230">
        <f t="shared" si="26"/>
        <v>3</v>
      </c>
      <c r="G109" s="231" t="s">
        <v>36</v>
      </c>
      <c r="H109" s="196">
        <f t="shared" si="16"/>
        <v>109.155</v>
      </c>
      <c r="I109" s="232">
        <f t="shared" si="17"/>
        <v>327.46500000000003</v>
      </c>
      <c r="J109" s="227"/>
      <c r="K109" s="233"/>
      <c r="L109" s="73"/>
      <c r="M109" s="73"/>
      <c r="N109" s="73"/>
      <c r="P109" s="95">
        <v>95</v>
      </c>
      <c r="Q109" s="95">
        <f t="shared" si="18"/>
        <v>1.149</v>
      </c>
      <c r="R109" s="95">
        <f t="shared" si="19"/>
        <v>109.155</v>
      </c>
    </row>
    <row r="110" spans="1:18" s="234" customFormat="1">
      <c r="A110" s="227">
        <v>41</v>
      </c>
      <c r="B110" s="228" t="s">
        <v>515</v>
      </c>
      <c r="C110" s="228" t="s">
        <v>960</v>
      </c>
      <c r="D110" s="229">
        <v>0</v>
      </c>
      <c r="E110" s="230">
        <v>24</v>
      </c>
      <c r="F110" s="230">
        <f t="shared" si="26"/>
        <v>24</v>
      </c>
      <c r="G110" s="231" t="s">
        <v>36</v>
      </c>
      <c r="H110" s="196">
        <f t="shared" si="16"/>
        <v>51.704999999999998</v>
      </c>
      <c r="I110" s="232">
        <f t="shared" si="17"/>
        <v>1240.92</v>
      </c>
      <c r="J110" s="227"/>
      <c r="K110" s="233"/>
      <c r="L110" s="73"/>
      <c r="M110" s="73"/>
      <c r="N110" s="73"/>
      <c r="P110" s="95">
        <v>45</v>
      </c>
      <c r="Q110" s="95">
        <f t="shared" si="18"/>
        <v>1.149</v>
      </c>
      <c r="R110" s="95">
        <f t="shared" si="19"/>
        <v>51.704999999999998</v>
      </c>
    </row>
    <row r="111" spans="1:18" s="234" customFormat="1">
      <c r="A111" s="227">
        <v>42</v>
      </c>
      <c r="B111" s="228" t="s">
        <v>517</v>
      </c>
      <c r="C111" s="228" t="s">
        <v>961</v>
      </c>
      <c r="D111" s="229">
        <v>0</v>
      </c>
      <c r="E111" s="230">
        <v>48</v>
      </c>
      <c r="F111" s="230">
        <f t="shared" si="26"/>
        <v>48</v>
      </c>
      <c r="G111" s="231" t="s">
        <v>36</v>
      </c>
      <c r="H111" s="196">
        <f t="shared" si="16"/>
        <v>45.96</v>
      </c>
      <c r="I111" s="232">
        <f t="shared" si="17"/>
        <v>2206.08</v>
      </c>
      <c r="J111" s="227"/>
      <c r="K111" s="233"/>
      <c r="L111" s="73"/>
      <c r="M111" s="73"/>
      <c r="N111" s="73"/>
      <c r="P111" s="95">
        <v>40</v>
      </c>
      <c r="Q111" s="95">
        <f t="shared" si="18"/>
        <v>1.149</v>
      </c>
      <c r="R111" s="95">
        <f t="shared" si="19"/>
        <v>45.96</v>
      </c>
    </row>
    <row r="112" spans="1:18" s="234" customFormat="1">
      <c r="A112" s="227">
        <v>43</v>
      </c>
      <c r="B112" s="228" t="s">
        <v>519</v>
      </c>
      <c r="C112" s="228" t="s">
        <v>962</v>
      </c>
      <c r="D112" s="229">
        <v>0</v>
      </c>
      <c r="E112" s="230">
        <v>4</v>
      </c>
      <c r="F112" s="230">
        <f t="shared" si="26"/>
        <v>4</v>
      </c>
      <c r="G112" s="231" t="s">
        <v>36</v>
      </c>
      <c r="H112" s="196">
        <f t="shared" si="16"/>
        <v>137.88</v>
      </c>
      <c r="I112" s="232">
        <f t="shared" si="17"/>
        <v>551.52</v>
      </c>
      <c r="J112" s="227"/>
      <c r="K112" s="233"/>
      <c r="L112" s="73"/>
      <c r="M112" s="73"/>
      <c r="N112" s="73"/>
      <c r="P112" s="95">
        <v>120</v>
      </c>
      <c r="Q112" s="95">
        <f t="shared" si="18"/>
        <v>1.149</v>
      </c>
      <c r="R112" s="95">
        <f t="shared" si="19"/>
        <v>137.88</v>
      </c>
    </row>
    <row r="113" spans="1:18" s="234" customFormat="1">
      <c r="A113" s="227">
        <v>44</v>
      </c>
      <c r="B113" s="228" t="s">
        <v>521</v>
      </c>
      <c r="C113" s="228" t="s">
        <v>963</v>
      </c>
      <c r="D113" s="229">
        <v>0</v>
      </c>
      <c r="E113" s="230">
        <v>48</v>
      </c>
      <c r="F113" s="230">
        <f t="shared" si="26"/>
        <v>48</v>
      </c>
      <c r="G113" s="231" t="s">
        <v>36</v>
      </c>
      <c r="H113" s="196">
        <f t="shared" si="16"/>
        <v>31.023</v>
      </c>
      <c r="I113" s="232">
        <f t="shared" si="17"/>
        <v>1489.104</v>
      </c>
      <c r="J113" s="227"/>
      <c r="K113" s="233"/>
      <c r="L113" s="73"/>
      <c r="M113" s="73"/>
      <c r="N113" s="73"/>
      <c r="P113" s="95">
        <v>27</v>
      </c>
      <c r="Q113" s="95">
        <f t="shared" si="18"/>
        <v>1.149</v>
      </c>
      <c r="R113" s="95">
        <f t="shared" si="19"/>
        <v>31.023</v>
      </c>
    </row>
    <row r="114" spans="1:18" s="234" customFormat="1">
      <c r="A114" s="227">
        <v>45</v>
      </c>
      <c r="B114" s="228" t="s">
        <v>523</v>
      </c>
      <c r="C114" s="228" t="s">
        <v>964</v>
      </c>
      <c r="D114" s="229">
        <v>0</v>
      </c>
      <c r="E114" s="230">
        <v>4</v>
      </c>
      <c r="F114" s="230">
        <f t="shared" si="26"/>
        <v>4</v>
      </c>
      <c r="G114" s="231" t="s">
        <v>36</v>
      </c>
      <c r="H114" s="196">
        <f t="shared" si="16"/>
        <v>109.155</v>
      </c>
      <c r="I114" s="232">
        <f t="shared" si="17"/>
        <v>436.62</v>
      </c>
      <c r="J114" s="227"/>
      <c r="K114" s="233"/>
      <c r="L114" s="73"/>
      <c r="M114" s="73"/>
      <c r="N114" s="73"/>
      <c r="P114" s="95">
        <v>95</v>
      </c>
      <c r="Q114" s="95">
        <f t="shared" si="18"/>
        <v>1.149</v>
      </c>
      <c r="R114" s="95">
        <f t="shared" si="19"/>
        <v>109.155</v>
      </c>
    </row>
    <row r="115" spans="1:18" s="234" customFormat="1">
      <c r="A115" s="227">
        <v>46</v>
      </c>
      <c r="B115" s="228" t="s">
        <v>525</v>
      </c>
      <c r="C115" s="228" t="s">
        <v>965</v>
      </c>
      <c r="D115" s="229">
        <v>0</v>
      </c>
      <c r="E115" s="230">
        <v>24</v>
      </c>
      <c r="F115" s="230">
        <f t="shared" si="26"/>
        <v>24</v>
      </c>
      <c r="G115" s="231" t="s">
        <v>36</v>
      </c>
      <c r="H115" s="196">
        <f t="shared" si="16"/>
        <v>143.625</v>
      </c>
      <c r="I115" s="232">
        <f t="shared" si="17"/>
        <v>3447</v>
      </c>
      <c r="J115" s="227"/>
      <c r="K115" s="233"/>
      <c r="L115" s="73"/>
      <c r="M115" s="73"/>
      <c r="N115" s="73"/>
      <c r="P115" s="95">
        <v>125</v>
      </c>
      <c r="Q115" s="95">
        <f t="shared" si="18"/>
        <v>1.149</v>
      </c>
      <c r="R115" s="95">
        <f t="shared" si="19"/>
        <v>143.625</v>
      </c>
    </row>
    <row r="116" spans="1:18" s="234" customFormat="1">
      <c r="A116" s="215">
        <v>47</v>
      </c>
      <c r="B116" s="235" t="s">
        <v>966</v>
      </c>
      <c r="C116" s="216" t="s">
        <v>967</v>
      </c>
      <c r="D116" s="229">
        <v>0</v>
      </c>
      <c r="E116" s="230">
        <v>242</v>
      </c>
      <c r="F116" s="230">
        <f t="shared" si="26"/>
        <v>242</v>
      </c>
      <c r="G116" s="231" t="s">
        <v>36</v>
      </c>
      <c r="H116" s="196">
        <f t="shared" si="16"/>
        <v>27.576000000000001</v>
      </c>
      <c r="I116" s="232">
        <f t="shared" si="17"/>
        <v>6673.3919999999998</v>
      </c>
      <c r="J116" s="227"/>
      <c r="K116" s="233"/>
      <c r="L116" s="73"/>
      <c r="M116" s="73"/>
      <c r="N116" s="73"/>
      <c r="P116" s="95">
        <v>24</v>
      </c>
      <c r="Q116" s="95">
        <f t="shared" si="18"/>
        <v>1.149</v>
      </c>
      <c r="R116" s="95">
        <f t="shared" si="19"/>
        <v>27.576000000000001</v>
      </c>
    </row>
    <row r="117" spans="1:18" s="234" customFormat="1">
      <c r="A117" s="215">
        <v>48</v>
      </c>
      <c r="B117" s="235" t="s">
        <v>968</v>
      </c>
      <c r="C117" s="216" t="s">
        <v>969</v>
      </c>
      <c r="D117" s="229">
        <v>0</v>
      </c>
      <c r="E117" s="230">
        <v>242</v>
      </c>
      <c r="F117" s="230">
        <f t="shared" si="26"/>
        <v>242</v>
      </c>
      <c r="G117" s="231" t="s">
        <v>36</v>
      </c>
      <c r="H117" s="196">
        <f t="shared" si="16"/>
        <v>0</v>
      </c>
      <c r="I117" s="232">
        <f t="shared" si="17"/>
        <v>0</v>
      </c>
      <c r="J117" s="227"/>
      <c r="K117" s="233"/>
      <c r="L117" s="73"/>
      <c r="M117" s="73"/>
      <c r="N117" s="73"/>
      <c r="P117" s="95"/>
      <c r="Q117" s="95">
        <f t="shared" si="18"/>
        <v>1.149</v>
      </c>
      <c r="R117" s="95">
        <f t="shared" si="19"/>
        <v>0</v>
      </c>
    </row>
    <row r="118" spans="1:18" ht="15.45">
      <c r="I118" s="220">
        <f>SUM(I70:I117)</f>
        <v>202103.35499999998</v>
      </c>
    </row>
    <row r="119" spans="1:18" ht="15.45">
      <c r="C119" s="204" t="s">
        <v>529</v>
      </c>
    </row>
    <row r="120" spans="1:18" ht="23.15">
      <c r="A120" s="208" t="s">
        <v>362</v>
      </c>
      <c r="B120" s="208" t="s">
        <v>363</v>
      </c>
      <c r="C120" s="208" t="s">
        <v>364</v>
      </c>
      <c r="D120" s="209" t="s">
        <v>951</v>
      </c>
      <c r="E120" s="210" t="s">
        <v>952</v>
      </c>
      <c r="F120" s="210"/>
      <c r="G120" s="212" t="s">
        <v>18</v>
      </c>
      <c r="H120" s="213" t="s">
        <v>954</v>
      </c>
      <c r="I120" s="214" t="s">
        <v>955</v>
      </c>
    </row>
    <row r="121" spans="1:18">
      <c r="A121" s="215">
        <v>1</v>
      </c>
      <c r="B121" s="215" t="s">
        <v>530</v>
      </c>
      <c r="C121" s="215" t="s">
        <v>970</v>
      </c>
      <c r="D121" s="216">
        <v>4875</v>
      </c>
      <c r="E121" s="217">
        <f t="shared" ref="E121:E150" si="27">0-D121</f>
        <v>-4875</v>
      </c>
      <c r="F121" s="217">
        <f t="shared" ref="F121:F129" si="28">D121+E121</f>
        <v>0</v>
      </c>
      <c r="G121" s="218" t="s">
        <v>188</v>
      </c>
      <c r="H121" s="196">
        <f t="shared" ref="H121:H184" si="29">N121+R121</f>
        <v>10.984440000000001</v>
      </c>
      <c r="I121" s="196">
        <f t="shared" ref="I121:I184" si="30">H121*F121</f>
        <v>0</v>
      </c>
      <c r="L121" s="93">
        <v>9.56</v>
      </c>
      <c r="M121" s="93">
        <f t="shared" ref="M121:M184" si="31">$M$1</f>
        <v>1.149</v>
      </c>
      <c r="N121" s="93">
        <f t="shared" ref="N121:N184" si="32">L121*M121</f>
        <v>10.984440000000001</v>
      </c>
    </row>
    <row r="122" spans="1:18">
      <c r="A122" s="215">
        <v>2</v>
      </c>
      <c r="B122" s="215" t="s">
        <v>532</v>
      </c>
      <c r="C122" s="215" t="s">
        <v>533</v>
      </c>
      <c r="D122" s="216">
        <v>33</v>
      </c>
      <c r="E122" s="217">
        <f t="shared" si="27"/>
        <v>-33</v>
      </c>
      <c r="F122" s="217">
        <f t="shared" si="28"/>
        <v>0</v>
      </c>
      <c r="G122" s="218" t="s">
        <v>36</v>
      </c>
      <c r="H122" s="196">
        <f t="shared" si="29"/>
        <v>24.358799999999999</v>
      </c>
      <c r="I122" s="196">
        <f t="shared" si="30"/>
        <v>0</v>
      </c>
      <c r="L122" s="93">
        <v>21.2</v>
      </c>
      <c r="M122" s="93">
        <f t="shared" si="31"/>
        <v>1.149</v>
      </c>
      <c r="N122" s="93">
        <f t="shared" si="32"/>
        <v>24.358799999999999</v>
      </c>
    </row>
    <row r="123" spans="1:18">
      <c r="A123" s="215">
        <v>3</v>
      </c>
      <c r="B123" s="215" t="s">
        <v>534</v>
      </c>
      <c r="C123" s="215" t="s">
        <v>971</v>
      </c>
      <c r="D123" s="216">
        <v>66</v>
      </c>
      <c r="E123" s="217">
        <f t="shared" si="27"/>
        <v>-66</v>
      </c>
      <c r="F123" s="217">
        <f t="shared" si="28"/>
        <v>0</v>
      </c>
      <c r="G123" s="218" t="s">
        <v>36</v>
      </c>
      <c r="H123" s="196">
        <f t="shared" si="29"/>
        <v>62.275800000000004</v>
      </c>
      <c r="I123" s="196">
        <f t="shared" si="30"/>
        <v>0</v>
      </c>
      <c r="L123" s="93">
        <v>54.2</v>
      </c>
      <c r="M123" s="93">
        <f t="shared" si="31"/>
        <v>1.149</v>
      </c>
      <c r="N123" s="93">
        <f t="shared" si="32"/>
        <v>62.275800000000004</v>
      </c>
    </row>
    <row r="124" spans="1:18">
      <c r="A124" s="215">
        <v>4</v>
      </c>
      <c r="B124" s="215" t="s">
        <v>536</v>
      </c>
      <c r="C124" s="215" t="s">
        <v>537</v>
      </c>
      <c r="D124" s="216">
        <v>3</v>
      </c>
      <c r="E124" s="217">
        <f t="shared" si="27"/>
        <v>-3</v>
      </c>
      <c r="F124" s="217">
        <f t="shared" si="28"/>
        <v>0</v>
      </c>
      <c r="G124" s="218" t="s">
        <v>36</v>
      </c>
      <c r="H124" s="196">
        <f t="shared" si="29"/>
        <v>302.18700000000001</v>
      </c>
      <c r="I124" s="196">
        <f t="shared" si="30"/>
        <v>0</v>
      </c>
      <c r="L124" s="93">
        <v>263</v>
      </c>
      <c r="M124" s="93">
        <f t="shared" si="31"/>
        <v>1.149</v>
      </c>
      <c r="N124" s="93">
        <f t="shared" si="32"/>
        <v>302.18700000000001</v>
      </c>
    </row>
    <row r="125" spans="1:18">
      <c r="A125" s="215">
        <v>5</v>
      </c>
      <c r="B125" s="215" t="s">
        <v>538</v>
      </c>
      <c r="C125" s="215" t="s">
        <v>539</v>
      </c>
      <c r="D125" s="216">
        <v>0</v>
      </c>
      <c r="E125" s="217">
        <f t="shared" si="27"/>
        <v>0</v>
      </c>
      <c r="F125" s="217">
        <f t="shared" si="28"/>
        <v>0</v>
      </c>
      <c r="G125" s="218" t="s">
        <v>36</v>
      </c>
      <c r="H125" s="196">
        <f t="shared" si="29"/>
        <v>324.01800000000003</v>
      </c>
      <c r="I125" s="196">
        <f t="shared" si="30"/>
        <v>0</v>
      </c>
      <c r="L125" s="93">
        <v>282</v>
      </c>
      <c r="M125" s="93">
        <f t="shared" si="31"/>
        <v>1.149</v>
      </c>
      <c r="N125" s="93">
        <f t="shared" si="32"/>
        <v>324.01800000000003</v>
      </c>
    </row>
    <row r="126" spans="1:18">
      <c r="A126" s="215">
        <v>6</v>
      </c>
      <c r="B126" s="215" t="s">
        <v>540</v>
      </c>
      <c r="C126" s="215" t="s">
        <v>541</v>
      </c>
      <c r="D126" s="216">
        <v>22</v>
      </c>
      <c r="E126" s="217">
        <f t="shared" si="27"/>
        <v>-22</v>
      </c>
      <c r="F126" s="217">
        <f t="shared" si="28"/>
        <v>0</v>
      </c>
      <c r="G126" s="218" t="s">
        <v>36</v>
      </c>
      <c r="H126" s="196">
        <f t="shared" si="29"/>
        <v>57.679800000000007</v>
      </c>
      <c r="I126" s="196">
        <f t="shared" si="30"/>
        <v>0</v>
      </c>
      <c r="L126" s="93">
        <v>50.2</v>
      </c>
      <c r="M126" s="93">
        <f t="shared" si="31"/>
        <v>1.149</v>
      </c>
      <c r="N126" s="93">
        <f t="shared" si="32"/>
        <v>57.679800000000007</v>
      </c>
    </row>
    <row r="127" spans="1:18">
      <c r="A127" s="215">
        <v>7</v>
      </c>
      <c r="B127" s="215" t="s">
        <v>542</v>
      </c>
      <c r="C127" s="215" t="s">
        <v>543</v>
      </c>
      <c r="D127" s="216">
        <v>3</v>
      </c>
      <c r="E127" s="217">
        <f t="shared" si="27"/>
        <v>-3</v>
      </c>
      <c r="F127" s="217">
        <f t="shared" si="28"/>
        <v>0</v>
      </c>
      <c r="G127" s="218" t="s">
        <v>36</v>
      </c>
      <c r="H127" s="196">
        <f t="shared" si="29"/>
        <v>86.174999999999997</v>
      </c>
      <c r="I127" s="196">
        <f t="shared" si="30"/>
        <v>0</v>
      </c>
      <c r="L127" s="93">
        <v>75</v>
      </c>
      <c r="M127" s="93">
        <f t="shared" si="31"/>
        <v>1.149</v>
      </c>
      <c r="N127" s="93">
        <f t="shared" si="32"/>
        <v>86.174999999999997</v>
      </c>
    </row>
    <row r="128" spans="1:18">
      <c r="A128" s="215">
        <v>8</v>
      </c>
      <c r="B128" s="215" t="s">
        <v>544</v>
      </c>
      <c r="C128" s="215" t="s">
        <v>545</v>
      </c>
      <c r="D128" s="216">
        <v>0</v>
      </c>
      <c r="E128" s="217">
        <f t="shared" si="27"/>
        <v>0</v>
      </c>
      <c r="F128" s="217">
        <f t="shared" si="28"/>
        <v>0</v>
      </c>
      <c r="G128" s="218" t="s">
        <v>36</v>
      </c>
      <c r="H128" s="196">
        <f t="shared" si="29"/>
        <v>108.006</v>
      </c>
      <c r="I128" s="196">
        <f t="shared" si="30"/>
        <v>0</v>
      </c>
      <c r="L128" s="93">
        <v>94</v>
      </c>
      <c r="M128" s="93">
        <f t="shared" si="31"/>
        <v>1.149</v>
      </c>
      <c r="N128" s="93">
        <f t="shared" si="32"/>
        <v>108.006</v>
      </c>
    </row>
    <row r="129" spans="1:14">
      <c r="A129" s="215">
        <v>9</v>
      </c>
      <c r="B129" s="215" t="s">
        <v>546</v>
      </c>
      <c r="C129" s="215" t="s">
        <v>547</v>
      </c>
      <c r="D129" s="216">
        <v>22</v>
      </c>
      <c r="E129" s="217">
        <f t="shared" si="27"/>
        <v>-22</v>
      </c>
      <c r="F129" s="217">
        <f t="shared" si="28"/>
        <v>0</v>
      </c>
      <c r="G129" s="218" t="s">
        <v>36</v>
      </c>
      <c r="H129" s="196">
        <f t="shared" si="29"/>
        <v>21.026700000000002</v>
      </c>
      <c r="I129" s="196">
        <f t="shared" si="30"/>
        <v>0</v>
      </c>
      <c r="L129" s="93">
        <v>18.3</v>
      </c>
      <c r="M129" s="93">
        <f t="shared" si="31"/>
        <v>1.149</v>
      </c>
      <c r="N129" s="93">
        <f t="shared" si="32"/>
        <v>21.026700000000002</v>
      </c>
    </row>
    <row r="130" spans="1:14">
      <c r="A130" s="215">
        <v>10</v>
      </c>
      <c r="B130" s="215" t="s">
        <v>548</v>
      </c>
      <c r="C130" s="215" t="s">
        <v>549</v>
      </c>
      <c r="D130" s="216">
        <v>16</v>
      </c>
      <c r="E130" s="217"/>
      <c r="F130" s="216">
        <f t="shared" ref="F130" si="33">D130</f>
        <v>16</v>
      </c>
      <c r="G130" s="218" t="s">
        <v>36</v>
      </c>
      <c r="H130" s="196">
        <f t="shared" si="29"/>
        <v>61.586400000000005</v>
      </c>
      <c r="I130" s="196">
        <f t="shared" si="30"/>
        <v>985.38240000000008</v>
      </c>
      <c r="L130" s="93">
        <v>53.6</v>
      </c>
      <c r="M130" s="93">
        <f t="shared" si="31"/>
        <v>1.149</v>
      </c>
      <c r="N130" s="93">
        <f t="shared" si="32"/>
        <v>61.586400000000005</v>
      </c>
    </row>
    <row r="131" spans="1:14">
      <c r="A131" s="215">
        <v>11</v>
      </c>
      <c r="B131" s="215" t="s">
        <v>550</v>
      </c>
      <c r="C131" s="215" t="s">
        <v>972</v>
      </c>
      <c r="D131" s="216">
        <v>5</v>
      </c>
      <c r="E131" s="217">
        <f t="shared" si="27"/>
        <v>-5</v>
      </c>
      <c r="F131" s="217">
        <f t="shared" ref="F131:F184" si="34">D131+E131</f>
        <v>0</v>
      </c>
      <c r="G131" s="218" t="s">
        <v>36</v>
      </c>
      <c r="H131" s="196">
        <f t="shared" si="29"/>
        <v>2132.5439999999999</v>
      </c>
      <c r="I131" s="196">
        <f t="shared" si="30"/>
        <v>0</v>
      </c>
      <c r="L131" s="93">
        <v>1856</v>
      </c>
      <c r="M131" s="93">
        <f t="shared" si="31"/>
        <v>1.149</v>
      </c>
      <c r="N131" s="93">
        <f t="shared" si="32"/>
        <v>2132.5439999999999</v>
      </c>
    </row>
    <row r="132" spans="1:14">
      <c r="A132" s="215">
        <v>12</v>
      </c>
      <c r="B132" s="215" t="s">
        <v>552</v>
      </c>
      <c r="C132" s="215" t="s">
        <v>973</v>
      </c>
      <c r="D132" s="216">
        <v>1</v>
      </c>
      <c r="E132" s="217">
        <f t="shared" si="27"/>
        <v>-1</v>
      </c>
      <c r="F132" s="217">
        <f t="shared" si="34"/>
        <v>0</v>
      </c>
      <c r="G132" s="218" t="s">
        <v>36</v>
      </c>
      <c r="H132" s="196">
        <f t="shared" si="29"/>
        <v>4265.0879999999997</v>
      </c>
      <c r="I132" s="196">
        <f t="shared" si="30"/>
        <v>0</v>
      </c>
      <c r="L132" s="93">
        <v>3712</v>
      </c>
      <c r="M132" s="93">
        <f t="shared" si="31"/>
        <v>1.149</v>
      </c>
      <c r="N132" s="93">
        <f t="shared" si="32"/>
        <v>4265.0879999999997</v>
      </c>
    </row>
    <row r="133" spans="1:14">
      <c r="A133" s="215">
        <v>13</v>
      </c>
      <c r="B133" s="215" t="s">
        <v>554</v>
      </c>
      <c r="C133" s="215" t="s">
        <v>974</v>
      </c>
      <c r="D133" s="216">
        <v>8</v>
      </c>
      <c r="E133" s="217">
        <f t="shared" si="27"/>
        <v>-8</v>
      </c>
      <c r="F133" s="217">
        <f t="shared" si="34"/>
        <v>0</v>
      </c>
      <c r="G133" s="218" t="s">
        <v>36</v>
      </c>
      <c r="H133" s="196">
        <f t="shared" si="29"/>
        <v>197.62800000000001</v>
      </c>
      <c r="I133" s="196">
        <f t="shared" si="30"/>
        <v>0</v>
      </c>
      <c r="L133" s="93">
        <v>172</v>
      </c>
      <c r="M133" s="93">
        <f t="shared" si="31"/>
        <v>1.149</v>
      </c>
      <c r="N133" s="93">
        <f t="shared" si="32"/>
        <v>197.62800000000001</v>
      </c>
    </row>
    <row r="134" spans="1:14">
      <c r="A134" s="215">
        <v>14</v>
      </c>
      <c r="B134" s="215" t="s">
        <v>556</v>
      </c>
      <c r="C134" s="215" t="s">
        <v>975</v>
      </c>
      <c r="D134" s="216">
        <v>2</v>
      </c>
      <c r="E134" s="217">
        <f t="shared" si="27"/>
        <v>-2</v>
      </c>
      <c r="F134" s="217">
        <f t="shared" si="34"/>
        <v>0</v>
      </c>
      <c r="G134" s="218" t="s">
        <v>36</v>
      </c>
      <c r="H134" s="196">
        <f t="shared" si="29"/>
        <v>419.38499999999999</v>
      </c>
      <c r="I134" s="196">
        <f t="shared" si="30"/>
        <v>0</v>
      </c>
      <c r="L134" s="93">
        <v>365</v>
      </c>
      <c r="M134" s="93">
        <f t="shared" si="31"/>
        <v>1.149</v>
      </c>
      <c r="N134" s="93">
        <f t="shared" si="32"/>
        <v>419.38499999999999</v>
      </c>
    </row>
    <row r="135" spans="1:14">
      <c r="A135" s="215">
        <v>15</v>
      </c>
      <c r="B135" s="215" t="s">
        <v>558</v>
      </c>
      <c r="C135" s="215" t="s">
        <v>976</v>
      </c>
      <c r="D135" s="216">
        <v>1</v>
      </c>
      <c r="E135" s="217">
        <f t="shared" si="27"/>
        <v>-1</v>
      </c>
      <c r="F135" s="217">
        <f t="shared" si="34"/>
        <v>0</v>
      </c>
      <c r="G135" s="218" t="s">
        <v>36</v>
      </c>
      <c r="H135" s="196">
        <f t="shared" si="29"/>
        <v>2997.741</v>
      </c>
      <c r="I135" s="196">
        <f t="shared" si="30"/>
        <v>0</v>
      </c>
      <c r="L135" s="93">
        <v>2609</v>
      </c>
      <c r="M135" s="93">
        <f t="shared" si="31"/>
        <v>1.149</v>
      </c>
      <c r="N135" s="93">
        <f t="shared" si="32"/>
        <v>2997.741</v>
      </c>
    </row>
    <row r="136" spans="1:14">
      <c r="A136" s="215">
        <v>16</v>
      </c>
      <c r="B136" s="215" t="s">
        <v>560</v>
      </c>
      <c r="C136" s="215" t="s">
        <v>977</v>
      </c>
      <c r="D136" s="216">
        <v>4</v>
      </c>
      <c r="E136" s="217">
        <f t="shared" si="27"/>
        <v>-4</v>
      </c>
      <c r="F136" s="217">
        <f t="shared" si="34"/>
        <v>0</v>
      </c>
      <c r="G136" s="218" t="s">
        <v>36</v>
      </c>
      <c r="H136" s="196">
        <f t="shared" si="29"/>
        <v>568.755</v>
      </c>
      <c r="I136" s="196">
        <f t="shared" si="30"/>
        <v>0</v>
      </c>
      <c r="L136" s="93">
        <v>495</v>
      </c>
      <c r="M136" s="93">
        <f t="shared" si="31"/>
        <v>1.149</v>
      </c>
      <c r="N136" s="93">
        <f t="shared" si="32"/>
        <v>568.755</v>
      </c>
    </row>
    <row r="137" spans="1:14">
      <c r="A137" s="215">
        <v>17</v>
      </c>
      <c r="B137" s="215"/>
      <c r="C137" s="215" t="s">
        <v>978</v>
      </c>
      <c r="D137" s="216">
        <v>1</v>
      </c>
      <c r="E137" s="217">
        <f t="shared" si="27"/>
        <v>-1</v>
      </c>
      <c r="F137" s="217">
        <f t="shared" si="34"/>
        <v>0</v>
      </c>
      <c r="G137" s="218" t="s">
        <v>36</v>
      </c>
      <c r="H137" s="196">
        <f t="shared" si="29"/>
        <v>9135.6990000000005</v>
      </c>
      <c r="I137" s="196">
        <f t="shared" si="30"/>
        <v>0</v>
      </c>
      <c r="L137" s="93">
        <v>7951</v>
      </c>
      <c r="M137" s="93">
        <f t="shared" si="31"/>
        <v>1.149</v>
      </c>
      <c r="N137" s="93">
        <f t="shared" si="32"/>
        <v>9135.6990000000005</v>
      </c>
    </row>
    <row r="138" spans="1:14">
      <c r="A138" s="215">
        <v>18</v>
      </c>
      <c r="B138" s="216"/>
      <c r="C138" s="216" t="s">
        <v>979</v>
      </c>
      <c r="D138" s="216">
        <v>2</v>
      </c>
      <c r="E138" s="217">
        <f t="shared" si="27"/>
        <v>-2</v>
      </c>
      <c r="F138" s="217">
        <f t="shared" si="34"/>
        <v>0</v>
      </c>
      <c r="G138" s="218" t="s">
        <v>36</v>
      </c>
      <c r="H138" s="196">
        <f t="shared" si="29"/>
        <v>7529.3969999999999</v>
      </c>
      <c r="I138" s="196">
        <f t="shared" si="30"/>
        <v>0</v>
      </c>
      <c r="L138" s="93">
        <v>6553</v>
      </c>
      <c r="M138" s="93">
        <f t="shared" si="31"/>
        <v>1.149</v>
      </c>
      <c r="N138" s="93">
        <f t="shared" si="32"/>
        <v>7529.3969999999999</v>
      </c>
    </row>
    <row r="139" spans="1:14">
      <c r="A139" s="215">
        <v>19</v>
      </c>
      <c r="B139" s="216"/>
      <c r="C139" s="216" t="s">
        <v>980</v>
      </c>
      <c r="D139" s="216">
        <v>268</v>
      </c>
      <c r="E139" s="217">
        <f t="shared" si="27"/>
        <v>-268</v>
      </c>
      <c r="F139" s="217">
        <f t="shared" si="34"/>
        <v>0</v>
      </c>
      <c r="G139" s="218" t="s">
        <v>188</v>
      </c>
      <c r="H139" s="196">
        <f t="shared" si="29"/>
        <v>43.661999999999999</v>
      </c>
      <c r="I139" s="196">
        <f t="shared" si="30"/>
        <v>0</v>
      </c>
      <c r="L139" s="93">
        <v>38</v>
      </c>
      <c r="M139" s="93">
        <f t="shared" si="31"/>
        <v>1.149</v>
      </c>
      <c r="N139" s="93">
        <f t="shared" si="32"/>
        <v>43.661999999999999</v>
      </c>
    </row>
    <row r="140" spans="1:14">
      <c r="A140" s="215">
        <v>20</v>
      </c>
      <c r="B140" s="216" t="s">
        <v>565</v>
      </c>
      <c r="C140" s="216" t="s">
        <v>981</v>
      </c>
      <c r="D140" s="216">
        <v>4</v>
      </c>
      <c r="E140" s="217">
        <f t="shared" si="27"/>
        <v>-4</v>
      </c>
      <c r="F140" s="217">
        <f t="shared" si="34"/>
        <v>0</v>
      </c>
      <c r="G140" s="218" t="s">
        <v>36</v>
      </c>
      <c r="H140" s="196">
        <f t="shared" si="29"/>
        <v>683.65499999999997</v>
      </c>
      <c r="I140" s="196">
        <f t="shared" si="30"/>
        <v>0</v>
      </c>
      <c r="L140" s="93">
        <v>595</v>
      </c>
      <c r="M140" s="93">
        <f t="shared" si="31"/>
        <v>1.149</v>
      </c>
      <c r="N140" s="93">
        <f t="shared" si="32"/>
        <v>683.65499999999997</v>
      </c>
    </row>
    <row r="141" spans="1:14">
      <c r="A141" s="215">
        <v>21</v>
      </c>
      <c r="B141" s="216" t="s">
        <v>567</v>
      </c>
      <c r="C141" s="216" t="s">
        <v>982</v>
      </c>
      <c r="D141" s="216">
        <v>4</v>
      </c>
      <c r="E141" s="217">
        <f t="shared" si="27"/>
        <v>-4</v>
      </c>
      <c r="F141" s="217">
        <f t="shared" si="34"/>
        <v>0</v>
      </c>
      <c r="G141" s="218" t="s">
        <v>36</v>
      </c>
      <c r="H141" s="196">
        <f t="shared" si="29"/>
        <v>264.27</v>
      </c>
      <c r="I141" s="196">
        <f t="shared" si="30"/>
        <v>0</v>
      </c>
      <c r="L141" s="93">
        <v>230</v>
      </c>
      <c r="M141" s="93">
        <f t="shared" si="31"/>
        <v>1.149</v>
      </c>
      <c r="N141" s="93">
        <f t="shared" si="32"/>
        <v>264.27</v>
      </c>
    </row>
    <row r="142" spans="1:14">
      <c r="A142" s="215">
        <v>22</v>
      </c>
      <c r="B142" s="216" t="s">
        <v>569</v>
      </c>
      <c r="C142" s="216" t="s">
        <v>983</v>
      </c>
      <c r="D142" s="216">
        <v>16</v>
      </c>
      <c r="E142" s="217">
        <f t="shared" si="27"/>
        <v>-16</v>
      </c>
      <c r="F142" s="217">
        <f t="shared" si="34"/>
        <v>0</v>
      </c>
      <c r="G142" s="218" t="s">
        <v>36</v>
      </c>
      <c r="H142" s="196">
        <f t="shared" si="29"/>
        <v>18.498900000000003</v>
      </c>
      <c r="I142" s="196">
        <f t="shared" si="30"/>
        <v>0</v>
      </c>
      <c r="L142" s="93">
        <v>16.100000000000001</v>
      </c>
      <c r="M142" s="93">
        <f t="shared" si="31"/>
        <v>1.149</v>
      </c>
      <c r="N142" s="93">
        <f t="shared" si="32"/>
        <v>18.498900000000003</v>
      </c>
    </row>
    <row r="143" spans="1:14">
      <c r="A143" s="215">
        <v>23</v>
      </c>
      <c r="B143" s="216" t="s">
        <v>571</v>
      </c>
      <c r="C143" s="216" t="s">
        <v>984</v>
      </c>
      <c r="D143" s="216">
        <v>32</v>
      </c>
      <c r="E143" s="217">
        <f t="shared" si="27"/>
        <v>-32</v>
      </c>
      <c r="F143" s="217">
        <f t="shared" si="34"/>
        <v>0</v>
      </c>
      <c r="G143" s="218" t="s">
        <v>36</v>
      </c>
      <c r="H143" s="196">
        <f t="shared" si="29"/>
        <v>15.6264</v>
      </c>
      <c r="I143" s="196">
        <f t="shared" si="30"/>
        <v>0</v>
      </c>
      <c r="L143" s="93">
        <v>13.6</v>
      </c>
      <c r="M143" s="93">
        <f t="shared" si="31"/>
        <v>1.149</v>
      </c>
      <c r="N143" s="93">
        <f t="shared" si="32"/>
        <v>15.6264</v>
      </c>
    </row>
    <row r="144" spans="1:14">
      <c r="A144" s="215">
        <v>24</v>
      </c>
      <c r="B144" s="216"/>
      <c r="C144" s="216" t="s">
        <v>985</v>
      </c>
      <c r="D144" s="216">
        <v>32</v>
      </c>
      <c r="E144" s="217">
        <f t="shared" si="27"/>
        <v>-32</v>
      </c>
      <c r="F144" s="217">
        <f t="shared" si="34"/>
        <v>0</v>
      </c>
      <c r="G144" s="218" t="s">
        <v>36</v>
      </c>
      <c r="H144" s="196">
        <f t="shared" si="29"/>
        <v>36.768000000000001</v>
      </c>
      <c r="I144" s="196">
        <f t="shared" si="30"/>
        <v>0</v>
      </c>
      <c r="L144" s="93">
        <v>32</v>
      </c>
      <c r="M144" s="93">
        <f t="shared" si="31"/>
        <v>1.149</v>
      </c>
      <c r="N144" s="93">
        <f t="shared" si="32"/>
        <v>36.768000000000001</v>
      </c>
    </row>
    <row r="145" spans="1:18">
      <c r="A145" s="215">
        <v>25</v>
      </c>
      <c r="B145" s="216"/>
      <c r="C145" s="216" t="s">
        <v>986</v>
      </c>
      <c r="D145" s="216">
        <v>16</v>
      </c>
      <c r="E145" s="217">
        <f t="shared" si="27"/>
        <v>-16</v>
      </c>
      <c r="F145" s="217">
        <f t="shared" si="34"/>
        <v>0</v>
      </c>
      <c r="G145" s="218" t="s">
        <v>36</v>
      </c>
      <c r="H145" s="196">
        <f t="shared" si="29"/>
        <v>140.8674</v>
      </c>
      <c r="I145" s="196">
        <f t="shared" si="30"/>
        <v>0</v>
      </c>
      <c r="L145" s="93">
        <v>122.6</v>
      </c>
      <c r="M145" s="93">
        <f t="shared" si="31"/>
        <v>1.149</v>
      </c>
      <c r="N145" s="93">
        <f t="shared" si="32"/>
        <v>140.8674</v>
      </c>
    </row>
    <row r="146" spans="1:18">
      <c r="A146" s="215">
        <v>26</v>
      </c>
      <c r="B146" s="216" t="s">
        <v>575</v>
      </c>
      <c r="C146" s="216" t="s">
        <v>576</v>
      </c>
      <c r="D146" s="216">
        <v>32</v>
      </c>
      <c r="E146" s="217">
        <f t="shared" si="27"/>
        <v>-32</v>
      </c>
      <c r="F146" s="217">
        <f t="shared" si="34"/>
        <v>0</v>
      </c>
      <c r="G146" s="218" t="s">
        <v>36</v>
      </c>
      <c r="H146" s="196">
        <f t="shared" si="29"/>
        <v>2.8725000000000001</v>
      </c>
      <c r="I146" s="196">
        <f t="shared" si="30"/>
        <v>0</v>
      </c>
      <c r="L146" s="93">
        <v>2.5</v>
      </c>
      <c r="M146" s="93">
        <f t="shared" si="31"/>
        <v>1.149</v>
      </c>
      <c r="N146" s="93">
        <f t="shared" si="32"/>
        <v>2.8725000000000001</v>
      </c>
    </row>
    <row r="147" spans="1:18">
      <c r="A147" s="215">
        <v>27</v>
      </c>
      <c r="B147" s="216" t="s">
        <v>577</v>
      </c>
      <c r="C147" s="216" t="s">
        <v>578</v>
      </c>
      <c r="D147" s="216">
        <v>4</v>
      </c>
      <c r="E147" s="217">
        <f t="shared" si="27"/>
        <v>-4</v>
      </c>
      <c r="F147" s="217">
        <f t="shared" si="34"/>
        <v>0</v>
      </c>
      <c r="G147" s="218" t="s">
        <v>36</v>
      </c>
      <c r="H147" s="196">
        <f t="shared" si="29"/>
        <v>636.54600000000005</v>
      </c>
      <c r="I147" s="196">
        <f t="shared" si="30"/>
        <v>0</v>
      </c>
      <c r="L147" s="93">
        <v>554</v>
      </c>
      <c r="M147" s="93">
        <f t="shared" si="31"/>
        <v>1.149</v>
      </c>
      <c r="N147" s="93">
        <f t="shared" si="32"/>
        <v>636.54600000000005</v>
      </c>
    </row>
    <row r="148" spans="1:18">
      <c r="A148" s="215">
        <v>28</v>
      </c>
      <c r="B148" s="216" t="s">
        <v>579</v>
      </c>
      <c r="C148" s="216" t="s">
        <v>580</v>
      </c>
      <c r="D148" s="216">
        <v>4</v>
      </c>
      <c r="E148" s="217">
        <f t="shared" si="27"/>
        <v>-4</v>
      </c>
      <c r="F148" s="217">
        <f t="shared" si="34"/>
        <v>0</v>
      </c>
      <c r="G148" s="218" t="s">
        <v>36</v>
      </c>
      <c r="H148" s="196">
        <f t="shared" si="29"/>
        <v>86.174999999999997</v>
      </c>
      <c r="I148" s="196">
        <f t="shared" si="30"/>
        <v>0</v>
      </c>
      <c r="L148" s="93">
        <v>75</v>
      </c>
      <c r="M148" s="93">
        <f t="shared" si="31"/>
        <v>1.149</v>
      </c>
      <c r="N148" s="93">
        <f t="shared" si="32"/>
        <v>86.174999999999997</v>
      </c>
    </row>
    <row r="149" spans="1:18">
      <c r="A149" s="215">
        <v>29</v>
      </c>
      <c r="B149" s="216" t="s">
        <v>581</v>
      </c>
      <c r="C149" s="216" t="s">
        <v>582</v>
      </c>
      <c r="D149" s="216">
        <v>8</v>
      </c>
      <c r="E149" s="217">
        <f t="shared" si="27"/>
        <v>-8</v>
      </c>
      <c r="F149" s="217">
        <f t="shared" si="34"/>
        <v>0</v>
      </c>
      <c r="G149" s="218" t="s">
        <v>36</v>
      </c>
      <c r="H149" s="196">
        <f t="shared" si="29"/>
        <v>17.234999999999999</v>
      </c>
      <c r="I149" s="196">
        <f t="shared" si="30"/>
        <v>0</v>
      </c>
      <c r="L149" s="93">
        <v>15</v>
      </c>
      <c r="M149" s="93">
        <f t="shared" si="31"/>
        <v>1.149</v>
      </c>
      <c r="N149" s="93">
        <f t="shared" si="32"/>
        <v>17.234999999999999</v>
      </c>
    </row>
    <row r="150" spans="1:18">
      <c r="A150" s="215">
        <v>30</v>
      </c>
      <c r="B150" s="216"/>
      <c r="C150" s="216" t="s">
        <v>987</v>
      </c>
      <c r="D150" s="216">
        <v>2</v>
      </c>
      <c r="E150" s="217">
        <f t="shared" si="27"/>
        <v>-2</v>
      </c>
      <c r="F150" s="217">
        <f t="shared" si="34"/>
        <v>0</v>
      </c>
      <c r="G150" s="218" t="s">
        <v>36</v>
      </c>
      <c r="H150" s="196">
        <f t="shared" si="29"/>
        <v>5342.85</v>
      </c>
      <c r="I150" s="196">
        <f t="shared" si="30"/>
        <v>0</v>
      </c>
      <c r="L150" s="93">
        <v>4650</v>
      </c>
      <c r="M150" s="93">
        <f t="shared" si="31"/>
        <v>1.149</v>
      </c>
      <c r="N150" s="93">
        <f t="shared" si="32"/>
        <v>5342.85</v>
      </c>
    </row>
    <row r="151" spans="1:18" s="234" customFormat="1">
      <c r="A151" s="227">
        <v>31</v>
      </c>
      <c r="B151" s="236" t="s">
        <v>988</v>
      </c>
      <c r="C151" s="236" t="s">
        <v>989</v>
      </c>
      <c r="D151" s="229">
        <v>0</v>
      </c>
      <c r="E151" s="229">
        <v>22</v>
      </c>
      <c r="F151" s="217">
        <f t="shared" si="34"/>
        <v>22</v>
      </c>
      <c r="G151" s="231" t="s">
        <v>36</v>
      </c>
      <c r="H151" s="196">
        <f t="shared" si="29"/>
        <v>130.98599999999999</v>
      </c>
      <c r="I151" s="237">
        <f t="shared" si="30"/>
        <v>2881.692</v>
      </c>
      <c r="L151" s="93">
        <v>114</v>
      </c>
      <c r="M151" s="93">
        <f t="shared" si="31"/>
        <v>1.149</v>
      </c>
      <c r="N151" s="93">
        <f t="shared" si="32"/>
        <v>130.98599999999999</v>
      </c>
      <c r="P151" s="73"/>
      <c r="Q151" s="73"/>
      <c r="R151" s="73"/>
    </row>
    <row r="152" spans="1:18" s="234" customFormat="1">
      <c r="A152" s="227">
        <v>32</v>
      </c>
      <c r="B152" s="236" t="s">
        <v>990</v>
      </c>
      <c r="C152" s="236" t="s">
        <v>991</v>
      </c>
      <c r="D152" s="229">
        <v>0</v>
      </c>
      <c r="E152" s="229">
        <v>22</v>
      </c>
      <c r="F152" s="217">
        <f t="shared" si="34"/>
        <v>22</v>
      </c>
      <c r="G152" s="231" t="s">
        <v>36</v>
      </c>
      <c r="H152" s="196">
        <f t="shared" si="29"/>
        <v>37.055250000000001</v>
      </c>
      <c r="I152" s="237">
        <f t="shared" si="30"/>
        <v>815.21550000000002</v>
      </c>
      <c r="L152" s="93">
        <v>32.25</v>
      </c>
      <c r="M152" s="93">
        <f t="shared" si="31"/>
        <v>1.149</v>
      </c>
      <c r="N152" s="93">
        <f t="shared" si="32"/>
        <v>37.055250000000001</v>
      </c>
      <c r="P152" s="73"/>
      <c r="Q152" s="73"/>
      <c r="R152" s="73"/>
    </row>
    <row r="153" spans="1:18" s="234" customFormat="1">
      <c r="A153" s="227">
        <v>33</v>
      </c>
      <c r="B153" s="236" t="s">
        <v>992</v>
      </c>
      <c r="C153" s="236" t="s">
        <v>993</v>
      </c>
      <c r="D153" s="229">
        <v>0</v>
      </c>
      <c r="E153" s="229">
        <v>22</v>
      </c>
      <c r="F153" s="217">
        <f t="shared" si="34"/>
        <v>22</v>
      </c>
      <c r="G153" s="231" t="s">
        <v>36</v>
      </c>
      <c r="H153" s="196">
        <f t="shared" si="29"/>
        <v>243.01349999999999</v>
      </c>
      <c r="I153" s="237">
        <f t="shared" si="30"/>
        <v>5346.2969999999996</v>
      </c>
      <c r="L153" s="93">
        <v>211.5</v>
      </c>
      <c r="M153" s="93">
        <f t="shared" si="31"/>
        <v>1.149</v>
      </c>
      <c r="N153" s="93">
        <f t="shared" si="32"/>
        <v>243.01349999999999</v>
      </c>
      <c r="P153" s="73"/>
      <c r="Q153" s="73"/>
      <c r="R153" s="73"/>
    </row>
    <row r="154" spans="1:18" s="234" customFormat="1">
      <c r="A154" s="227">
        <v>34</v>
      </c>
      <c r="B154" s="236" t="s">
        <v>994</v>
      </c>
      <c r="C154" s="236" t="s">
        <v>995</v>
      </c>
      <c r="D154" s="229">
        <v>0</v>
      </c>
      <c r="E154" s="229">
        <v>4</v>
      </c>
      <c r="F154" s="217">
        <f t="shared" si="34"/>
        <v>4</v>
      </c>
      <c r="G154" s="231" t="s">
        <v>36</v>
      </c>
      <c r="H154" s="196">
        <f t="shared" si="29"/>
        <v>113.751</v>
      </c>
      <c r="I154" s="237">
        <f t="shared" si="30"/>
        <v>455.00400000000002</v>
      </c>
      <c r="L154" s="93">
        <v>99</v>
      </c>
      <c r="M154" s="93">
        <f t="shared" si="31"/>
        <v>1.149</v>
      </c>
      <c r="N154" s="93">
        <f t="shared" si="32"/>
        <v>113.751</v>
      </c>
      <c r="P154" s="73"/>
      <c r="Q154" s="73"/>
      <c r="R154" s="73"/>
    </row>
    <row r="155" spans="1:18" s="234" customFormat="1">
      <c r="A155" s="227">
        <v>35</v>
      </c>
      <c r="B155" s="236" t="s">
        <v>996</v>
      </c>
      <c r="C155" s="236" t="s">
        <v>997</v>
      </c>
      <c r="D155" s="229">
        <v>0</v>
      </c>
      <c r="E155" s="229">
        <v>4</v>
      </c>
      <c r="F155" s="217">
        <f t="shared" si="34"/>
        <v>4</v>
      </c>
      <c r="G155" s="231" t="s">
        <v>36</v>
      </c>
      <c r="H155" s="196">
        <f t="shared" si="29"/>
        <v>284.3775</v>
      </c>
      <c r="I155" s="237">
        <f t="shared" si="30"/>
        <v>1137.51</v>
      </c>
      <c r="L155" s="93">
        <v>247.5</v>
      </c>
      <c r="M155" s="93">
        <f t="shared" si="31"/>
        <v>1.149</v>
      </c>
      <c r="N155" s="93">
        <f t="shared" si="32"/>
        <v>284.3775</v>
      </c>
      <c r="P155" s="73"/>
      <c r="Q155" s="73"/>
      <c r="R155" s="73"/>
    </row>
    <row r="156" spans="1:18" s="234" customFormat="1">
      <c r="A156" s="227">
        <v>36</v>
      </c>
      <c r="B156" s="236" t="s">
        <v>998</v>
      </c>
      <c r="C156" s="236" t="s">
        <v>999</v>
      </c>
      <c r="D156" s="229">
        <v>0</v>
      </c>
      <c r="E156" s="229">
        <v>0</v>
      </c>
      <c r="F156" s="217">
        <f t="shared" si="34"/>
        <v>0</v>
      </c>
      <c r="G156" s="231" t="s">
        <v>36</v>
      </c>
      <c r="H156" s="196">
        <f t="shared" si="29"/>
        <v>0</v>
      </c>
      <c r="I156" s="237">
        <f t="shared" si="30"/>
        <v>0</v>
      </c>
      <c r="L156" s="93"/>
      <c r="M156" s="93">
        <f t="shared" si="31"/>
        <v>1.149</v>
      </c>
      <c r="N156" s="93">
        <f t="shared" si="32"/>
        <v>0</v>
      </c>
      <c r="P156" s="73"/>
      <c r="Q156" s="73"/>
      <c r="R156" s="73"/>
    </row>
    <row r="157" spans="1:18" s="234" customFormat="1">
      <c r="A157" s="227">
        <v>37</v>
      </c>
      <c r="B157" s="236" t="s">
        <v>1000</v>
      </c>
      <c r="C157" s="236" t="s">
        <v>1001</v>
      </c>
      <c r="D157" s="229">
        <v>0</v>
      </c>
      <c r="E157" s="229">
        <v>0</v>
      </c>
      <c r="F157" s="217">
        <f t="shared" si="34"/>
        <v>0</v>
      </c>
      <c r="G157" s="231" t="s">
        <v>36</v>
      </c>
      <c r="H157" s="196">
        <f t="shared" si="29"/>
        <v>0</v>
      </c>
      <c r="I157" s="237">
        <f t="shared" si="30"/>
        <v>0</v>
      </c>
      <c r="L157" s="93"/>
      <c r="M157" s="93">
        <f t="shared" si="31"/>
        <v>1.149</v>
      </c>
      <c r="N157" s="93">
        <f t="shared" si="32"/>
        <v>0</v>
      </c>
      <c r="P157" s="73"/>
      <c r="Q157" s="73"/>
      <c r="R157" s="73"/>
    </row>
    <row r="158" spans="1:18">
      <c r="A158" s="238">
        <v>38</v>
      </c>
      <c r="B158" s="239" t="s">
        <v>1002</v>
      </c>
      <c r="C158" s="239" t="s">
        <v>1003</v>
      </c>
      <c r="D158" s="229">
        <v>0</v>
      </c>
      <c r="E158" s="230">
        <v>2</v>
      </c>
      <c r="F158" s="230">
        <f t="shared" si="34"/>
        <v>2</v>
      </c>
      <c r="G158" s="231" t="s">
        <v>36</v>
      </c>
      <c r="H158" s="196">
        <f t="shared" si="29"/>
        <v>5138.3280000000004</v>
      </c>
      <c r="I158" s="196">
        <f t="shared" si="30"/>
        <v>10276.656000000001</v>
      </c>
      <c r="L158" s="93">
        <v>4472</v>
      </c>
      <c r="M158" s="93">
        <f t="shared" si="31"/>
        <v>1.149</v>
      </c>
      <c r="N158" s="93">
        <f t="shared" si="32"/>
        <v>5138.3280000000004</v>
      </c>
    </row>
    <row r="159" spans="1:18">
      <c r="A159" s="238">
        <v>39</v>
      </c>
      <c r="B159" s="239" t="s">
        <v>1004</v>
      </c>
      <c r="C159" s="239" t="s">
        <v>1005</v>
      </c>
      <c r="D159" s="229">
        <v>0</v>
      </c>
      <c r="E159" s="230">
        <v>2</v>
      </c>
      <c r="F159" s="230">
        <f t="shared" si="34"/>
        <v>2</v>
      </c>
      <c r="G159" s="231" t="s">
        <v>36</v>
      </c>
      <c r="H159" s="196">
        <f t="shared" si="29"/>
        <v>761.78700000000003</v>
      </c>
      <c r="I159" s="196">
        <f t="shared" si="30"/>
        <v>1523.5740000000001</v>
      </c>
      <c r="L159" s="93">
        <v>663</v>
      </c>
      <c r="M159" s="93">
        <f t="shared" si="31"/>
        <v>1.149</v>
      </c>
      <c r="N159" s="93">
        <f t="shared" si="32"/>
        <v>761.78700000000003</v>
      </c>
    </row>
    <row r="160" spans="1:18">
      <c r="A160" s="238">
        <v>40</v>
      </c>
      <c r="B160" s="239" t="s">
        <v>1006</v>
      </c>
      <c r="C160" s="239" t="s">
        <v>1007</v>
      </c>
      <c r="D160" s="229">
        <v>0</v>
      </c>
      <c r="E160" s="230">
        <v>2</v>
      </c>
      <c r="F160" s="230">
        <f t="shared" si="34"/>
        <v>2</v>
      </c>
      <c r="G160" s="231" t="s">
        <v>36</v>
      </c>
      <c r="H160" s="196">
        <f t="shared" si="29"/>
        <v>761.78700000000003</v>
      </c>
      <c r="I160" s="196">
        <f t="shared" si="30"/>
        <v>1523.5740000000001</v>
      </c>
      <c r="L160" s="93">
        <v>663</v>
      </c>
      <c r="M160" s="93">
        <f t="shared" si="31"/>
        <v>1.149</v>
      </c>
      <c r="N160" s="93">
        <f t="shared" si="32"/>
        <v>761.78700000000003</v>
      </c>
    </row>
    <row r="161" spans="1:18" ht="23.15">
      <c r="A161" s="238">
        <v>41</v>
      </c>
      <c r="B161" s="239" t="s">
        <v>1008</v>
      </c>
      <c r="C161" s="239" t="s">
        <v>1009</v>
      </c>
      <c r="D161" s="229">
        <v>0</v>
      </c>
      <c r="E161" s="230">
        <v>2</v>
      </c>
      <c r="F161" s="230">
        <f t="shared" si="34"/>
        <v>2</v>
      </c>
      <c r="G161" s="240" t="s">
        <v>36</v>
      </c>
      <c r="H161" s="196">
        <f t="shared" si="29"/>
        <v>21097.938000000002</v>
      </c>
      <c r="I161" s="196">
        <f t="shared" si="30"/>
        <v>42195.876000000004</v>
      </c>
      <c r="L161" s="93">
        <v>18362</v>
      </c>
      <c r="M161" s="93">
        <f t="shared" si="31"/>
        <v>1.149</v>
      </c>
      <c r="N161" s="93">
        <f t="shared" si="32"/>
        <v>21097.938000000002</v>
      </c>
    </row>
    <row r="162" spans="1:18" s="243" customFormat="1">
      <c r="A162" s="241">
        <v>42</v>
      </c>
      <c r="B162" s="242" t="s">
        <v>1010</v>
      </c>
      <c r="C162" s="242" t="s">
        <v>1011</v>
      </c>
      <c r="D162" s="229">
        <v>0</v>
      </c>
      <c r="E162" s="230">
        <v>1</v>
      </c>
      <c r="F162" s="230">
        <f t="shared" si="34"/>
        <v>1</v>
      </c>
      <c r="G162" s="240" t="s">
        <v>36</v>
      </c>
      <c r="H162" s="196">
        <f t="shared" si="29"/>
        <v>14561.277</v>
      </c>
      <c r="I162" s="237">
        <f t="shared" si="30"/>
        <v>14561.277</v>
      </c>
      <c r="L162" s="93">
        <v>12673</v>
      </c>
      <c r="M162" s="93">
        <f t="shared" si="31"/>
        <v>1.149</v>
      </c>
      <c r="N162" s="93">
        <f t="shared" si="32"/>
        <v>14561.277</v>
      </c>
      <c r="P162" s="73"/>
      <c r="Q162" s="73"/>
      <c r="R162" s="73"/>
    </row>
    <row r="163" spans="1:18" s="243" customFormat="1">
      <c r="A163" s="241">
        <v>43</v>
      </c>
      <c r="B163" s="242" t="s">
        <v>1012</v>
      </c>
      <c r="C163" s="242" t="s">
        <v>1013</v>
      </c>
      <c r="D163" s="229">
        <v>0</v>
      </c>
      <c r="E163" s="230">
        <v>1</v>
      </c>
      <c r="F163" s="230">
        <f t="shared" si="34"/>
        <v>1</v>
      </c>
      <c r="G163" s="240" t="s">
        <v>36</v>
      </c>
      <c r="H163" s="196">
        <f t="shared" si="29"/>
        <v>2643.8490000000002</v>
      </c>
      <c r="I163" s="237">
        <f t="shared" si="30"/>
        <v>2643.8490000000002</v>
      </c>
      <c r="L163" s="93">
        <v>2301</v>
      </c>
      <c r="M163" s="93">
        <f t="shared" si="31"/>
        <v>1.149</v>
      </c>
      <c r="N163" s="93">
        <f t="shared" si="32"/>
        <v>2643.8490000000002</v>
      </c>
      <c r="P163" s="73"/>
      <c r="Q163" s="73"/>
      <c r="R163" s="73"/>
    </row>
    <row r="164" spans="1:18" s="243" customFormat="1">
      <c r="A164" s="241">
        <v>44</v>
      </c>
      <c r="B164" s="242"/>
      <c r="C164" s="242" t="s">
        <v>1014</v>
      </c>
      <c r="D164" s="229">
        <v>0</v>
      </c>
      <c r="E164" s="230">
        <v>4</v>
      </c>
      <c r="F164" s="230">
        <f t="shared" si="34"/>
        <v>4</v>
      </c>
      <c r="G164" s="240" t="s">
        <v>36</v>
      </c>
      <c r="H164" s="196">
        <f t="shared" si="29"/>
        <v>471.09000000000003</v>
      </c>
      <c r="I164" s="237">
        <f t="shared" si="30"/>
        <v>1884.3600000000001</v>
      </c>
      <c r="L164" s="93">
        <v>410</v>
      </c>
      <c r="M164" s="93">
        <f t="shared" si="31"/>
        <v>1.149</v>
      </c>
      <c r="N164" s="93">
        <f t="shared" si="32"/>
        <v>471.09000000000003</v>
      </c>
      <c r="P164" s="73"/>
      <c r="Q164" s="73"/>
      <c r="R164" s="73"/>
    </row>
    <row r="165" spans="1:18" s="243" customFormat="1" ht="23.15">
      <c r="A165" s="241">
        <v>45</v>
      </c>
      <c r="B165" s="242"/>
      <c r="C165" s="242" t="s">
        <v>1015</v>
      </c>
      <c r="D165" s="229">
        <v>0</v>
      </c>
      <c r="E165" s="230">
        <v>1</v>
      </c>
      <c r="F165" s="230">
        <f t="shared" si="34"/>
        <v>1</v>
      </c>
      <c r="G165" s="240" t="s">
        <v>36</v>
      </c>
      <c r="H165" s="196">
        <f t="shared" si="29"/>
        <v>512.45400000000006</v>
      </c>
      <c r="I165" s="237">
        <f t="shared" si="30"/>
        <v>512.45400000000006</v>
      </c>
      <c r="L165" s="93">
        <v>446</v>
      </c>
      <c r="M165" s="93">
        <f t="shared" si="31"/>
        <v>1.149</v>
      </c>
      <c r="N165" s="93">
        <f t="shared" si="32"/>
        <v>512.45400000000006</v>
      </c>
      <c r="P165" s="73"/>
      <c r="Q165" s="73"/>
      <c r="R165" s="73"/>
    </row>
    <row r="166" spans="1:18" s="243" customFormat="1">
      <c r="A166" s="241">
        <v>46</v>
      </c>
      <c r="B166" s="242" t="s">
        <v>1016</v>
      </c>
      <c r="C166" s="242" t="s">
        <v>1017</v>
      </c>
      <c r="D166" s="229">
        <v>0</v>
      </c>
      <c r="E166" s="230">
        <v>3</v>
      </c>
      <c r="F166" s="230">
        <f t="shared" si="34"/>
        <v>3</v>
      </c>
      <c r="G166" s="240" t="s">
        <v>36</v>
      </c>
      <c r="H166" s="196">
        <f t="shared" si="29"/>
        <v>471.09000000000003</v>
      </c>
      <c r="I166" s="237">
        <f t="shared" si="30"/>
        <v>1413.27</v>
      </c>
      <c r="L166" s="93">
        <v>410</v>
      </c>
      <c r="M166" s="93">
        <f t="shared" si="31"/>
        <v>1.149</v>
      </c>
      <c r="N166" s="93">
        <f t="shared" si="32"/>
        <v>471.09000000000003</v>
      </c>
      <c r="P166" s="73"/>
      <c r="Q166" s="73"/>
      <c r="R166" s="73"/>
    </row>
    <row r="167" spans="1:18" s="243" customFormat="1">
      <c r="A167" s="241">
        <v>47</v>
      </c>
      <c r="B167" s="244" t="s">
        <v>1018</v>
      </c>
      <c r="C167" s="244" t="s">
        <v>1019</v>
      </c>
      <c r="D167" s="229">
        <v>0</v>
      </c>
      <c r="E167" s="230">
        <v>4</v>
      </c>
      <c r="F167" s="230">
        <f t="shared" si="34"/>
        <v>4</v>
      </c>
      <c r="G167" s="240" t="s">
        <v>36</v>
      </c>
      <c r="H167" s="196">
        <f t="shared" si="29"/>
        <v>600.92700000000002</v>
      </c>
      <c r="I167" s="237">
        <f t="shared" si="30"/>
        <v>2403.7080000000001</v>
      </c>
      <c r="L167" s="93">
        <v>523</v>
      </c>
      <c r="M167" s="93">
        <f t="shared" si="31"/>
        <v>1.149</v>
      </c>
      <c r="N167" s="93">
        <f t="shared" si="32"/>
        <v>600.92700000000002</v>
      </c>
      <c r="P167" s="73"/>
      <c r="Q167" s="73"/>
      <c r="R167" s="73"/>
    </row>
    <row r="168" spans="1:18" s="243" customFormat="1">
      <c r="A168" s="241">
        <v>48</v>
      </c>
      <c r="B168" s="242" t="s">
        <v>1020</v>
      </c>
      <c r="C168" s="242" t="s">
        <v>1021</v>
      </c>
      <c r="D168" s="229">
        <v>0</v>
      </c>
      <c r="E168" s="230">
        <v>6</v>
      </c>
      <c r="F168" s="230">
        <f t="shared" si="34"/>
        <v>6</v>
      </c>
      <c r="G168" s="240" t="s">
        <v>36</v>
      </c>
      <c r="H168" s="196">
        <f t="shared" si="29"/>
        <v>422.83199999999999</v>
      </c>
      <c r="I168" s="237">
        <f t="shared" si="30"/>
        <v>2536.9920000000002</v>
      </c>
      <c r="L168" s="93">
        <v>368</v>
      </c>
      <c r="M168" s="93">
        <f t="shared" si="31"/>
        <v>1.149</v>
      </c>
      <c r="N168" s="93">
        <f t="shared" si="32"/>
        <v>422.83199999999999</v>
      </c>
      <c r="P168" s="73"/>
      <c r="Q168" s="73"/>
      <c r="R168" s="73"/>
    </row>
    <row r="169" spans="1:18" s="243" customFormat="1" ht="23.15">
      <c r="A169" s="241">
        <v>49</v>
      </c>
      <c r="B169" s="242" t="s">
        <v>1022</v>
      </c>
      <c r="C169" s="242" t="s">
        <v>1023</v>
      </c>
      <c r="D169" s="229">
        <v>0</v>
      </c>
      <c r="E169" s="230">
        <v>3</v>
      </c>
      <c r="F169" s="230">
        <f t="shared" si="34"/>
        <v>3</v>
      </c>
      <c r="G169" s="240" t="s">
        <v>36</v>
      </c>
      <c r="H169" s="196">
        <f t="shared" si="29"/>
        <v>746.85</v>
      </c>
      <c r="I169" s="237">
        <f t="shared" si="30"/>
        <v>2240.5500000000002</v>
      </c>
      <c r="L169" s="93">
        <v>650</v>
      </c>
      <c r="M169" s="93">
        <f t="shared" si="31"/>
        <v>1.149</v>
      </c>
      <c r="N169" s="93">
        <f t="shared" si="32"/>
        <v>746.85</v>
      </c>
      <c r="P169" s="73"/>
      <c r="Q169" s="73"/>
      <c r="R169" s="73"/>
    </row>
    <row r="170" spans="1:18" ht="23.15">
      <c r="A170" s="245">
        <v>50</v>
      </c>
      <c r="B170" s="238" t="s">
        <v>1024</v>
      </c>
      <c r="C170" s="238" t="s">
        <v>1025</v>
      </c>
      <c r="D170" s="229">
        <v>0</v>
      </c>
      <c r="E170" s="230">
        <v>242</v>
      </c>
      <c r="F170" s="230">
        <f t="shared" si="34"/>
        <v>242</v>
      </c>
      <c r="G170" s="231" t="s">
        <v>188</v>
      </c>
      <c r="H170" s="196">
        <f t="shared" si="29"/>
        <v>32.171999999999997</v>
      </c>
      <c r="I170" s="196">
        <f t="shared" si="30"/>
        <v>7785.6239999999989</v>
      </c>
      <c r="L170" s="93">
        <v>28</v>
      </c>
      <c r="M170" s="93">
        <f t="shared" si="31"/>
        <v>1.149</v>
      </c>
      <c r="N170" s="93">
        <f t="shared" si="32"/>
        <v>32.171999999999997</v>
      </c>
    </row>
    <row r="171" spans="1:18">
      <c r="A171" s="245">
        <v>51</v>
      </c>
      <c r="B171" s="228" t="s">
        <v>1026</v>
      </c>
      <c r="C171" s="246" t="s">
        <v>1027</v>
      </c>
      <c r="D171" s="229">
        <v>0</v>
      </c>
      <c r="E171" s="230">
        <v>3</v>
      </c>
      <c r="F171" s="230">
        <f t="shared" si="34"/>
        <v>3</v>
      </c>
      <c r="G171" s="231" t="s">
        <v>36</v>
      </c>
      <c r="H171" s="196">
        <f t="shared" si="29"/>
        <v>693.99599999999998</v>
      </c>
      <c r="I171" s="196">
        <f t="shared" si="30"/>
        <v>2081.9879999999998</v>
      </c>
      <c r="L171" s="93">
        <v>604</v>
      </c>
      <c r="M171" s="93">
        <f t="shared" si="31"/>
        <v>1.149</v>
      </c>
      <c r="N171" s="93">
        <f t="shared" si="32"/>
        <v>693.99599999999998</v>
      </c>
    </row>
    <row r="172" spans="1:18" ht="23.15">
      <c r="A172" s="245">
        <v>52</v>
      </c>
      <c r="B172" s="228" t="s">
        <v>1028</v>
      </c>
      <c r="C172" s="228" t="s">
        <v>1029</v>
      </c>
      <c r="D172" s="229">
        <v>0</v>
      </c>
      <c r="E172" s="230">
        <v>3</v>
      </c>
      <c r="F172" s="230">
        <f t="shared" si="34"/>
        <v>3</v>
      </c>
      <c r="G172" s="231" t="s">
        <v>36</v>
      </c>
      <c r="H172" s="196">
        <f t="shared" si="29"/>
        <v>93.069000000000003</v>
      </c>
      <c r="I172" s="196">
        <f t="shared" si="30"/>
        <v>279.20699999999999</v>
      </c>
      <c r="L172" s="93">
        <v>81</v>
      </c>
      <c r="M172" s="93">
        <f t="shared" si="31"/>
        <v>1.149</v>
      </c>
      <c r="N172" s="93">
        <f t="shared" si="32"/>
        <v>93.069000000000003</v>
      </c>
    </row>
    <row r="173" spans="1:18">
      <c r="A173" s="245">
        <v>53</v>
      </c>
      <c r="B173" s="228" t="s">
        <v>1030</v>
      </c>
      <c r="C173" s="246" t="s">
        <v>1031</v>
      </c>
      <c r="D173" s="229">
        <v>0</v>
      </c>
      <c r="E173" s="230">
        <v>48</v>
      </c>
      <c r="F173" s="230">
        <f t="shared" si="34"/>
        <v>48</v>
      </c>
      <c r="G173" s="231" t="s">
        <v>36</v>
      </c>
      <c r="H173" s="196">
        <f t="shared" si="29"/>
        <v>4.5960000000000001</v>
      </c>
      <c r="I173" s="196">
        <f t="shared" si="30"/>
        <v>220.608</v>
      </c>
      <c r="L173" s="93">
        <v>4</v>
      </c>
      <c r="M173" s="93">
        <f t="shared" si="31"/>
        <v>1.149</v>
      </c>
      <c r="N173" s="93">
        <f t="shared" si="32"/>
        <v>4.5960000000000001</v>
      </c>
    </row>
    <row r="174" spans="1:18">
      <c r="A174" s="245">
        <v>54</v>
      </c>
      <c r="B174" s="228" t="s">
        <v>1032</v>
      </c>
      <c r="C174" s="246" t="s">
        <v>1033</v>
      </c>
      <c r="D174" s="229">
        <v>0</v>
      </c>
      <c r="E174" s="230">
        <v>4</v>
      </c>
      <c r="F174" s="230">
        <f t="shared" si="34"/>
        <v>4</v>
      </c>
      <c r="G174" s="231" t="s">
        <v>36</v>
      </c>
      <c r="H174" s="196">
        <f t="shared" si="29"/>
        <v>636.54600000000005</v>
      </c>
      <c r="I174" s="196">
        <f t="shared" si="30"/>
        <v>2546.1840000000002</v>
      </c>
      <c r="L174" s="93">
        <v>554</v>
      </c>
      <c r="M174" s="93">
        <f t="shared" si="31"/>
        <v>1.149</v>
      </c>
      <c r="N174" s="93">
        <f t="shared" si="32"/>
        <v>636.54600000000005</v>
      </c>
    </row>
    <row r="175" spans="1:18" s="243" customFormat="1">
      <c r="A175" s="247">
        <v>55</v>
      </c>
      <c r="B175" s="248" t="s">
        <v>1034</v>
      </c>
      <c r="C175" s="248" t="s">
        <v>1035</v>
      </c>
      <c r="D175" s="229">
        <v>0</v>
      </c>
      <c r="E175" s="230">
        <v>24</v>
      </c>
      <c r="F175" s="230">
        <f t="shared" si="34"/>
        <v>24</v>
      </c>
      <c r="G175" s="240" t="s">
        <v>36</v>
      </c>
      <c r="H175" s="196">
        <f t="shared" si="29"/>
        <v>22.4055</v>
      </c>
      <c r="I175" s="237">
        <f t="shared" si="30"/>
        <v>537.73199999999997</v>
      </c>
      <c r="L175" s="93">
        <v>19.5</v>
      </c>
      <c r="M175" s="93">
        <f t="shared" si="31"/>
        <v>1.149</v>
      </c>
      <c r="N175" s="93">
        <f t="shared" si="32"/>
        <v>22.4055</v>
      </c>
      <c r="P175" s="73"/>
      <c r="Q175" s="73"/>
      <c r="R175" s="73"/>
    </row>
    <row r="176" spans="1:18" s="243" customFormat="1">
      <c r="A176" s="247">
        <v>56</v>
      </c>
      <c r="B176" s="248" t="s">
        <v>1036</v>
      </c>
      <c r="C176" s="248" t="s">
        <v>1037</v>
      </c>
      <c r="D176" s="229">
        <v>0</v>
      </c>
      <c r="E176" s="230">
        <v>48</v>
      </c>
      <c r="F176" s="230">
        <f t="shared" si="34"/>
        <v>48</v>
      </c>
      <c r="G176" s="240" t="s">
        <v>36</v>
      </c>
      <c r="H176" s="196">
        <f t="shared" si="29"/>
        <v>38.951099999999997</v>
      </c>
      <c r="I176" s="237">
        <f t="shared" si="30"/>
        <v>1869.6527999999998</v>
      </c>
      <c r="L176" s="93">
        <v>33.9</v>
      </c>
      <c r="M176" s="93">
        <f t="shared" si="31"/>
        <v>1.149</v>
      </c>
      <c r="N176" s="93">
        <f t="shared" si="32"/>
        <v>38.951099999999997</v>
      </c>
      <c r="P176" s="73"/>
      <c r="Q176" s="73"/>
      <c r="R176" s="73"/>
    </row>
    <row r="177" spans="1:18" s="243" customFormat="1">
      <c r="A177" s="247">
        <v>57</v>
      </c>
      <c r="B177" s="248" t="s">
        <v>1038</v>
      </c>
      <c r="C177" s="248" t="s">
        <v>1039</v>
      </c>
      <c r="D177" s="229">
        <v>0</v>
      </c>
      <c r="E177" s="230">
        <v>12</v>
      </c>
      <c r="F177" s="230">
        <f t="shared" si="34"/>
        <v>12</v>
      </c>
      <c r="G177" s="240" t="s">
        <v>36</v>
      </c>
      <c r="H177" s="196">
        <f t="shared" si="29"/>
        <v>137.88</v>
      </c>
      <c r="I177" s="237">
        <f t="shared" si="30"/>
        <v>1654.56</v>
      </c>
      <c r="L177" s="93">
        <v>120</v>
      </c>
      <c r="M177" s="93">
        <f t="shared" si="31"/>
        <v>1.149</v>
      </c>
      <c r="N177" s="93">
        <f t="shared" si="32"/>
        <v>137.88</v>
      </c>
      <c r="P177" s="73"/>
      <c r="Q177" s="73"/>
      <c r="R177" s="73"/>
    </row>
    <row r="178" spans="1:18" s="243" customFormat="1">
      <c r="A178" s="247">
        <v>58</v>
      </c>
      <c r="B178" s="248" t="s">
        <v>1040</v>
      </c>
      <c r="C178" s="248" t="s">
        <v>1041</v>
      </c>
      <c r="D178" s="229">
        <v>0</v>
      </c>
      <c r="E178" s="230">
        <v>12</v>
      </c>
      <c r="F178" s="230">
        <f t="shared" si="34"/>
        <v>12</v>
      </c>
      <c r="G178" s="240" t="s">
        <v>36</v>
      </c>
      <c r="H178" s="196">
        <f t="shared" si="29"/>
        <v>160.86000000000001</v>
      </c>
      <c r="I178" s="237">
        <f t="shared" si="30"/>
        <v>1930.3200000000002</v>
      </c>
      <c r="L178" s="93">
        <v>140</v>
      </c>
      <c r="M178" s="93">
        <f t="shared" si="31"/>
        <v>1.149</v>
      </c>
      <c r="N178" s="93">
        <f t="shared" si="32"/>
        <v>160.86000000000001</v>
      </c>
      <c r="P178" s="73"/>
      <c r="Q178" s="73"/>
      <c r="R178" s="73"/>
    </row>
    <row r="179" spans="1:18" s="243" customFormat="1">
      <c r="A179" s="247">
        <v>59</v>
      </c>
      <c r="B179" s="248" t="s">
        <v>1042</v>
      </c>
      <c r="C179" s="248" t="s">
        <v>1043</v>
      </c>
      <c r="D179" s="229">
        <v>0</v>
      </c>
      <c r="E179" s="230">
        <v>242</v>
      </c>
      <c r="F179" s="230">
        <f t="shared" si="34"/>
        <v>242</v>
      </c>
      <c r="G179" s="249" t="s">
        <v>188</v>
      </c>
      <c r="H179" s="196">
        <f t="shared" si="29"/>
        <v>50.555999999999997</v>
      </c>
      <c r="I179" s="237">
        <f t="shared" si="30"/>
        <v>12234.552</v>
      </c>
      <c r="L179" s="93">
        <v>44</v>
      </c>
      <c r="M179" s="93">
        <f t="shared" si="31"/>
        <v>1.149</v>
      </c>
      <c r="N179" s="93">
        <f t="shared" si="32"/>
        <v>50.555999999999997</v>
      </c>
      <c r="P179" s="73"/>
      <c r="Q179" s="73"/>
      <c r="R179" s="73"/>
    </row>
    <row r="180" spans="1:18" s="243" customFormat="1" ht="23.15">
      <c r="A180" s="247">
        <v>60</v>
      </c>
      <c r="B180" s="250" t="s">
        <v>1044</v>
      </c>
      <c r="C180" s="250" t="s">
        <v>1045</v>
      </c>
      <c r="D180" s="229">
        <v>0</v>
      </c>
      <c r="E180" s="230">
        <v>81</v>
      </c>
      <c r="F180" s="230">
        <f t="shared" si="34"/>
        <v>81</v>
      </c>
      <c r="G180" s="249" t="s">
        <v>36</v>
      </c>
      <c r="H180" s="196">
        <f t="shared" si="29"/>
        <v>64.343999999999994</v>
      </c>
      <c r="I180" s="237">
        <f t="shared" si="30"/>
        <v>5211.8639999999996</v>
      </c>
      <c r="L180" s="93">
        <v>56</v>
      </c>
      <c r="M180" s="93">
        <f t="shared" si="31"/>
        <v>1.149</v>
      </c>
      <c r="N180" s="93">
        <f t="shared" si="32"/>
        <v>64.343999999999994</v>
      </c>
      <c r="P180" s="73"/>
      <c r="Q180" s="73"/>
      <c r="R180" s="73"/>
    </row>
    <row r="181" spans="1:18" s="243" customFormat="1">
      <c r="A181" s="247">
        <v>61</v>
      </c>
      <c r="B181" s="250" t="s">
        <v>1046</v>
      </c>
      <c r="C181" s="250" t="s">
        <v>1047</v>
      </c>
      <c r="D181" s="229">
        <v>0</v>
      </c>
      <c r="E181" s="230">
        <v>7</v>
      </c>
      <c r="F181" s="230">
        <f t="shared" si="34"/>
        <v>7</v>
      </c>
      <c r="G181" s="249" t="s">
        <v>36</v>
      </c>
      <c r="H181" s="196">
        <f t="shared" si="29"/>
        <v>2688.66</v>
      </c>
      <c r="I181" s="237">
        <f t="shared" si="30"/>
        <v>18820.62</v>
      </c>
      <c r="L181" s="93">
        <v>2340</v>
      </c>
      <c r="M181" s="93">
        <f t="shared" si="31"/>
        <v>1.149</v>
      </c>
      <c r="N181" s="93">
        <f t="shared" si="32"/>
        <v>2688.66</v>
      </c>
      <c r="P181" s="73"/>
      <c r="Q181" s="73"/>
      <c r="R181" s="73"/>
    </row>
    <row r="182" spans="1:18" s="243" customFormat="1">
      <c r="A182" s="241">
        <v>62</v>
      </c>
      <c r="B182" s="242" t="s">
        <v>1048</v>
      </c>
      <c r="C182" s="242" t="s">
        <v>1049</v>
      </c>
      <c r="D182" s="229">
        <v>0</v>
      </c>
      <c r="E182" s="230">
        <v>4</v>
      </c>
      <c r="F182" s="230">
        <f t="shared" si="34"/>
        <v>4</v>
      </c>
      <c r="G182" s="240" t="s">
        <v>36</v>
      </c>
      <c r="H182" s="196">
        <f t="shared" si="29"/>
        <v>145.923</v>
      </c>
      <c r="I182" s="237">
        <f t="shared" si="30"/>
        <v>583.69200000000001</v>
      </c>
      <c r="L182" s="93">
        <v>127</v>
      </c>
      <c r="M182" s="93">
        <f t="shared" si="31"/>
        <v>1.149</v>
      </c>
      <c r="N182" s="93">
        <f t="shared" si="32"/>
        <v>145.923</v>
      </c>
      <c r="P182" s="73"/>
      <c r="Q182" s="73"/>
      <c r="R182" s="73"/>
    </row>
    <row r="183" spans="1:18">
      <c r="A183" s="247">
        <v>63</v>
      </c>
      <c r="B183" s="251" t="s">
        <v>1050</v>
      </c>
      <c r="C183" s="250" t="s">
        <v>1051</v>
      </c>
      <c r="D183" s="229">
        <v>0</v>
      </c>
      <c r="E183" s="230">
        <v>5265</v>
      </c>
      <c r="F183" s="230">
        <f t="shared" si="34"/>
        <v>5265</v>
      </c>
      <c r="G183" s="249" t="s">
        <v>188</v>
      </c>
      <c r="H183" s="196">
        <f t="shared" si="29"/>
        <v>11.145299999999999</v>
      </c>
      <c r="I183" s="196">
        <f t="shared" si="30"/>
        <v>58680.004499999995</v>
      </c>
      <c r="L183" s="93">
        <v>9.6999999999999993</v>
      </c>
      <c r="M183" s="93">
        <f t="shared" si="31"/>
        <v>1.149</v>
      </c>
      <c r="N183" s="93">
        <f t="shared" si="32"/>
        <v>11.145299999999999</v>
      </c>
    </row>
    <row r="184" spans="1:18" s="243" customFormat="1">
      <c r="A184" s="247">
        <v>64</v>
      </c>
      <c r="B184" s="250" t="s">
        <v>1052</v>
      </c>
      <c r="C184" s="250" t="s">
        <v>1053</v>
      </c>
      <c r="D184" s="229">
        <v>0</v>
      </c>
      <c r="E184" s="230">
        <v>81</v>
      </c>
      <c r="F184" s="230">
        <f t="shared" si="34"/>
        <v>81</v>
      </c>
      <c r="G184" s="249" t="s">
        <v>36</v>
      </c>
      <c r="H184" s="196">
        <f t="shared" si="29"/>
        <v>36.768000000000001</v>
      </c>
      <c r="I184" s="237">
        <f t="shared" si="30"/>
        <v>2978.2080000000001</v>
      </c>
      <c r="L184" s="93">
        <v>32</v>
      </c>
      <c r="M184" s="93">
        <f t="shared" si="31"/>
        <v>1.149</v>
      </c>
      <c r="N184" s="93">
        <f t="shared" si="32"/>
        <v>36.768000000000001</v>
      </c>
      <c r="P184" s="73"/>
      <c r="Q184" s="73"/>
      <c r="R184" s="73"/>
    </row>
    <row r="185" spans="1:18" ht="15.45">
      <c r="I185" s="220">
        <f>SUM(I121:I184)</f>
        <v>212752.05720000001</v>
      </c>
    </row>
    <row r="186" spans="1:18" ht="15.45">
      <c r="C186" s="204" t="s">
        <v>584</v>
      </c>
    </row>
    <row r="187" spans="1:18" ht="23.15">
      <c r="A187" s="208" t="s">
        <v>362</v>
      </c>
      <c r="B187" s="208" t="s">
        <v>363</v>
      </c>
      <c r="C187" s="208" t="s">
        <v>364</v>
      </c>
      <c r="D187" s="209" t="s">
        <v>951</v>
      </c>
      <c r="E187" s="210" t="s">
        <v>952</v>
      </c>
      <c r="F187" s="210"/>
      <c r="G187" s="212" t="s">
        <v>18</v>
      </c>
      <c r="H187" s="213" t="s">
        <v>954</v>
      </c>
      <c r="I187" s="214" t="s">
        <v>955</v>
      </c>
    </row>
    <row r="188" spans="1:18">
      <c r="A188" s="215">
        <v>1</v>
      </c>
      <c r="B188" s="215"/>
      <c r="C188" s="215" t="s">
        <v>439</v>
      </c>
      <c r="D188" s="216">
        <v>4</v>
      </c>
      <c r="E188" s="217"/>
      <c r="F188" s="216">
        <f t="shared" ref="F188:F189" si="35">D188</f>
        <v>4</v>
      </c>
      <c r="G188" s="218" t="s">
        <v>323</v>
      </c>
      <c r="H188" s="196">
        <f t="shared" ref="H188:H201" si="36">N188+R188</f>
        <v>517.04999999999995</v>
      </c>
      <c r="I188" s="196">
        <f t="shared" ref="I188:I201" si="37">H188*F188</f>
        <v>2068.1999999999998</v>
      </c>
      <c r="P188" s="95">
        <v>450</v>
      </c>
      <c r="Q188" s="95">
        <f t="shared" ref="Q188:Q251" si="38">Q$1</f>
        <v>1.149</v>
      </c>
      <c r="R188" s="95">
        <f t="shared" ref="R188:R251" si="39">P188*Q188</f>
        <v>517.04999999999995</v>
      </c>
    </row>
    <row r="189" spans="1:18">
      <c r="A189" s="215">
        <v>2</v>
      </c>
      <c r="B189" s="215"/>
      <c r="C189" s="215" t="s">
        <v>440</v>
      </c>
      <c r="D189" s="216">
        <v>4</v>
      </c>
      <c r="E189" s="217"/>
      <c r="F189" s="216">
        <f t="shared" si="35"/>
        <v>4</v>
      </c>
      <c r="G189" s="218" t="s">
        <v>323</v>
      </c>
      <c r="H189" s="196">
        <f t="shared" si="36"/>
        <v>517.04999999999995</v>
      </c>
      <c r="I189" s="196">
        <f t="shared" si="37"/>
        <v>2068.1999999999998</v>
      </c>
      <c r="P189" s="95">
        <v>450</v>
      </c>
      <c r="Q189" s="95">
        <f t="shared" si="38"/>
        <v>1.149</v>
      </c>
      <c r="R189" s="95">
        <f t="shared" si="39"/>
        <v>517.04999999999995</v>
      </c>
    </row>
    <row r="190" spans="1:18">
      <c r="A190" s="215">
        <v>3</v>
      </c>
      <c r="B190" s="215" t="s">
        <v>585</v>
      </c>
      <c r="C190" s="215" t="s">
        <v>586</v>
      </c>
      <c r="D190" s="216">
        <v>11</v>
      </c>
      <c r="E190" s="217">
        <v>2</v>
      </c>
      <c r="F190" s="217">
        <f t="shared" ref="F190:F194" si="40">D190+E190</f>
        <v>13</v>
      </c>
      <c r="G190" s="218" t="s">
        <v>36</v>
      </c>
      <c r="H190" s="196">
        <f t="shared" si="36"/>
        <v>137.88</v>
      </c>
      <c r="I190" s="196">
        <f t="shared" si="37"/>
        <v>1792.44</v>
      </c>
      <c r="P190" s="95">
        <v>120</v>
      </c>
      <c r="Q190" s="95">
        <f t="shared" si="38"/>
        <v>1.149</v>
      </c>
      <c r="R190" s="95">
        <f t="shared" si="39"/>
        <v>137.88</v>
      </c>
    </row>
    <row r="191" spans="1:18">
      <c r="A191" s="215">
        <v>4</v>
      </c>
      <c r="B191" s="215" t="s">
        <v>587</v>
      </c>
      <c r="C191" s="215" t="s">
        <v>588</v>
      </c>
      <c r="D191" s="216">
        <v>11</v>
      </c>
      <c r="E191" s="217">
        <v>2</v>
      </c>
      <c r="F191" s="217">
        <f t="shared" si="40"/>
        <v>13</v>
      </c>
      <c r="G191" s="218" t="s">
        <v>36</v>
      </c>
      <c r="H191" s="196">
        <f t="shared" si="36"/>
        <v>183.84</v>
      </c>
      <c r="I191" s="196">
        <f t="shared" si="37"/>
        <v>2389.92</v>
      </c>
      <c r="P191" s="95">
        <v>160</v>
      </c>
      <c r="Q191" s="95">
        <f t="shared" si="38"/>
        <v>1.149</v>
      </c>
      <c r="R191" s="95">
        <f t="shared" si="39"/>
        <v>183.84</v>
      </c>
    </row>
    <row r="192" spans="1:18">
      <c r="A192" s="215">
        <v>5</v>
      </c>
      <c r="B192" s="215" t="s">
        <v>589</v>
      </c>
      <c r="C192" s="215" t="s">
        <v>590</v>
      </c>
      <c r="D192" s="216">
        <v>11</v>
      </c>
      <c r="E192" s="217">
        <v>2</v>
      </c>
      <c r="F192" s="217">
        <f t="shared" si="40"/>
        <v>13</v>
      </c>
      <c r="G192" s="218" t="s">
        <v>36</v>
      </c>
      <c r="H192" s="196">
        <f t="shared" si="36"/>
        <v>252.78</v>
      </c>
      <c r="I192" s="196">
        <f t="shared" si="37"/>
        <v>3286.14</v>
      </c>
      <c r="P192" s="95">
        <v>220</v>
      </c>
      <c r="Q192" s="95">
        <f t="shared" si="38"/>
        <v>1.149</v>
      </c>
      <c r="R192" s="95">
        <f t="shared" si="39"/>
        <v>252.78</v>
      </c>
    </row>
    <row r="193" spans="1:18">
      <c r="A193" s="215">
        <v>6</v>
      </c>
      <c r="B193" s="215" t="s">
        <v>591</v>
      </c>
      <c r="C193" s="215" t="s">
        <v>592</v>
      </c>
      <c r="D193" s="216">
        <v>11</v>
      </c>
      <c r="E193" s="217">
        <v>2</v>
      </c>
      <c r="F193" s="217">
        <f t="shared" si="40"/>
        <v>13</v>
      </c>
      <c r="G193" s="218" t="s">
        <v>36</v>
      </c>
      <c r="H193" s="196">
        <f t="shared" si="36"/>
        <v>172.35</v>
      </c>
      <c r="I193" s="196">
        <f t="shared" si="37"/>
        <v>2240.5499999999997</v>
      </c>
      <c r="P193" s="95">
        <v>150</v>
      </c>
      <c r="Q193" s="95">
        <f t="shared" si="38"/>
        <v>1.149</v>
      </c>
      <c r="R193" s="95">
        <f t="shared" si="39"/>
        <v>172.35</v>
      </c>
    </row>
    <row r="194" spans="1:18">
      <c r="A194" s="215">
        <v>7</v>
      </c>
      <c r="B194" s="215" t="s">
        <v>593</v>
      </c>
      <c r="C194" s="215" t="s">
        <v>594</v>
      </c>
      <c r="D194" s="216">
        <v>11</v>
      </c>
      <c r="E194" s="217">
        <v>2</v>
      </c>
      <c r="F194" s="217">
        <f t="shared" si="40"/>
        <v>13</v>
      </c>
      <c r="G194" s="218" t="s">
        <v>36</v>
      </c>
      <c r="H194" s="196">
        <f t="shared" si="36"/>
        <v>68.94</v>
      </c>
      <c r="I194" s="196">
        <f t="shared" si="37"/>
        <v>896.22</v>
      </c>
      <c r="P194" s="95">
        <v>60</v>
      </c>
      <c r="Q194" s="95">
        <f t="shared" si="38"/>
        <v>1.149</v>
      </c>
      <c r="R194" s="95">
        <f t="shared" si="39"/>
        <v>68.94</v>
      </c>
    </row>
    <row r="195" spans="1:18">
      <c r="A195" s="215">
        <v>8</v>
      </c>
      <c r="B195" s="215" t="s">
        <v>595</v>
      </c>
      <c r="C195" s="215" t="s">
        <v>596</v>
      </c>
      <c r="D195" s="216">
        <v>1</v>
      </c>
      <c r="E195" s="217"/>
      <c r="F195" s="216">
        <f t="shared" ref="F195:F201" si="41">D195</f>
        <v>1</v>
      </c>
      <c r="G195" s="218" t="s">
        <v>36</v>
      </c>
      <c r="H195" s="196">
        <f t="shared" si="36"/>
        <v>988.14</v>
      </c>
      <c r="I195" s="196">
        <f t="shared" si="37"/>
        <v>988.14</v>
      </c>
      <c r="P195" s="95">
        <v>860</v>
      </c>
      <c r="Q195" s="95">
        <f t="shared" si="38"/>
        <v>1.149</v>
      </c>
      <c r="R195" s="95">
        <f t="shared" si="39"/>
        <v>988.14</v>
      </c>
    </row>
    <row r="196" spans="1:18">
      <c r="A196" s="215">
        <v>9</v>
      </c>
      <c r="B196" s="215" t="s">
        <v>597</v>
      </c>
      <c r="C196" s="215" t="s">
        <v>598</v>
      </c>
      <c r="D196" s="216">
        <v>1</v>
      </c>
      <c r="E196" s="217"/>
      <c r="F196" s="216">
        <f t="shared" si="41"/>
        <v>1</v>
      </c>
      <c r="G196" s="218" t="s">
        <v>36</v>
      </c>
      <c r="H196" s="196">
        <f t="shared" si="36"/>
        <v>7468.5</v>
      </c>
      <c r="I196" s="196">
        <f t="shared" si="37"/>
        <v>7468.5</v>
      </c>
      <c r="P196" s="95">
        <v>6500</v>
      </c>
      <c r="Q196" s="95">
        <f t="shared" si="38"/>
        <v>1.149</v>
      </c>
      <c r="R196" s="95">
        <f t="shared" si="39"/>
        <v>7468.5</v>
      </c>
    </row>
    <row r="197" spans="1:18">
      <c r="A197" s="215">
        <v>10</v>
      </c>
      <c r="B197" s="215"/>
      <c r="C197" s="215" t="s">
        <v>599</v>
      </c>
      <c r="D197" s="216">
        <v>1</v>
      </c>
      <c r="E197" s="217"/>
      <c r="F197" s="216">
        <f t="shared" si="41"/>
        <v>1</v>
      </c>
      <c r="G197" s="218" t="s">
        <v>332</v>
      </c>
      <c r="H197" s="196">
        <f t="shared" si="36"/>
        <v>1091.55</v>
      </c>
      <c r="I197" s="196">
        <f t="shared" si="37"/>
        <v>1091.55</v>
      </c>
      <c r="P197" s="95">
        <v>950</v>
      </c>
      <c r="Q197" s="95">
        <f t="shared" si="38"/>
        <v>1.149</v>
      </c>
      <c r="R197" s="95">
        <f t="shared" si="39"/>
        <v>1091.55</v>
      </c>
    </row>
    <row r="198" spans="1:18">
      <c r="A198" s="215">
        <v>11</v>
      </c>
      <c r="B198" s="215"/>
      <c r="C198" s="215" t="s">
        <v>600</v>
      </c>
      <c r="D198" s="216">
        <v>1</v>
      </c>
      <c r="E198" s="217"/>
      <c r="F198" s="216">
        <f t="shared" si="41"/>
        <v>1</v>
      </c>
      <c r="G198" s="218" t="s">
        <v>332</v>
      </c>
      <c r="H198" s="196">
        <f t="shared" si="36"/>
        <v>1907.3400000000001</v>
      </c>
      <c r="I198" s="196">
        <f t="shared" si="37"/>
        <v>1907.3400000000001</v>
      </c>
      <c r="P198" s="95">
        <v>1660</v>
      </c>
      <c r="Q198" s="95">
        <f t="shared" si="38"/>
        <v>1.149</v>
      </c>
      <c r="R198" s="95">
        <f t="shared" si="39"/>
        <v>1907.3400000000001</v>
      </c>
    </row>
    <row r="199" spans="1:18">
      <c r="A199" s="215">
        <v>12</v>
      </c>
      <c r="B199" s="215" t="s">
        <v>497</v>
      </c>
      <c r="C199" s="215" t="s">
        <v>498</v>
      </c>
      <c r="D199" s="216">
        <v>3</v>
      </c>
      <c r="E199" s="217"/>
      <c r="F199" s="216">
        <f t="shared" si="41"/>
        <v>3</v>
      </c>
      <c r="G199" s="218" t="s">
        <v>36</v>
      </c>
      <c r="H199" s="196">
        <f t="shared" si="36"/>
        <v>976.65</v>
      </c>
      <c r="I199" s="196">
        <f t="shared" si="37"/>
        <v>2929.95</v>
      </c>
      <c r="P199" s="95">
        <v>850</v>
      </c>
      <c r="Q199" s="95">
        <f t="shared" si="38"/>
        <v>1.149</v>
      </c>
      <c r="R199" s="95">
        <f t="shared" si="39"/>
        <v>976.65</v>
      </c>
    </row>
    <row r="200" spans="1:18">
      <c r="A200" s="215">
        <v>13</v>
      </c>
      <c r="B200" s="215" t="s">
        <v>601</v>
      </c>
      <c r="C200" s="215" t="s">
        <v>602</v>
      </c>
      <c r="D200" s="216">
        <v>3</v>
      </c>
      <c r="E200" s="217"/>
      <c r="F200" s="216">
        <f t="shared" si="41"/>
        <v>3</v>
      </c>
      <c r="G200" s="218" t="s">
        <v>36</v>
      </c>
      <c r="H200" s="196">
        <f t="shared" si="36"/>
        <v>517.04999999999995</v>
      </c>
      <c r="I200" s="196">
        <f t="shared" si="37"/>
        <v>1551.1499999999999</v>
      </c>
      <c r="P200" s="95">
        <v>450</v>
      </c>
      <c r="Q200" s="95">
        <f t="shared" si="38"/>
        <v>1.149</v>
      </c>
      <c r="R200" s="95">
        <f t="shared" si="39"/>
        <v>517.04999999999995</v>
      </c>
    </row>
    <row r="201" spans="1:18">
      <c r="A201" s="215">
        <v>14</v>
      </c>
      <c r="B201" s="215" t="s">
        <v>603</v>
      </c>
      <c r="C201" s="215" t="s">
        <v>604</v>
      </c>
      <c r="D201" s="216">
        <v>3</v>
      </c>
      <c r="E201" s="217"/>
      <c r="F201" s="216">
        <f t="shared" si="41"/>
        <v>3</v>
      </c>
      <c r="G201" s="218" t="s">
        <v>605</v>
      </c>
      <c r="H201" s="196">
        <f t="shared" si="36"/>
        <v>1263.9000000000001</v>
      </c>
      <c r="I201" s="196">
        <f t="shared" si="37"/>
        <v>3791.7000000000003</v>
      </c>
      <c r="P201" s="95">
        <v>1100</v>
      </c>
      <c r="Q201" s="95">
        <f t="shared" si="38"/>
        <v>1.149</v>
      </c>
      <c r="R201" s="95">
        <f t="shared" si="39"/>
        <v>1263.9000000000001</v>
      </c>
    </row>
    <row r="202" spans="1:18" ht="15.45">
      <c r="I202" s="220">
        <f>SUM(I188:I201)</f>
        <v>34470</v>
      </c>
    </row>
    <row r="203" spans="1:18" ht="15.45">
      <c r="C203" s="204" t="s">
        <v>606</v>
      </c>
    </row>
    <row r="204" spans="1:18" ht="23.15">
      <c r="A204" s="208" t="s">
        <v>362</v>
      </c>
      <c r="B204" s="208" t="s">
        <v>363</v>
      </c>
      <c r="C204" s="208" t="s">
        <v>364</v>
      </c>
      <c r="D204" s="209" t="s">
        <v>951</v>
      </c>
      <c r="E204" s="210" t="s">
        <v>952</v>
      </c>
      <c r="F204" s="210"/>
      <c r="G204" s="212" t="s">
        <v>18</v>
      </c>
      <c r="H204" s="213" t="s">
        <v>954</v>
      </c>
      <c r="I204" s="214" t="s">
        <v>955</v>
      </c>
    </row>
    <row r="205" spans="1:18">
      <c r="A205" s="215">
        <v>1</v>
      </c>
      <c r="B205" s="215" t="s">
        <v>607</v>
      </c>
      <c r="C205" s="215" t="s">
        <v>608</v>
      </c>
      <c r="D205" s="216">
        <v>0</v>
      </c>
      <c r="E205" s="217"/>
      <c r="F205" s="216">
        <f t="shared" ref="F205" si="42">D205</f>
        <v>0</v>
      </c>
      <c r="G205" s="218" t="s">
        <v>36</v>
      </c>
      <c r="H205" s="196">
        <f t="shared" ref="H205:H223" si="43">N205+R205</f>
        <v>4554.6360000000004</v>
      </c>
      <c r="I205" s="196">
        <f t="shared" ref="I205:I223" si="44">H205*F205</f>
        <v>0</v>
      </c>
      <c r="L205" s="93">
        <v>3964</v>
      </c>
      <c r="M205" s="93">
        <f t="shared" ref="M205:M223" si="45">$M$1</f>
        <v>1.149</v>
      </c>
      <c r="N205" s="93">
        <f t="shared" ref="N205:N223" si="46">L205*M205</f>
        <v>4554.6360000000004</v>
      </c>
    </row>
    <row r="206" spans="1:18" ht="24">
      <c r="A206" s="215">
        <v>2</v>
      </c>
      <c r="B206" s="215" t="s">
        <v>609</v>
      </c>
      <c r="C206" s="252" t="s">
        <v>610</v>
      </c>
      <c r="D206" s="216">
        <v>10</v>
      </c>
      <c r="E206" s="217">
        <v>-10</v>
      </c>
      <c r="F206" s="217">
        <f t="shared" ref="F206:F223" si="47">D206+E206</f>
        <v>0</v>
      </c>
      <c r="G206" s="218" t="s">
        <v>36</v>
      </c>
      <c r="H206" s="196">
        <f t="shared" si="43"/>
        <v>5147.5200000000004</v>
      </c>
      <c r="I206" s="196">
        <f t="shared" si="44"/>
        <v>0</v>
      </c>
      <c r="L206" s="93">
        <v>4480</v>
      </c>
      <c r="M206" s="93">
        <f t="shared" si="45"/>
        <v>1.149</v>
      </c>
      <c r="N206" s="93">
        <f t="shared" si="46"/>
        <v>5147.5200000000004</v>
      </c>
    </row>
    <row r="207" spans="1:18" ht="24">
      <c r="A207" s="215">
        <v>3</v>
      </c>
      <c r="B207" s="215" t="s">
        <v>611</v>
      </c>
      <c r="C207" s="252" t="s">
        <v>612</v>
      </c>
      <c r="D207" s="216">
        <v>1</v>
      </c>
      <c r="E207" s="217">
        <v>-1</v>
      </c>
      <c r="F207" s="217">
        <f t="shared" si="47"/>
        <v>0</v>
      </c>
      <c r="G207" s="218" t="s">
        <v>36</v>
      </c>
      <c r="H207" s="196">
        <f t="shared" si="43"/>
        <v>8917.389000000001</v>
      </c>
      <c r="I207" s="196">
        <f t="shared" si="44"/>
        <v>0</v>
      </c>
      <c r="L207" s="93">
        <v>7761</v>
      </c>
      <c r="M207" s="93">
        <f t="shared" si="45"/>
        <v>1.149</v>
      </c>
      <c r="N207" s="93">
        <f t="shared" si="46"/>
        <v>8917.389000000001</v>
      </c>
    </row>
    <row r="208" spans="1:18">
      <c r="A208" s="215">
        <v>4</v>
      </c>
      <c r="B208" s="215" t="s">
        <v>613</v>
      </c>
      <c r="C208" s="215" t="s">
        <v>614</v>
      </c>
      <c r="D208" s="216">
        <v>2</v>
      </c>
      <c r="E208" s="217"/>
      <c r="F208" s="217">
        <f t="shared" si="47"/>
        <v>2</v>
      </c>
      <c r="G208" s="218" t="s">
        <v>36</v>
      </c>
      <c r="H208" s="196">
        <f t="shared" si="43"/>
        <v>2642.7000000000003</v>
      </c>
      <c r="I208" s="196">
        <f t="shared" si="44"/>
        <v>5285.4000000000005</v>
      </c>
      <c r="L208" s="93">
        <v>2300</v>
      </c>
      <c r="M208" s="93">
        <f t="shared" si="45"/>
        <v>1.149</v>
      </c>
      <c r="N208" s="93">
        <f t="shared" si="46"/>
        <v>2642.7000000000003</v>
      </c>
    </row>
    <row r="209" spans="1:18">
      <c r="A209" s="215">
        <v>5</v>
      </c>
      <c r="B209" s="215" t="s">
        <v>615</v>
      </c>
      <c r="C209" s="215" t="s">
        <v>616</v>
      </c>
      <c r="D209" s="216">
        <v>1</v>
      </c>
      <c r="E209" s="217">
        <v>-1</v>
      </c>
      <c r="F209" s="217">
        <f t="shared" si="47"/>
        <v>0</v>
      </c>
      <c r="G209" s="218" t="s">
        <v>36</v>
      </c>
      <c r="H209" s="196">
        <f t="shared" si="43"/>
        <v>42149.915999999997</v>
      </c>
      <c r="I209" s="196">
        <f t="shared" si="44"/>
        <v>0</v>
      </c>
      <c r="L209" s="93">
        <v>36684</v>
      </c>
      <c r="M209" s="93">
        <f t="shared" si="45"/>
        <v>1.149</v>
      </c>
      <c r="N209" s="93">
        <f t="shared" si="46"/>
        <v>42149.915999999997</v>
      </c>
    </row>
    <row r="210" spans="1:18">
      <c r="A210" s="215">
        <v>6</v>
      </c>
      <c r="B210" s="215" t="s">
        <v>617</v>
      </c>
      <c r="C210" s="215" t="s">
        <v>618</v>
      </c>
      <c r="D210" s="216">
        <v>1</v>
      </c>
      <c r="E210" s="217"/>
      <c r="F210" s="217">
        <f t="shared" si="47"/>
        <v>1</v>
      </c>
      <c r="G210" s="218" t="s">
        <v>36</v>
      </c>
      <c r="H210" s="196">
        <f t="shared" si="43"/>
        <v>2872.5</v>
      </c>
      <c r="I210" s="196">
        <f t="shared" si="44"/>
        <v>2872.5</v>
      </c>
      <c r="L210" s="93">
        <v>2500</v>
      </c>
      <c r="M210" s="93">
        <f t="shared" si="45"/>
        <v>1.149</v>
      </c>
      <c r="N210" s="93">
        <f t="shared" si="46"/>
        <v>2872.5</v>
      </c>
    </row>
    <row r="211" spans="1:18" ht="24">
      <c r="A211" s="215">
        <v>7</v>
      </c>
      <c r="B211" s="252" t="s">
        <v>619</v>
      </c>
      <c r="C211" s="252" t="s">
        <v>620</v>
      </c>
      <c r="D211" s="216">
        <v>3</v>
      </c>
      <c r="E211" s="217">
        <v>-3</v>
      </c>
      <c r="F211" s="217">
        <f t="shared" si="47"/>
        <v>0</v>
      </c>
      <c r="G211" s="218" t="s">
        <v>36</v>
      </c>
      <c r="H211" s="196">
        <f t="shared" si="43"/>
        <v>11432.550000000001</v>
      </c>
      <c r="I211" s="196">
        <f t="shared" si="44"/>
        <v>0</v>
      </c>
      <c r="L211" s="93">
        <v>9950</v>
      </c>
      <c r="M211" s="93">
        <f t="shared" si="45"/>
        <v>1.149</v>
      </c>
      <c r="N211" s="93">
        <f t="shared" si="46"/>
        <v>11432.550000000001</v>
      </c>
    </row>
    <row r="212" spans="1:18">
      <c r="A212" s="215">
        <v>8</v>
      </c>
      <c r="B212" s="215"/>
      <c r="C212" s="215" t="s">
        <v>621</v>
      </c>
      <c r="D212" s="216">
        <v>11</v>
      </c>
      <c r="E212" s="217">
        <v>-11</v>
      </c>
      <c r="F212" s="217">
        <f t="shared" si="47"/>
        <v>0</v>
      </c>
      <c r="G212" s="218" t="s">
        <v>36</v>
      </c>
      <c r="H212" s="196">
        <f t="shared" si="43"/>
        <v>51.704999999999998</v>
      </c>
      <c r="I212" s="196">
        <f t="shared" si="44"/>
        <v>0</v>
      </c>
      <c r="L212" s="93">
        <v>45</v>
      </c>
      <c r="M212" s="93">
        <f t="shared" si="45"/>
        <v>1.149</v>
      </c>
      <c r="N212" s="93">
        <f t="shared" si="46"/>
        <v>51.704999999999998</v>
      </c>
    </row>
    <row r="213" spans="1:18">
      <c r="A213" s="215">
        <v>9</v>
      </c>
      <c r="B213" s="215"/>
      <c r="C213" s="215" t="s">
        <v>622</v>
      </c>
      <c r="D213" s="216">
        <v>11</v>
      </c>
      <c r="E213" s="217">
        <v>-11</v>
      </c>
      <c r="F213" s="217">
        <f t="shared" si="47"/>
        <v>0</v>
      </c>
      <c r="G213" s="218" t="s">
        <v>36</v>
      </c>
      <c r="H213" s="196">
        <f t="shared" si="43"/>
        <v>51.704999999999998</v>
      </c>
      <c r="I213" s="196">
        <f t="shared" si="44"/>
        <v>0</v>
      </c>
      <c r="L213" s="93">
        <v>45</v>
      </c>
      <c r="M213" s="93">
        <f t="shared" si="45"/>
        <v>1.149</v>
      </c>
      <c r="N213" s="93">
        <f t="shared" si="46"/>
        <v>51.704999999999998</v>
      </c>
    </row>
    <row r="214" spans="1:18">
      <c r="A214" s="215">
        <v>10</v>
      </c>
      <c r="B214" s="215" t="s">
        <v>623</v>
      </c>
      <c r="C214" s="215" t="s">
        <v>624</v>
      </c>
      <c r="D214" s="216">
        <v>1</v>
      </c>
      <c r="E214" s="217"/>
      <c r="F214" s="217">
        <f t="shared" si="47"/>
        <v>1</v>
      </c>
      <c r="G214" s="218" t="s">
        <v>36</v>
      </c>
      <c r="H214" s="196">
        <f t="shared" si="43"/>
        <v>17020.136999999999</v>
      </c>
      <c r="I214" s="196">
        <f t="shared" si="44"/>
        <v>17020.136999999999</v>
      </c>
      <c r="L214" s="93">
        <v>14813</v>
      </c>
      <c r="M214" s="93">
        <f t="shared" si="45"/>
        <v>1.149</v>
      </c>
      <c r="N214" s="93">
        <f t="shared" si="46"/>
        <v>17020.136999999999</v>
      </c>
    </row>
    <row r="215" spans="1:18" ht="24">
      <c r="A215" s="215">
        <v>11</v>
      </c>
      <c r="B215" s="252"/>
      <c r="C215" s="252" t="s">
        <v>625</v>
      </c>
      <c r="D215" s="216">
        <v>4</v>
      </c>
      <c r="E215" s="217">
        <v>-4</v>
      </c>
      <c r="F215" s="217">
        <f t="shared" si="47"/>
        <v>0</v>
      </c>
      <c r="G215" s="253" t="s">
        <v>36</v>
      </c>
      <c r="H215" s="196">
        <f t="shared" si="43"/>
        <v>1539.66</v>
      </c>
      <c r="I215" s="196">
        <f t="shared" si="44"/>
        <v>0</v>
      </c>
      <c r="L215" s="93">
        <v>1340</v>
      </c>
      <c r="M215" s="93">
        <f t="shared" si="45"/>
        <v>1.149</v>
      </c>
      <c r="N215" s="93">
        <f t="shared" si="46"/>
        <v>1539.66</v>
      </c>
    </row>
    <row r="216" spans="1:18">
      <c r="A216" s="215">
        <v>12</v>
      </c>
      <c r="B216" s="216" t="s">
        <v>626</v>
      </c>
      <c r="C216" s="216" t="s">
        <v>627</v>
      </c>
      <c r="D216" s="216">
        <v>2</v>
      </c>
      <c r="E216" s="217"/>
      <c r="F216" s="217">
        <f t="shared" si="47"/>
        <v>2</v>
      </c>
      <c r="G216" s="253" t="s">
        <v>36</v>
      </c>
      <c r="H216" s="196">
        <f t="shared" si="43"/>
        <v>9709.0499999999993</v>
      </c>
      <c r="I216" s="196">
        <f t="shared" si="44"/>
        <v>19418.099999999999</v>
      </c>
      <c r="L216" s="93">
        <v>8450</v>
      </c>
      <c r="M216" s="93">
        <f t="shared" si="45"/>
        <v>1.149</v>
      </c>
      <c r="N216" s="93">
        <f t="shared" si="46"/>
        <v>9709.0499999999993</v>
      </c>
    </row>
    <row r="217" spans="1:18" s="234" customFormat="1">
      <c r="A217" s="229">
        <v>1</v>
      </c>
      <c r="B217" s="254" t="s">
        <v>1054</v>
      </c>
      <c r="C217" s="254" t="s">
        <v>1055</v>
      </c>
      <c r="D217" s="229">
        <v>0</v>
      </c>
      <c r="E217" s="230">
        <v>12</v>
      </c>
      <c r="F217" s="230">
        <f t="shared" si="47"/>
        <v>12</v>
      </c>
      <c r="G217" s="255" t="s">
        <v>36</v>
      </c>
      <c r="H217" s="196">
        <f t="shared" si="43"/>
        <v>10206.567000000001</v>
      </c>
      <c r="I217" s="237">
        <f t="shared" si="44"/>
        <v>122478.804</v>
      </c>
      <c r="L217" s="93">
        <v>8883</v>
      </c>
      <c r="M217" s="93">
        <f t="shared" si="45"/>
        <v>1.149</v>
      </c>
      <c r="N217" s="93">
        <f t="shared" si="46"/>
        <v>10206.567000000001</v>
      </c>
      <c r="P217" s="73"/>
      <c r="Q217" s="73"/>
      <c r="R217" s="73"/>
    </row>
    <row r="218" spans="1:18" s="256" customFormat="1" ht="23.15">
      <c r="A218" s="229">
        <v>2</v>
      </c>
      <c r="B218" s="254" t="s">
        <v>1056</v>
      </c>
      <c r="C218" s="254" t="s">
        <v>1057</v>
      </c>
      <c r="D218" s="229">
        <v>0</v>
      </c>
      <c r="E218" s="230">
        <v>1</v>
      </c>
      <c r="F218" s="230">
        <f t="shared" si="47"/>
        <v>1</v>
      </c>
      <c r="G218" s="255" t="s">
        <v>36</v>
      </c>
      <c r="H218" s="196">
        <f t="shared" si="43"/>
        <v>9750.4140000000007</v>
      </c>
      <c r="I218" s="237">
        <f t="shared" si="44"/>
        <v>9750.4140000000007</v>
      </c>
      <c r="L218" s="93">
        <v>8486</v>
      </c>
      <c r="M218" s="93">
        <f t="shared" si="45"/>
        <v>1.149</v>
      </c>
      <c r="N218" s="93">
        <f t="shared" si="46"/>
        <v>9750.4140000000007</v>
      </c>
      <c r="P218" s="73"/>
      <c r="Q218" s="73"/>
      <c r="R218" s="73"/>
    </row>
    <row r="219" spans="1:18" s="256" customFormat="1" ht="23.15">
      <c r="A219" s="229">
        <v>4</v>
      </c>
      <c r="B219" s="254" t="s">
        <v>1058</v>
      </c>
      <c r="C219" s="254" t="s">
        <v>1059</v>
      </c>
      <c r="D219" s="229">
        <v>0</v>
      </c>
      <c r="E219" s="230">
        <v>1</v>
      </c>
      <c r="F219" s="230">
        <f t="shared" si="47"/>
        <v>1</v>
      </c>
      <c r="G219" s="255" t="s">
        <v>36</v>
      </c>
      <c r="H219" s="196">
        <f t="shared" si="43"/>
        <v>42149.915999999997</v>
      </c>
      <c r="I219" s="237">
        <f t="shared" si="44"/>
        <v>42149.915999999997</v>
      </c>
      <c r="L219" s="93">
        <v>36684</v>
      </c>
      <c r="M219" s="93">
        <f t="shared" si="45"/>
        <v>1.149</v>
      </c>
      <c r="N219" s="93">
        <f t="shared" si="46"/>
        <v>42149.915999999997</v>
      </c>
      <c r="P219" s="73"/>
      <c r="Q219" s="73"/>
      <c r="R219" s="73"/>
    </row>
    <row r="220" spans="1:18" s="234" customFormat="1">
      <c r="A220" s="227">
        <v>5</v>
      </c>
      <c r="B220" s="257" t="s">
        <v>613</v>
      </c>
      <c r="C220" s="254" t="s">
        <v>614</v>
      </c>
      <c r="D220" s="229">
        <v>0</v>
      </c>
      <c r="E220" s="230">
        <v>8</v>
      </c>
      <c r="F220" s="230">
        <f t="shared" si="47"/>
        <v>8</v>
      </c>
      <c r="G220" s="255" t="s">
        <v>36</v>
      </c>
      <c r="H220" s="196">
        <f t="shared" si="43"/>
        <v>2642.7000000000003</v>
      </c>
      <c r="I220" s="237">
        <f t="shared" si="44"/>
        <v>21141.600000000002</v>
      </c>
      <c r="L220" s="93">
        <v>2300</v>
      </c>
      <c r="M220" s="93">
        <f t="shared" si="45"/>
        <v>1.149</v>
      </c>
      <c r="N220" s="93">
        <f t="shared" si="46"/>
        <v>2642.7000000000003</v>
      </c>
      <c r="P220" s="73"/>
      <c r="Q220" s="73"/>
      <c r="R220" s="73"/>
    </row>
    <row r="221" spans="1:18" s="234" customFormat="1" ht="23.15">
      <c r="A221" s="227">
        <v>6</v>
      </c>
      <c r="B221" s="258" t="s">
        <v>1060</v>
      </c>
      <c r="C221" s="258" t="s">
        <v>1061</v>
      </c>
      <c r="D221" s="229">
        <v>0</v>
      </c>
      <c r="E221" s="230">
        <v>1</v>
      </c>
      <c r="F221" s="230">
        <f t="shared" si="47"/>
        <v>1</v>
      </c>
      <c r="G221" s="255" t="s">
        <v>36</v>
      </c>
      <c r="H221" s="196">
        <f t="shared" si="43"/>
        <v>11449.785</v>
      </c>
      <c r="I221" s="237">
        <f t="shared" si="44"/>
        <v>11449.785</v>
      </c>
      <c r="L221" s="93">
        <v>9965</v>
      </c>
      <c r="M221" s="93">
        <f t="shared" si="45"/>
        <v>1.149</v>
      </c>
      <c r="N221" s="93">
        <f t="shared" si="46"/>
        <v>11449.785</v>
      </c>
      <c r="P221" s="73"/>
      <c r="Q221" s="73"/>
      <c r="R221" s="73"/>
    </row>
    <row r="222" spans="1:18" s="234" customFormat="1">
      <c r="A222" s="227">
        <v>8</v>
      </c>
      <c r="B222" s="258" t="s">
        <v>1062</v>
      </c>
      <c r="C222" s="258" t="s">
        <v>1063</v>
      </c>
      <c r="D222" s="229">
        <v>0</v>
      </c>
      <c r="E222" s="230">
        <v>2</v>
      </c>
      <c r="F222" s="230">
        <f t="shared" si="47"/>
        <v>2</v>
      </c>
      <c r="G222" s="259" t="s">
        <v>36</v>
      </c>
      <c r="H222" s="196">
        <f t="shared" si="43"/>
        <v>7870.6500000000005</v>
      </c>
      <c r="I222" s="237">
        <f t="shared" si="44"/>
        <v>15741.300000000001</v>
      </c>
      <c r="L222" s="93">
        <v>6850</v>
      </c>
      <c r="M222" s="93">
        <f t="shared" si="45"/>
        <v>1.149</v>
      </c>
      <c r="N222" s="93">
        <f t="shared" si="46"/>
        <v>7870.6500000000005</v>
      </c>
      <c r="P222" s="73"/>
      <c r="Q222" s="73"/>
      <c r="R222" s="73"/>
    </row>
    <row r="223" spans="1:18" s="234" customFormat="1">
      <c r="A223" s="227">
        <v>10</v>
      </c>
      <c r="B223" s="258"/>
      <c r="C223" s="258" t="s">
        <v>1064</v>
      </c>
      <c r="D223" s="229">
        <v>0</v>
      </c>
      <c r="E223" s="230">
        <v>4</v>
      </c>
      <c r="F223" s="230">
        <f t="shared" si="47"/>
        <v>4</v>
      </c>
      <c r="G223" s="255" t="s">
        <v>36</v>
      </c>
      <c r="H223" s="196">
        <f t="shared" si="43"/>
        <v>1895.8500000000001</v>
      </c>
      <c r="I223" s="237">
        <f t="shared" si="44"/>
        <v>7583.4000000000005</v>
      </c>
      <c r="L223" s="93">
        <v>1650</v>
      </c>
      <c r="M223" s="93">
        <f t="shared" si="45"/>
        <v>1.149</v>
      </c>
      <c r="N223" s="93">
        <f t="shared" si="46"/>
        <v>1895.8500000000001</v>
      </c>
      <c r="P223" s="73"/>
      <c r="Q223" s="73"/>
      <c r="R223" s="73"/>
    </row>
    <row r="224" spans="1:18" ht="15.45">
      <c r="I224" s="220">
        <f>SUM(I205:I223)</f>
        <v>274891.35600000003</v>
      </c>
    </row>
    <row r="225" spans="1:18" ht="15.45">
      <c r="C225" s="204" t="s">
        <v>628</v>
      </c>
    </row>
    <row r="226" spans="1:18" ht="23.15">
      <c r="A226" s="208" t="s">
        <v>362</v>
      </c>
      <c r="B226" s="208" t="s">
        <v>363</v>
      </c>
      <c r="C226" s="208" t="s">
        <v>364</v>
      </c>
      <c r="D226" s="209" t="s">
        <v>951</v>
      </c>
      <c r="E226" s="210" t="s">
        <v>952</v>
      </c>
      <c r="F226" s="210"/>
      <c r="G226" s="212" t="s">
        <v>18</v>
      </c>
      <c r="H226" s="213" t="s">
        <v>954</v>
      </c>
      <c r="I226" s="214" t="s">
        <v>955</v>
      </c>
    </row>
    <row r="227" spans="1:18">
      <c r="A227" s="215">
        <v>1</v>
      </c>
      <c r="B227" s="215" t="s">
        <v>629</v>
      </c>
      <c r="C227" s="215" t="s">
        <v>630</v>
      </c>
      <c r="D227" s="216">
        <v>1</v>
      </c>
      <c r="E227" s="217"/>
      <c r="F227" s="216">
        <f t="shared" ref="F227:F284" si="48">D227</f>
        <v>1</v>
      </c>
      <c r="G227" s="218" t="s">
        <v>36</v>
      </c>
      <c r="H227" s="196">
        <f t="shared" ref="H227:H284" si="49">N227+R227</f>
        <v>3447</v>
      </c>
      <c r="I227" s="196">
        <f t="shared" ref="I227:I284" si="50">H227*F227</f>
        <v>3447</v>
      </c>
      <c r="P227" s="95">
        <v>3000</v>
      </c>
      <c r="Q227" s="95">
        <f t="shared" si="38"/>
        <v>1.149</v>
      </c>
      <c r="R227" s="95">
        <f t="shared" si="39"/>
        <v>3447</v>
      </c>
    </row>
    <row r="228" spans="1:18">
      <c r="A228" s="215">
        <v>2</v>
      </c>
      <c r="B228" s="215" t="s">
        <v>631</v>
      </c>
      <c r="C228" s="215" t="s">
        <v>632</v>
      </c>
      <c r="D228" s="216">
        <v>2</v>
      </c>
      <c r="E228" s="217"/>
      <c r="F228" s="216">
        <f t="shared" si="48"/>
        <v>2</v>
      </c>
      <c r="G228" s="218" t="s">
        <v>36</v>
      </c>
      <c r="H228" s="196">
        <f t="shared" si="49"/>
        <v>68.94</v>
      </c>
      <c r="I228" s="196">
        <f t="shared" si="50"/>
        <v>137.88</v>
      </c>
      <c r="P228" s="95">
        <v>60</v>
      </c>
      <c r="Q228" s="95">
        <f t="shared" si="38"/>
        <v>1.149</v>
      </c>
      <c r="R228" s="95">
        <f t="shared" si="39"/>
        <v>68.94</v>
      </c>
    </row>
    <row r="229" spans="1:18">
      <c r="A229" s="215">
        <v>3</v>
      </c>
      <c r="B229" s="215" t="s">
        <v>633</v>
      </c>
      <c r="C229" s="215" t="s">
        <v>634</v>
      </c>
      <c r="D229" s="216">
        <v>1</v>
      </c>
      <c r="E229" s="217"/>
      <c r="F229" s="216">
        <f t="shared" si="48"/>
        <v>1</v>
      </c>
      <c r="G229" s="218" t="s">
        <v>36</v>
      </c>
      <c r="H229" s="196">
        <f t="shared" si="49"/>
        <v>172.35</v>
      </c>
      <c r="I229" s="196">
        <f t="shared" si="50"/>
        <v>172.35</v>
      </c>
      <c r="P229" s="95">
        <v>150</v>
      </c>
      <c r="Q229" s="95">
        <f t="shared" si="38"/>
        <v>1.149</v>
      </c>
      <c r="R229" s="95">
        <f t="shared" si="39"/>
        <v>172.35</v>
      </c>
    </row>
    <row r="230" spans="1:18">
      <c r="A230" s="215">
        <v>4</v>
      </c>
      <c r="B230" s="215" t="s">
        <v>635</v>
      </c>
      <c r="C230" s="215" t="s">
        <v>636</v>
      </c>
      <c r="D230" s="216">
        <v>1</v>
      </c>
      <c r="E230" s="217"/>
      <c r="F230" s="216">
        <f t="shared" si="48"/>
        <v>1</v>
      </c>
      <c r="G230" s="218" t="s">
        <v>36</v>
      </c>
      <c r="H230" s="196">
        <f t="shared" si="49"/>
        <v>91.92</v>
      </c>
      <c r="I230" s="196">
        <f t="shared" si="50"/>
        <v>91.92</v>
      </c>
      <c r="P230" s="95">
        <v>80</v>
      </c>
      <c r="Q230" s="95">
        <f t="shared" si="38"/>
        <v>1.149</v>
      </c>
      <c r="R230" s="95">
        <f t="shared" si="39"/>
        <v>91.92</v>
      </c>
    </row>
    <row r="231" spans="1:18">
      <c r="A231" s="215">
        <v>5</v>
      </c>
      <c r="B231" s="215"/>
      <c r="C231" s="215" t="s">
        <v>637</v>
      </c>
      <c r="D231" s="216">
        <v>1</v>
      </c>
      <c r="E231" s="217"/>
      <c r="F231" s="216">
        <f t="shared" si="48"/>
        <v>1</v>
      </c>
      <c r="G231" s="218" t="s">
        <v>36</v>
      </c>
      <c r="H231" s="196">
        <f t="shared" si="49"/>
        <v>68.94</v>
      </c>
      <c r="I231" s="196">
        <f t="shared" si="50"/>
        <v>68.94</v>
      </c>
      <c r="P231" s="95">
        <v>60</v>
      </c>
      <c r="Q231" s="95">
        <f t="shared" si="38"/>
        <v>1.149</v>
      </c>
      <c r="R231" s="95">
        <f t="shared" si="39"/>
        <v>68.94</v>
      </c>
    </row>
    <row r="232" spans="1:18">
      <c r="A232" s="215">
        <v>6</v>
      </c>
      <c r="B232" s="215" t="s">
        <v>638</v>
      </c>
      <c r="C232" s="215" t="s">
        <v>639</v>
      </c>
      <c r="D232" s="216">
        <v>1</v>
      </c>
      <c r="E232" s="217"/>
      <c r="F232" s="216">
        <f t="shared" si="48"/>
        <v>1</v>
      </c>
      <c r="G232" s="218" t="s">
        <v>36</v>
      </c>
      <c r="H232" s="196">
        <f t="shared" si="49"/>
        <v>5515.2</v>
      </c>
      <c r="I232" s="196">
        <f t="shared" si="50"/>
        <v>5515.2</v>
      </c>
      <c r="P232" s="95">
        <v>4800</v>
      </c>
      <c r="Q232" s="95">
        <f t="shared" si="38"/>
        <v>1.149</v>
      </c>
      <c r="R232" s="95">
        <f t="shared" si="39"/>
        <v>5515.2</v>
      </c>
    </row>
    <row r="233" spans="1:18">
      <c r="A233" s="215">
        <v>7</v>
      </c>
      <c r="B233" s="215" t="s">
        <v>640</v>
      </c>
      <c r="C233" s="215" t="s">
        <v>641</v>
      </c>
      <c r="D233" s="216">
        <v>1</v>
      </c>
      <c r="E233" s="217"/>
      <c r="F233" s="216">
        <f t="shared" si="48"/>
        <v>1</v>
      </c>
      <c r="G233" s="218" t="s">
        <v>36</v>
      </c>
      <c r="H233" s="196">
        <f t="shared" si="49"/>
        <v>3217.2000000000003</v>
      </c>
      <c r="I233" s="196">
        <f t="shared" si="50"/>
        <v>3217.2000000000003</v>
      </c>
      <c r="P233" s="95">
        <v>2800</v>
      </c>
      <c r="Q233" s="95">
        <f t="shared" si="38"/>
        <v>1.149</v>
      </c>
      <c r="R233" s="95">
        <f t="shared" si="39"/>
        <v>3217.2000000000003</v>
      </c>
    </row>
    <row r="234" spans="1:18">
      <c r="A234" s="215">
        <v>8</v>
      </c>
      <c r="B234" s="215"/>
      <c r="C234" s="215" t="s">
        <v>642</v>
      </c>
      <c r="D234" s="216">
        <v>2</v>
      </c>
      <c r="E234" s="217"/>
      <c r="F234" s="216">
        <f t="shared" si="48"/>
        <v>2</v>
      </c>
      <c r="G234" s="218" t="s">
        <v>36</v>
      </c>
      <c r="H234" s="196">
        <f t="shared" si="49"/>
        <v>482.58</v>
      </c>
      <c r="I234" s="196">
        <f t="shared" si="50"/>
        <v>965.16</v>
      </c>
      <c r="P234" s="95">
        <v>420</v>
      </c>
      <c r="Q234" s="95">
        <f t="shared" si="38"/>
        <v>1.149</v>
      </c>
      <c r="R234" s="95">
        <f t="shared" si="39"/>
        <v>482.58</v>
      </c>
    </row>
    <row r="235" spans="1:18">
      <c r="A235" s="215">
        <v>9</v>
      </c>
      <c r="B235" s="215" t="s">
        <v>643</v>
      </c>
      <c r="C235" s="215" t="s">
        <v>644</v>
      </c>
      <c r="D235" s="216">
        <v>4</v>
      </c>
      <c r="E235" s="217"/>
      <c r="F235" s="216">
        <f t="shared" si="48"/>
        <v>4</v>
      </c>
      <c r="G235" s="218" t="s">
        <v>36</v>
      </c>
      <c r="H235" s="196">
        <f t="shared" si="49"/>
        <v>528.54</v>
      </c>
      <c r="I235" s="196">
        <f t="shared" si="50"/>
        <v>2114.16</v>
      </c>
      <c r="P235" s="95">
        <v>460</v>
      </c>
      <c r="Q235" s="95">
        <f t="shared" si="38"/>
        <v>1.149</v>
      </c>
      <c r="R235" s="95">
        <f t="shared" si="39"/>
        <v>528.54</v>
      </c>
    </row>
    <row r="236" spans="1:18">
      <c r="A236" s="215">
        <v>10</v>
      </c>
      <c r="B236" s="215" t="s">
        <v>645</v>
      </c>
      <c r="C236" s="215" t="s">
        <v>646</v>
      </c>
      <c r="D236" s="216">
        <v>8</v>
      </c>
      <c r="E236" s="217"/>
      <c r="F236" s="216">
        <f t="shared" si="48"/>
        <v>8</v>
      </c>
      <c r="G236" s="218" t="s">
        <v>36</v>
      </c>
      <c r="H236" s="196">
        <f t="shared" si="49"/>
        <v>344.7</v>
      </c>
      <c r="I236" s="196">
        <f t="shared" si="50"/>
        <v>2757.6</v>
      </c>
      <c r="P236" s="95">
        <v>300</v>
      </c>
      <c r="Q236" s="95">
        <f t="shared" si="38"/>
        <v>1.149</v>
      </c>
      <c r="R236" s="95">
        <f t="shared" si="39"/>
        <v>344.7</v>
      </c>
    </row>
    <row r="237" spans="1:18">
      <c r="A237" s="215">
        <v>11</v>
      </c>
      <c r="B237" s="215" t="s">
        <v>635</v>
      </c>
      <c r="C237" s="215" t="s">
        <v>647</v>
      </c>
      <c r="D237" s="216">
        <v>14</v>
      </c>
      <c r="E237" s="217"/>
      <c r="F237" s="216">
        <f t="shared" si="48"/>
        <v>14</v>
      </c>
      <c r="G237" s="218" t="s">
        <v>36</v>
      </c>
      <c r="H237" s="196">
        <f t="shared" si="49"/>
        <v>91.92</v>
      </c>
      <c r="I237" s="196">
        <f t="shared" si="50"/>
        <v>1286.8800000000001</v>
      </c>
      <c r="P237" s="95">
        <v>80</v>
      </c>
      <c r="Q237" s="95">
        <f t="shared" si="38"/>
        <v>1.149</v>
      </c>
      <c r="R237" s="95">
        <f t="shared" si="39"/>
        <v>91.92</v>
      </c>
    </row>
    <row r="238" spans="1:18">
      <c r="A238" s="215">
        <v>12</v>
      </c>
      <c r="B238" s="215"/>
      <c r="C238" s="215" t="s">
        <v>648</v>
      </c>
      <c r="D238" s="216">
        <v>14</v>
      </c>
      <c r="E238" s="217"/>
      <c r="F238" s="216">
        <f t="shared" si="48"/>
        <v>14</v>
      </c>
      <c r="G238" s="218" t="s">
        <v>36</v>
      </c>
      <c r="H238" s="196">
        <f t="shared" si="49"/>
        <v>68.94</v>
      </c>
      <c r="I238" s="196">
        <f t="shared" si="50"/>
        <v>965.16</v>
      </c>
      <c r="P238" s="95">
        <v>60</v>
      </c>
      <c r="Q238" s="95">
        <f t="shared" si="38"/>
        <v>1.149</v>
      </c>
      <c r="R238" s="95">
        <f t="shared" si="39"/>
        <v>68.94</v>
      </c>
    </row>
    <row r="239" spans="1:18">
      <c r="A239" s="215">
        <v>13</v>
      </c>
      <c r="B239" s="215"/>
      <c r="C239" s="215" t="s">
        <v>649</v>
      </c>
      <c r="D239" s="216">
        <v>3</v>
      </c>
      <c r="E239" s="217"/>
      <c r="F239" s="216">
        <f t="shared" si="48"/>
        <v>3</v>
      </c>
      <c r="G239" s="218" t="s">
        <v>36</v>
      </c>
      <c r="H239" s="196">
        <f t="shared" si="49"/>
        <v>172.35</v>
      </c>
      <c r="I239" s="196">
        <f t="shared" si="50"/>
        <v>517.04999999999995</v>
      </c>
      <c r="P239" s="95">
        <v>150</v>
      </c>
      <c r="Q239" s="95">
        <f t="shared" si="38"/>
        <v>1.149</v>
      </c>
      <c r="R239" s="95">
        <f t="shared" si="39"/>
        <v>172.35</v>
      </c>
    </row>
    <row r="240" spans="1:18">
      <c r="A240" s="215">
        <v>14</v>
      </c>
      <c r="B240" s="215" t="s">
        <v>650</v>
      </c>
      <c r="C240" s="215" t="s">
        <v>651</v>
      </c>
      <c r="D240" s="216">
        <v>3</v>
      </c>
      <c r="E240" s="217"/>
      <c r="F240" s="216">
        <f t="shared" si="48"/>
        <v>3</v>
      </c>
      <c r="G240" s="218" t="s">
        <v>36</v>
      </c>
      <c r="H240" s="196">
        <f t="shared" si="49"/>
        <v>172.35</v>
      </c>
      <c r="I240" s="196">
        <f t="shared" si="50"/>
        <v>517.04999999999995</v>
      </c>
      <c r="P240" s="95">
        <v>150</v>
      </c>
      <c r="Q240" s="95">
        <f t="shared" si="38"/>
        <v>1.149</v>
      </c>
      <c r="R240" s="95">
        <f t="shared" si="39"/>
        <v>172.35</v>
      </c>
    </row>
    <row r="241" spans="1:18">
      <c r="A241" s="215">
        <v>15</v>
      </c>
      <c r="B241" s="215"/>
      <c r="C241" s="215" t="s">
        <v>652</v>
      </c>
      <c r="D241" s="216">
        <v>0</v>
      </c>
      <c r="E241" s="217"/>
      <c r="F241" s="216">
        <f t="shared" si="48"/>
        <v>0</v>
      </c>
      <c r="G241" s="218" t="s">
        <v>36</v>
      </c>
      <c r="H241" s="196">
        <f t="shared" si="49"/>
        <v>229.8</v>
      </c>
      <c r="I241" s="196">
        <f t="shared" si="50"/>
        <v>0</v>
      </c>
      <c r="P241" s="95">
        <v>200</v>
      </c>
      <c r="Q241" s="95">
        <f t="shared" si="38"/>
        <v>1.149</v>
      </c>
      <c r="R241" s="95">
        <f t="shared" si="39"/>
        <v>229.8</v>
      </c>
    </row>
    <row r="242" spans="1:18">
      <c r="A242" s="215">
        <v>16</v>
      </c>
      <c r="B242" s="215" t="s">
        <v>653</v>
      </c>
      <c r="C242" s="215" t="s">
        <v>654</v>
      </c>
      <c r="D242" s="216">
        <v>17</v>
      </c>
      <c r="E242" s="217"/>
      <c r="F242" s="216">
        <f t="shared" si="48"/>
        <v>17</v>
      </c>
      <c r="G242" s="218" t="s">
        <v>36</v>
      </c>
      <c r="H242" s="196">
        <f t="shared" si="49"/>
        <v>68.94</v>
      </c>
      <c r="I242" s="196">
        <f t="shared" si="50"/>
        <v>1171.98</v>
      </c>
      <c r="P242" s="95">
        <v>60</v>
      </c>
      <c r="Q242" s="95">
        <f t="shared" si="38"/>
        <v>1.149</v>
      </c>
      <c r="R242" s="95">
        <f t="shared" si="39"/>
        <v>68.94</v>
      </c>
    </row>
    <row r="243" spans="1:18">
      <c r="A243" s="215">
        <v>17</v>
      </c>
      <c r="B243" s="215" t="s">
        <v>655</v>
      </c>
      <c r="C243" s="215" t="s">
        <v>656</v>
      </c>
      <c r="D243" s="216">
        <v>2</v>
      </c>
      <c r="E243" s="217"/>
      <c r="F243" s="216">
        <f t="shared" si="48"/>
        <v>2</v>
      </c>
      <c r="G243" s="218" t="s">
        <v>36</v>
      </c>
      <c r="H243" s="196">
        <f t="shared" si="49"/>
        <v>229.8</v>
      </c>
      <c r="I243" s="196">
        <f t="shared" si="50"/>
        <v>459.6</v>
      </c>
      <c r="P243" s="95">
        <v>200</v>
      </c>
      <c r="Q243" s="95">
        <f t="shared" si="38"/>
        <v>1.149</v>
      </c>
      <c r="R243" s="95">
        <f t="shared" si="39"/>
        <v>229.8</v>
      </c>
    </row>
    <row r="244" spans="1:18">
      <c r="A244" s="215">
        <v>18</v>
      </c>
      <c r="B244" s="215"/>
      <c r="C244" s="215" t="s">
        <v>657</v>
      </c>
      <c r="D244" s="216">
        <v>2</v>
      </c>
      <c r="E244" s="217"/>
      <c r="F244" s="216">
        <f t="shared" si="48"/>
        <v>2</v>
      </c>
      <c r="G244" s="218" t="s">
        <v>323</v>
      </c>
      <c r="H244" s="196">
        <f t="shared" si="49"/>
        <v>517.04999999999995</v>
      </c>
      <c r="I244" s="196">
        <f t="shared" si="50"/>
        <v>1034.0999999999999</v>
      </c>
      <c r="P244" s="95">
        <v>450</v>
      </c>
      <c r="Q244" s="95">
        <f t="shared" si="38"/>
        <v>1.149</v>
      </c>
      <c r="R244" s="95">
        <f t="shared" si="39"/>
        <v>517.04999999999995</v>
      </c>
    </row>
    <row r="245" spans="1:18">
      <c r="A245" s="215">
        <v>19</v>
      </c>
      <c r="B245" s="215"/>
      <c r="C245" s="215" t="s">
        <v>658</v>
      </c>
      <c r="D245" s="216">
        <v>2</v>
      </c>
      <c r="E245" s="217"/>
      <c r="F245" s="216">
        <f t="shared" si="48"/>
        <v>2</v>
      </c>
      <c r="G245" s="218" t="s">
        <v>188</v>
      </c>
      <c r="H245" s="196">
        <f t="shared" si="49"/>
        <v>28.725000000000001</v>
      </c>
      <c r="I245" s="196">
        <f t="shared" si="50"/>
        <v>57.45</v>
      </c>
      <c r="P245" s="95">
        <v>25</v>
      </c>
      <c r="Q245" s="95">
        <f t="shared" si="38"/>
        <v>1.149</v>
      </c>
      <c r="R245" s="95">
        <f t="shared" si="39"/>
        <v>28.725000000000001</v>
      </c>
    </row>
    <row r="246" spans="1:18">
      <c r="A246" s="215">
        <v>20</v>
      </c>
      <c r="B246" s="215"/>
      <c r="C246" s="215" t="s">
        <v>659</v>
      </c>
      <c r="D246" s="216">
        <v>17</v>
      </c>
      <c r="E246" s="217"/>
      <c r="F246" s="216">
        <f t="shared" si="48"/>
        <v>17</v>
      </c>
      <c r="G246" s="218" t="s">
        <v>36</v>
      </c>
      <c r="H246" s="196">
        <f t="shared" si="49"/>
        <v>528.54</v>
      </c>
      <c r="I246" s="196">
        <f t="shared" si="50"/>
        <v>8985.18</v>
      </c>
      <c r="P246" s="95">
        <v>460</v>
      </c>
      <c r="Q246" s="95">
        <f t="shared" si="38"/>
        <v>1.149</v>
      </c>
      <c r="R246" s="95">
        <f t="shared" si="39"/>
        <v>528.54</v>
      </c>
    </row>
    <row r="247" spans="1:18">
      <c r="A247" s="215">
        <v>21</v>
      </c>
      <c r="B247" s="215"/>
      <c r="C247" s="215" t="s">
        <v>660</v>
      </c>
      <c r="D247" s="216">
        <v>34</v>
      </c>
      <c r="E247" s="217"/>
      <c r="F247" s="216">
        <f t="shared" si="48"/>
        <v>34</v>
      </c>
      <c r="G247" s="218" t="s">
        <v>36</v>
      </c>
      <c r="H247" s="196">
        <f t="shared" si="49"/>
        <v>574.5</v>
      </c>
      <c r="I247" s="196">
        <f t="shared" si="50"/>
        <v>19533</v>
      </c>
      <c r="P247" s="95">
        <v>500</v>
      </c>
      <c r="Q247" s="95">
        <f t="shared" si="38"/>
        <v>1.149</v>
      </c>
      <c r="R247" s="95">
        <f t="shared" si="39"/>
        <v>574.5</v>
      </c>
    </row>
    <row r="248" spans="1:18">
      <c r="A248" s="215">
        <v>22</v>
      </c>
      <c r="B248" s="215"/>
      <c r="C248" s="215" t="s">
        <v>661</v>
      </c>
      <c r="D248" s="216">
        <v>1</v>
      </c>
      <c r="E248" s="217"/>
      <c r="F248" s="216">
        <f t="shared" si="48"/>
        <v>1</v>
      </c>
      <c r="G248" s="218" t="s">
        <v>36</v>
      </c>
      <c r="H248" s="196">
        <f t="shared" si="49"/>
        <v>402.15000000000003</v>
      </c>
      <c r="I248" s="196">
        <f t="shared" si="50"/>
        <v>402.15000000000003</v>
      </c>
      <c r="P248" s="95">
        <v>350</v>
      </c>
      <c r="Q248" s="95">
        <f t="shared" si="38"/>
        <v>1.149</v>
      </c>
      <c r="R248" s="95">
        <f t="shared" si="39"/>
        <v>402.15000000000003</v>
      </c>
    </row>
    <row r="249" spans="1:18">
      <c r="A249" s="215">
        <v>23</v>
      </c>
      <c r="B249" s="215"/>
      <c r="C249" s="215" t="s">
        <v>662</v>
      </c>
      <c r="D249" s="216">
        <v>1</v>
      </c>
      <c r="E249" s="217"/>
      <c r="F249" s="216">
        <f t="shared" si="48"/>
        <v>1</v>
      </c>
      <c r="G249" s="218" t="s">
        <v>332</v>
      </c>
      <c r="H249" s="196">
        <f t="shared" si="49"/>
        <v>689.4</v>
      </c>
      <c r="I249" s="196">
        <f t="shared" si="50"/>
        <v>689.4</v>
      </c>
      <c r="P249" s="95">
        <v>600</v>
      </c>
      <c r="Q249" s="95">
        <f t="shared" si="38"/>
        <v>1.149</v>
      </c>
      <c r="R249" s="95">
        <f t="shared" si="39"/>
        <v>689.4</v>
      </c>
    </row>
    <row r="250" spans="1:18">
      <c r="A250" s="215">
        <v>24</v>
      </c>
      <c r="B250" s="215" t="s">
        <v>663</v>
      </c>
      <c r="C250" s="215" t="s">
        <v>664</v>
      </c>
      <c r="D250" s="216">
        <v>29</v>
      </c>
      <c r="E250" s="217"/>
      <c r="F250" s="216">
        <f t="shared" si="48"/>
        <v>29</v>
      </c>
      <c r="G250" s="218" t="s">
        <v>36</v>
      </c>
      <c r="H250" s="196">
        <f t="shared" si="49"/>
        <v>114.9</v>
      </c>
      <c r="I250" s="196">
        <f t="shared" si="50"/>
        <v>3332.1000000000004</v>
      </c>
      <c r="P250" s="95">
        <v>100</v>
      </c>
      <c r="Q250" s="95">
        <f t="shared" si="38"/>
        <v>1.149</v>
      </c>
      <c r="R250" s="95">
        <f t="shared" si="39"/>
        <v>114.9</v>
      </c>
    </row>
    <row r="251" spans="1:18">
      <c r="A251" s="215">
        <v>25</v>
      </c>
      <c r="B251" s="215" t="s">
        <v>665</v>
      </c>
      <c r="C251" s="215" t="s">
        <v>666</v>
      </c>
      <c r="D251" s="216">
        <v>29</v>
      </c>
      <c r="E251" s="217"/>
      <c r="F251" s="216">
        <f t="shared" si="48"/>
        <v>29</v>
      </c>
      <c r="G251" s="218" t="s">
        <v>36</v>
      </c>
      <c r="H251" s="196">
        <f t="shared" si="49"/>
        <v>68.94</v>
      </c>
      <c r="I251" s="196">
        <f t="shared" si="50"/>
        <v>1999.26</v>
      </c>
      <c r="P251" s="95">
        <v>60</v>
      </c>
      <c r="Q251" s="95">
        <f t="shared" si="38"/>
        <v>1.149</v>
      </c>
      <c r="R251" s="95">
        <f t="shared" si="39"/>
        <v>68.94</v>
      </c>
    </row>
    <row r="252" spans="1:18">
      <c r="A252" s="215">
        <v>26</v>
      </c>
      <c r="B252" s="215" t="s">
        <v>667</v>
      </c>
      <c r="C252" s="215" t="s">
        <v>668</v>
      </c>
      <c r="D252" s="216">
        <v>29</v>
      </c>
      <c r="E252" s="217"/>
      <c r="F252" s="216">
        <f t="shared" si="48"/>
        <v>29</v>
      </c>
      <c r="G252" s="218" t="s">
        <v>36</v>
      </c>
      <c r="H252" s="196">
        <f t="shared" si="49"/>
        <v>49.407000000000004</v>
      </c>
      <c r="I252" s="196">
        <f t="shared" si="50"/>
        <v>1432.8030000000001</v>
      </c>
      <c r="P252" s="95">
        <v>43</v>
      </c>
      <c r="Q252" s="95">
        <f t="shared" ref="Q252:Q284" si="51">Q$1</f>
        <v>1.149</v>
      </c>
      <c r="R252" s="95">
        <f t="shared" ref="R252:R284" si="52">P252*Q252</f>
        <v>49.407000000000004</v>
      </c>
    </row>
    <row r="253" spans="1:18">
      <c r="A253" s="215">
        <v>27</v>
      </c>
      <c r="B253" s="215" t="s">
        <v>669</v>
      </c>
      <c r="C253" s="215" t="s">
        <v>670</v>
      </c>
      <c r="D253" s="216">
        <v>29</v>
      </c>
      <c r="E253" s="217"/>
      <c r="F253" s="216">
        <f t="shared" si="48"/>
        <v>29</v>
      </c>
      <c r="G253" s="218" t="s">
        <v>36</v>
      </c>
      <c r="H253" s="196">
        <f t="shared" si="49"/>
        <v>22.98</v>
      </c>
      <c r="I253" s="196">
        <f t="shared" si="50"/>
        <v>666.42</v>
      </c>
      <c r="P253" s="95">
        <v>20</v>
      </c>
      <c r="Q253" s="95">
        <f t="shared" si="51"/>
        <v>1.149</v>
      </c>
      <c r="R253" s="95">
        <f t="shared" si="52"/>
        <v>22.98</v>
      </c>
    </row>
    <row r="254" spans="1:18">
      <c r="A254" s="215">
        <v>28</v>
      </c>
      <c r="B254" s="215" t="s">
        <v>671</v>
      </c>
      <c r="C254" s="215" t="s">
        <v>672</v>
      </c>
      <c r="D254" s="216">
        <v>1</v>
      </c>
      <c r="E254" s="217"/>
      <c r="F254" s="216">
        <f t="shared" si="48"/>
        <v>1</v>
      </c>
      <c r="G254" s="218" t="s">
        <v>36</v>
      </c>
      <c r="H254" s="196">
        <f t="shared" si="49"/>
        <v>172.35</v>
      </c>
      <c r="I254" s="196">
        <f t="shared" si="50"/>
        <v>172.35</v>
      </c>
      <c r="P254" s="95">
        <v>150</v>
      </c>
      <c r="Q254" s="95">
        <f t="shared" si="51"/>
        <v>1.149</v>
      </c>
      <c r="R254" s="95">
        <f t="shared" si="52"/>
        <v>172.35</v>
      </c>
    </row>
    <row r="255" spans="1:18">
      <c r="A255" s="215">
        <v>29</v>
      </c>
      <c r="B255" s="215"/>
      <c r="C255" s="215" t="s">
        <v>673</v>
      </c>
      <c r="D255" s="216">
        <v>1</v>
      </c>
      <c r="E255" s="217"/>
      <c r="F255" s="216">
        <f t="shared" si="48"/>
        <v>1</v>
      </c>
      <c r="G255" s="218" t="s">
        <v>36</v>
      </c>
      <c r="H255" s="196">
        <f t="shared" si="49"/>
        <v>287.25</v>
      </c>
      <c r="I255" s="196">
        <f t="shared" si="50"/>
        <v>287.25</v>
      </c>
      <c r="P255" s="95">
        <v>250</v>
      </c>
      <c r="Q255" s="95">
        <f t="shared" si="51"/>
        <v>1.149</v>
      </c>
      <c r="R255" s="95">
        <f t="shared" si="52"/>
        <v>287.25</v>
      </c>
    </row>
    <row r="256" spans="1:18">
      <c r="A256" s="215">
        <v>30</v>
      </c>
      <c r="B256" s="215"/>
      <c r="C256" s="215" t="s">
        <v>674</v>
      </c>
      <c r="D256" s="216">
        <v>2</v>
      </c>
      <c r="E256" s="217"/>
      <c r="F256" s="216">
        <f t="shared" si="48"/>
        <v>2</v>
      </c>
      <c r="G256" s="218" t="s">
        <v>36</v>
      </c>
      <c r="H256" s="196">
        <f t="shared" si="49"/>
        <v>172.35</v>
      </c>
      <c r="I256" s="196">
        <f t="shared" si="50"/>
        <v>344.7</v>
      </c>
      <c r="P256" s="95">
        <v>150</v>
      </c>
      <c r="Q256" s="95">
        <f t="shared" si="51"/>
        <v>1.149</v>
      </c>
      <c r="R256" s="95">
        <f t="shared" si="52"/>
        <v>172.35</v>
      </c>
    </row>
    <row r="257" spans="1:18">
      <c r="A257" s="215">
        <v>31</v>
      </c>
      <c r="B257" s="215" t="s">
        <v>675</v>
      </c>
      <c r="C257" s="215" t="s">
        <v>676</v>
      </c>
      <c r="D257" s="216">
        <v>232</v>
      </c>
      <c r="E257" s="217"/>
      <c r="F257" s="216">
        <f t="shared" si="48"/>
        <v>232</v>
      </c>
      <c r="G257" s="218" t="s">
        <v>677</v>
      </c>
      <c r="H257" s="196">
        <f t="shared" si="49"/>
        <v>11.49</v>
      </c>
      <c r="I257" s="196">
        <f t="shared" si="50"/>
        <v>2665.68</v>
      </c>
      <c r="P257" s="95">
        <v>10</v>
      </c>
      <c r="Q257" s="95">
        <f t="shared" si="51"/>
        <v>1.149</v>
      </c>
      <c r="R257" s="95">
        <f t="shared" si="52"/>
        <v>11.49</v>
      </c>
    </row>
    <row r="258" spans="1:18">
      <c r="A258" s="215">
        <v>32</v>
      </c>
      <c r="B258" s="215" t="s">
        <v>678</v>
      </c>
      <c r="C258" s="215" t="s">
        <v>679</v>
      </c>
      <c r="D258" s="216">
        <v>31</v>
      </c>
      <c r="E258" s="217"/>
      <c r="F258" s="216">
        <f t="shared" si="48"/>
        <v>31</v>
      </c>
      <c r="G258" s="218" t="s">
        <v>36</v>
      </c>
      <c r="H258" s="196">
        <f t="shared" si="49"/>
        <v>13.788</v>
      </c>
      <c r="I258" s="196">
        <f t="shared" si="50"/>
        <v>427.428</v>
      </c>
      <c r="P258" s="95">
        <v>12</v>
      </c>
      <c r="Q258" s="95">
        <f t="shared" si="51"/>
        <v>1.149</v>
      </c>
      <c r="R258" s="95">
        <f t="shared" si="52"/>
        <v>13.788</v>
      </c>
    </row>
    <row r="259" spans="1:18">
      <c r="A259" s="215">
        <v>33</v>
      </c>
      <c r="B259" s="215" t="s">
        <v>680</v>
      </c>
      <c r="C259" s="215" t="s">
        <v>681</v>
      </c>
      <c r="D259" s="216">
        <v>4</v>
      </c>
      <c r="E259" s="217"/>
      <c r="F259" s="216">
        <f t="shared" si="48"/>
        <v>4</v>
      </c>
      <c r="G259" s="218" t="s">
        <v>36</v>
      </c>
      <c r="H259" s="196">
        <f t="shared" si="49"/>
        <v>55.152000000000001</v>
      </c>
      <c r="I259" s="196">
        <f t="shared" si="50"/>
        <v>220.608</v>
      </c>
      <c r="P259" s="95">
        <v>48</v>
      </c>
      <c r="Q259" s="95">
        <f t="shared" si="51"/>
        <v>1.149</v>
      </c>
      <c r="R259" s="95">
        <f t="shared" si="52"/>
        <v>55.152000000000001</v>
      </c>
    </row>
    <row r="260" spans="1:18">
      <c r="A260" s="215">
        <v>34</v>
      </c>
      <c r="B260" s="215" t="s">
        <v>682</v>
      </c>
      <c r="C260" s="215" t="s">
        <v>683</v>
      </c>
      <c r="D260" s="216">
        <v>4</v>
      </c>
      <c r="E260" s="217"/>
      <c r="F260" s="216">
        <f t="shared" si="48"/>
        <v>4</v>
      </c>
      <c r="G260" s="218" t="s">
        <v>36</v>
      </c>
      <c r="H260" s="196">
        <f t="shared" si="49"/>
        <v>51.704999999999998</v>
      </c>
      <c r="I260" s="196">
        <f t="shared" si="50"/>
        <v>206.82</v>
      </c>
      <c r="P260" s="95">
        <v>45</v>
      </c>
      <c r="Q260" s="95">
        <f t="shared" si="51"/>
        <v>1.149</v>
      </c>
      <c r="R260" s="95">
        <f t="shared" si="52"/>
        <v>51.704999999999998</v>
      </c>
    </row>
    <row r="261" spans="1:18">
      <c r="A261" s="215">
        <v>35</v>
      </c>
      <c r="B261" s="215" t="s">
        <v>684</v>
      </c>
      <c r="C261" s="215" t="s">
        <v>685</v>
      </c>
      <c r="D261" s="216">
        <v>4</v>
      </c>
      <c r="E261" s="217"/>
      <c r="F261" s="216">
        <f t="shared" si="48"/>
        <v>4</v>
      </c>
      <c r="G261" s="218" t="s">
        <v>36</v>
      </c>
      <c r="H261" s="196">
        <f t="shared" si="49"/>
        <v>68.94</v>
      </c>
      <c r="I261" s="196">
        <f t="shared" si="50"/>
        <v>275.76</v>
      </c>
      <c r="P261" s="95">
        <v>60</v>
      </c>
      <c r="Q261" s="95">
        <f t="shared" si="51"/>
        <v>1.149</v>
      </c>
      <c r="R261" s="95">
        <f t="shared" si="52"/>
        <v>68.94</v>
      </c>
    </row>
    <row r="262" spans="1:18">
      <c r="A262" s="215">
        <v>36</v>
      </c>
      <c r="B262" s="215" t="s">
        <v>686</v>
      </c>
      <c r="C262" s="215" t="s">
        <v>687</v>
      </c>
      <c r="D262" s="216">
        <v>4</v>
      </c>
      <c r="E262" s="217"/>
      <c r="F262" s="216">
        <f t="shared" si="48"/>
        <v>4</v>
      </c>
      <c r="G262" s="218" t="s">
        <v>36</v>
      </c>
      <c r="H262" s="196">
        <f t="shared" si="49"/>
        <v>17.234999999999999</v>
      </c>
      <c r="I262" s="196">
        <f t="shared" si="50"/>
        <v>68.94</v>
      </c>
      <c r="P262" s="95">
        <v>15</v>
      </c>
      <c r="Q262" s="95">
        <f t="shared" si="51"/>
        <v>1.149</v>
      </c>
      <c r="R262" s="95">
        <f t="shared" si="52"/>
        <v>17.234999999999999</v>
      </c>
    </row>
    <row r="263" spans="1:18">
      <c r="A263" s="215">
        <v>37</v>
      </c>
      <c r="B263" s="215" t="s">
        <v>688</v>
      </c>
      <c r="C263" s="215" t="s">
        <v>689</v>
      </c>
      <c r="D263" s="216">
        <v>4</v>
      </c>
      <c r="E263" s="217"/>
      <c r="F263" s="216">
        <f t="shared" si="48"/>
        <v>4</v>
      </c>
      <c r="G263" s="218" t="s">
        <v>36</v>
      </c>
      <c r="H263" s="196">
        <f t="shared" si="49"/>
        <v>56.301000000000002</v>
      </c>
      <c r="I263" s="196">
        <f t="shared" si="50"/>
        <v>225.20400000000001</v>
      </c>
      <c r="P263" s="95">
        <v>49</v>
      </c>
      <c r="Q263" s="95">
        <f t="shared" si="51"/>
        <v>1.149</v>
      </c>
      <c r="R263" s="95">
        <f t="shared" si="52"/>
        <v>56.301000000000002</v>
      </c>
    </row>
    <row r="264" spans="1:18">
      <c r="A264" s="215">
        <v>38</v>
      </c>
      <c r="B264" s="215"/>
      <c r="C264" s="215" t="s">
        <v>690</v>
      </c>
      <c r="D264" s="216">
        <v>4</v>
      </c>
      <c r="E264" s="217"/>
      <c r="F264" s="216">
        <f t="shared" si="48"/>
        <v>4</v>
      </c>
      <c r="G264" s="218" t="s">
        <v>36</v>
      </c>
      <c r="H264" s="196">
        <f t="shared" si="49"/>
        <v>172.35</v>
      </c>
      <c r="I264" s="196">
        <f t="shared" si="50"/>
        <v>689.4</v>
      </c>
      <c r="P264" s="95">
        <v>150</v>
      </c>
      <c r="Q264" s="95">
        <f t="shared" si="51"/>
        <v>1.149</v>
      </c>
      <c r="R264" s="95">
        <f t="shared" si="52"/>
        <v>172.35</v>
      </c>
    </row>
    <row r="265" spans="1:18">
      <c r="A265" s="215">
        <v>39</v>
      </c>
      <c r="B265" s="215"/>
      <c r="C265" s="215" t="s">
        <v>691</v>
      </c>
      <c r="D265" s="216">
        <v>4</v>
      </c>
      <c r="E265" s="217"/>
      <c r="F265" s="216">
        <f t="shared" si="48"/>
        <v>4</v>
      </c>
      <c r="G265" s="218" t="s">
        <v>36</v>
      </c>
      <c r="H265" s="196">
        <f t="shared" si="49"/>
        <v>68.94</v>
      </c>
      <c r="I265" s="196">
        <f t="shared" si="50"/>
        <v>275.76</v>
      </c>
      <c r="P265" s="95">
        <v>60</v>
      </c>
      <c r="Q265" s="95">
        <f t="shared" si="51"/>
        <v>1.149</v>
      </c>
      <c r="R265" s="95">
        <f t="shared" si="52"/>
        <v>68.94</v>
      </c>
    </row>
    <row r="266" spans="1:18">
      <c r="A266" s="215">
        <v>40</v>
      </c>
      <c r="B266" s="215" t="s">
        <v>692</v>
      </c>
      <c r="C266" s="215" t="s">
        <v>693</v>
      </c>
      <c r="D266" s="216">
        <v>780</v>
      </c>
      <c r="E266" s="217"/>
      <c r="F266" s="216">
        <f t="shared" si="48"/>
        <v>780</v>
      </c>
      <c r="G266" s="218" t="s">
        <v>188</v>
      </c>
      <c r="H266" s="196">
        <f t="shared" si="49"/>
        <v>18.384</v>
      </c>
      <c r="I266" s="196">
        <f t="shared" si="50"/>
        <v>14339.52</v>
      </c>
      <c r="P266" s="95">
        <v>16</v>
      </c>
      <c r="Q266" s="95">
        <f t="shared" si="51"/>
        <v>1.149</v>
      </c>
      <c r="R266" s="95">
        <f t="shared" si="52"/>
        <v>18.384</v>
      </c>
    </row>
    <row r="267" spans="1:18">
      <c r="A267" s="215">
        <v>41</v>
      </c>
      <c r="B267" s="215" t="s">
        <v>694</v>
      </c>
      <c r="C267" s="215" t="s">
        <v>695</v>
      </c>
      <c r="D267" s="216">
        <v>232</v>
      </c>
      <c r="E267" s="217"/>
      <c r="F267" s="216">
        <f t="shared" si="48"/>
        <v>232</v>
      </c>
      <c r="G267" s="218" t="s">
        <v>188</v>
      </c>
      <c r="H267" s="196">
        <f t="shared" si="49"/>
        <v>16.085999999999999</v>
      </c>
      <c r="I267" s="196">
        <f t="shared" si="50"/>
        <v>3731.9519999999998</v>
      </c>
      <c r="P267" s="95">
        <v>14</v>
      </c>
      <c r="Q267" s="95">
        <f t="shared" si="51"/>
        <v>1.149</v>
      </c>
      <c r="R267" s="95">
        <f t="shared" si="52"/>
        <v>16.085999999999999</v>
      </c>
    </row>
    <row r="268" spans="1:18">
      <c r="A268" s="215">
        <v>42</v>
      </c>
      <c r="B268" s="215" t="s">
        <v>696</v>
      </c>
      <c r="C268" s="215" t="s">
        <v>697</v>
      </c>
      <c r="D268" s="216">
        <v>232</v>
      </c>
      <c r="E268" s="217"/>
      <c r="F268" s="216">
        <f t="shared" si="48"/>
        <v>232</v>
      </c>
      <c r="G268" s="218" t="s">
        <v>188</v>
      </c>
      <c r="H268" s="196">
        <f t="shared" si="49"/>
        <v>16.085999999999999</v>
      </c>
      <c r="I268" s="196">
        <f t="shared" si="50"/>
        <v>3731.9519999999998</v>
      </c>
      <c r="P268" s="95">
        <v>14</v>
      </c>
      <c r="Q268" s="95">
        <f t="shared" si="51"/>
        <v>1.149</v>
      </c>
      <c r="R268" s="95">
        <f t="shared" si="52"/>
        <v>16.085999999999999</v>
      </c>
    </row>
    <row r="269" spans="1:18">
      <c r="A269" s="215">
        <v>43</v>
      </c>
      <c r="B269" s="215" t="s">
        <v>698</v>
      </c>
      <c r="C269" s="215" t="s">
        <v>699</v>
      </c>
      <c r="D269" s="216">
        <v>36</v>
      </c>
      <c r="E269" s="217"/>
      <c r="F269" s="216">
        <f t="shared" si="48"/>
        <v>36</v>
      </c>
      <c r="G269" s="218" t="s">
        <v>36</v>
      </c>
      <c r="H269" s="196">
        <f t="shared" si="49"/>
        <v>94.218000000000004</v>
      </c>
      <c r="I269" s="196">
        <f t="shared" si="50"/>
        <v>3391.848</v>
      </c>
      <c r="P269" s="95">
        <v>82</v>
      </c>
      <c r="Q269" s="95">
        <f t="shared" si="51"/>
        <v>1.149</v>
      </c>
      <c r="R269" s="95">
        <f t="shared" si="52"/>
        <v>94.218000000000004</v>
      </c>
    </row>
    <row r="270" spans="1:18">
      <c r="A270" s="215">
        <v>44</v>
      </c>
      <c r="B270" s="215" t="s">
        <v>700</v>
      </c>
      <c r="C270" s="215" t="s">
        <v>701</v>
      </c>
      <c r="D270" s="216">
        <v>62</v>
      </c>
      <c r="E270" s="217"/>
      <c r="F270" s="216">
        <f t="shared" si="48"/>
        <v>62</v>
      </c>
      <c r="G270" s="218" t="s">
        <v>36</v>
      </c>
      <c r="H270" s="196">
        <f t="shared" si="49"/>
        <v>87.323999999999998</v>
      </c>
      <c r="I270" s="196">
        <f t="shared" si="50"/>
        <v>5414.0879999999997</v>
      </c>
      <c r="P270" s="95">
        <v>76</v>
      </c>
      <c r="Q270" s="95">
        <f t="shared" si="51"/>
        <v>1.149</v>
      </c>
      <c r="R270" s="95">
        <f t="shared" si="52"/>
        <v>87.323999999999998</v>
      </c>
    </row>
    <row r="271" spans="1:18">
      <c r="A271" s="215">
        <v>45</v>
      </c>
      <c r="B271" s="215" t="s">
        <v>702</v>
      </c>
      <c r="C271" s="215" t="s">
        <v>703</v>
      </c>
      <c r="D271" s="216">
        <v>36</v>
      </c>
      <c r="E271" s="217"/>
      <c r="F271" s="216">
        <f t="shared" si="48"/>
        <v>36</v>
      </c>
      <c r="G271" s="218" t="s">
        <v>36</v>
      </c>
      <c r="H271" s="196">
        <f t="shared" si="49"/>
        <v>59.748000000000005</v>
      </c>
      <c r="I271" s="196">
        <f t="shared" si="50"/>
        <v>2150.9280000000003</v>
      </c>
      <c r="P271" s="95">
        <v>52</v>
      </c>
      <c r="Q271" s="95">
        <f t="shared" si="51"/>
        <v>1.149</v>
      </c>
      <c r="R271" s="95">
        <f t="shared" si="52"/>
        <v>59.748000000000005</v>
      </c>
    </row>
    <row r="272" spans="1:18">
      <c r="A272" s="215">
        <v>46</v>
      </c>
      <c r="B272" s="215" t="s">
        <v>704</v>
      </c>
      <c r="C272" s="215" t="s">
        <v>705</v>
      </c>
      <c r="D272" s="216">
        <v>4488</v>
      </c>
      <c r="E272" s="217"/>
      <c r="F272" s="216">
        <f t="shared" si="48"/>
        <v>4488</v>
      </c>
      <c r="G272" s="218" t="s">
        <v>188</v>
      </c>
      <c r="H272" s="196">
        <f t="shared" si="49"/>
        <v>16.085999999999999</v>
      </c>
      <c r="I272" s="196">
        <f t="shared" si="50"/>
        <v>72193.967999999993</v>
      </c>
      <c r="P272" s="95">
        <v>14</v>
      </c>
      <c r="Q272" s="95">
        <f t="shared" si="51"/>
        <v>1.149</v>
      </c>
      <c r="R272" s="95">
        <f t="shared" si="52"/>
        <v>16.085999999999999</v>
      </c>
    </row>
    <row r="273" spans="1:18">
      <c r="A273" s="215">
        <v>47</v>
      </c>
      <c r="B273" s="215" t="s">
        <v>706</v>
      </c>
      <c r="C273" s="215" t="s">
        <v>707</v>
      </c>
      <c r="D273" s="216">
        <v>36</v>
      </c>
      <c r="E273" s="217"/>
      <c r="F273" s="216">
        <f t="shared" si="48"/>
        <v>36</v>
      </c>
      <c r="G273" s="218" t="s">
        <v>36</v>
      </c>
      <c r="H273" s="196">
        <f t="shared" si="49"/>
        <v>74.685000000000002</v>
      </c>
      <c r="I273" s="196">
        <f t="shared" si="50"/>
        <v>2688.66</v>
      </c>
      <c r="P273" s="95">
        <v>65</v>
      </c>
      <c r="Q273" s="95">
        <f t="shared" si="51"/>
        <v>1.149</v>
      </c>
      <c r="R273" s="95">
        <f t="shared" si="52"/>
        <v>74.685000000000002</v>
      </c>
    </row>
    <row r="274" spans="1:18">
      <c r="A274" s="215">
        <v>48</v>
      </c>
      <c r="B274" s="215"/>
      <c r="C274" s="215" t="s">
        <v>439</v>
      </c>
      <c r="D274" s="216">
        <v>12</v>
      </c>
      <c r="E274" s="217"/>
      <c r="F274" s="216">
        <f t="shared" si="48"/>
        <v>12</v>
      </c>
      <c r="G274" s="218" t="s">
        <v>323</v>
      </c>
      <c r="H274" s="196">
        <f t="shared" si="49"/>
        <v>517.04999999999995</v>
      </c>
      <c r="I274" s="196">
        <f t="shared" si="50"/>
        <v>6204.5999999999995</v>
      </c>
      <c r="P274" s="95">
        <v>450</v>
      </c>
      <c r="Q274" s="95">
        <f t="shared" si="51"/>
        <v>1.149</v>
      </c>
      <c r="R274" s="95">
        <f t="shared" si="52"/>
        <v>517.04999999999995</v>
      </c>
    </row>
    <row r="275" spans="1:18">
      <c r="A275" s="215">
        <v>49</v>
      </c>
      <c r="B275" s="215"/>
      <c r="C275" s="215" t="s">
        <v>440</v>
      </c>
      <c r="D275" s="216">
        <v>12</v>
      </c>
      <c r="E275" s="217"/>
      <c r="F275" s="216">
        <f t="shared" si="48"/>
        <v>12</v>
      </c>
      <c r="G275" s="218" t="s">
        <v>323</v>
      </c>
      <c r="H275" s="196">
        <f t="shared" si="49"/>
        <v>517.04999999999995</v>
      </c>
      <c r="I275" s="196">
        <f t="shared" si="50"/>
        <v>6204.5999999999995</v>
      </c>
      <c r="P275" s="95">
        <v>450</v>
      </c>
      <c r="Q275" s="95">
        <f t="shared" si="51"/>
        <v>1.149</v>
      </c>
      <c r="R275" s="95">
        <f t="shared" si="52"/>
        <v>517.04999999999995</v>
      </c>
    </row>
    <row r="276" spans="1:18">
      <c r="A276" s="215">
        <v>50</v>
      </c>
      <c r="B276" s="215"/>
      <c r="C276" s="215" t="s">
        <v>708</v>
      </c>
      <c r="D276" s="216">
        <v>8</v>
      </c>
      <c r="E276" s="217"/>
      <c r="F276" s="216">
        <f t="shared" si="48"/>
        <v>8</v>
      </c>
      <c r="G276" s="218" t="s">
        <v>323</v>
      </c>
      <c r="H276" s="196">
        <f t="shared" si="49"/>
        <v>517.04999999999995</v>
      </c>
      <c r="I276" s="196">
        <f t="shared" si="50"/>
        <v>4136.3999999999996</v>
      </c>
      <c r="P276" s="95">
        <v>450</v>
      </c>
      <c r="Q276" s="95">
        <f t="shared" si="51"/>
        <v>1.149</v>
      </c>
      <c r="R276" s="95">
        <f t="shared" si="52"/>
        <v>517.04999999999995</v>
      </c>
    </row>
    <row r="277" spans="1:18">
      <c r="A277" s="215">
        <v>51</v>
      </c>
      <c r="B277" s="215"/>
      <c r="C277" s="215" t="s">
        <v>709</v>
      </c>
      <c r="D277" s="216">
        <v>7</v>
      </c>
      <c r="E277" s="217"/>
      <c r="F277" s="216">
        <f t="shared" si="48"/>
        <v>7</v>
      </c>
      <c r="G277" s="218" t="s">
        <v>710</v>
      </c>
      <c r="H277" s="196">
        <f t="shared" si="49"/>
        <v>1723.5</v>
      </c>
      <c r="I277" s="196">
        <f t="shared" si="50"/>
        <v>12064.5</v>
      </c>
      <c r="P277" s="95">
        <v>1500</v>
      </c>
      <c r="Q277" s="95">
        <f t="shared" si="51"/>
        <v>1.149</v>
      </c>
      <c r="R277" s="95">
        <f t="shared" si="52"/>
        <v>1723.5</v>
      </c>
    </row>
    <row r="278" spans="1:18">
      <c r="A278" s="215">
        <v>52</v>
      </c>
      <c r="B278" s="215"/>
      <c r="C278" s="215" t="s">
        <v>711</v>
      </c>
      <c r="D278" s="216">
        <v>8</v>
      </c>
      <c r="E278" s="217"/>
      <c r="F278" s="216">
        <f t="shared" si="48"/>
        <v>8</v>
      </c>
      <c r="G278" s="218" t="s">
        <v>323</v>
      </c>
      <c r="H278" s="196">
        <f t="shared" si="49"/>
        <v>976.65</v>
      </c>
      <c r="I278" s="196">
        <f t="shared" si="50"/>
        <v>7813.2</v>
      </c>
      <c r="P278" s="95">
        <v>850</v>
      </c>
      <c r="Q278" s="95">
        <f t="shared" si="51"/>
        <v>1.149</v>
      </c>
      <c r="R278" s="95">
        <f t="shared" si="52"/>
        <v>976.65</v>
      </c>
    </row>
    <row r="279" spans="1:18">
      <c r="A279" s="215">
        <v>53</v>
      </c>
      <c r="B279" s="215" t="s">
        <v>653</v>
      </c>
      <c r="C279" s="215" t="s">
        <v>712</v>
      </c>
      <c r="D279" s="216">
        <v>1</v>
      </c>
      <c r="E279" s="217"/>
      <c r="F279" s="216">
        <f t="shared" si="48"/>
        <v>1</v>
      </c>
      <c r="G279" s="218" t="s">
        <v>36</v>
      </c>
      <c r="H279" s="196">
        <f t="shared" si="49"/>
        <v>402.15000000000003</v>
      </c>
      <c r="I279" s="196">
        <f t="shared" si="50"/>
        <v>402.15000000000003</v>
      </c>
      <c r="P279" s="95">
        <v>350</v>
      </c>
      <c r="Q279" s="95">
        <f t="shared" si="51"/>
        <v>1.149</v>
      </c>
      <c r="R279" s="95">
        <f t="shared" si="52"/>
        <v>402.15000000000003</v>
      </c>
    </row>
    <row r="280" spans="1:18">
      <c r="A280" s="215">
        <v>54</v>
      </c>
      <c r="B280" s="215" t="s">
        <v>713</v>
      </c>
      <c r="C280" s="215" t="s">
        <v>714</v>
      </c>
      <c r="D280" s="216">
        <v>2</v>
      </c>
      <c r="E280" s="217"/>
      <c r="F280" s="216">
        <f t="shared" si="48"/>
        <v>2</v>
      </c>
      <c r="G280" s="218" t="s">
        <v>36</v>
      </c>
      <c r="H280" s="196">
        <f t="shared" si="49"/>
        <v>344.7</v>
      </c>
      <c r="I280" s="196">
        <f t="shared" si="50"/>
        <v>689.4</v>
      </c>
      <c r="P280" s="95">
        <v>300</v>
      </c>
      <c r="Q280" s="95">
        <f t="shared" si="51"/>
        <v>1.149</v>
      </c>
      <c r="R280" s="95">
        <f t="shared" si="52"/>
        <v>344.7</v>
      </c>
    </row>
    <row r="281" spans="1:18">
      <c r="A281" s="215">
        <v>55</v>
      </c>
      <c r="B281" s="215" t="s">
        <v>715</v>
      </c>
      <c r="C281" s="215" t="s">
        <v>716</v>
      </c>
      <c r="D281" s="216">
        <v>2</v>
      </c>
      <c r="E281" s="217"/>
      <c r="F281" s="216">
        <f t="shared" si="48"/>
        <v>2</v>
      </c>
      <c r="G281" s="218" t="s">
        <v>36</v>
      </c>
      <c r="H281" s="196">
        <f t="shared" si="49"/>
        <v>252.78</v>
      </c>
      <c r="I281" s="196">
        <f t="shared" si="50"/>
        <v>505.56</v>
      </c>
      <c r="P281" s="95">
        <v>220</v>
      </c>
      <c r="Q281" s="95">
        <f t="shared" si="51"/>
        <v>1.149</v>
      </c>
      <c r="R281" s="95">
        <f t="shared" si="52"/>
        <v>252.78</v>
      </c>
    </row>
    <row r="282" spans="1:18">
      <c r="A282" s="215">
        <v>56</v>
      </c>
      <c r="B282" s="215" t="s">
        <v>717</v>
      </c>
      <c r="C282" s="215" t="s">
        <v>718</v>
      </c>
      <c r="D282" s="216">
        <v>2244</v>
      </c>
      <c r="E282" s="217"/>
      <c r="F282" s="216">
        <f t="shared" si="48"/>
        <v>2244</v>
      </c>
      <c r="G282" s="218" t="s">
        <v>188</v>
      </c>
      <c r="H282" s="196">
        <f t="shared" si="49"/>
        <v>28.725000000000001</v>
      </c>
      <c r="I282" s="196">
        <f t="shared" si="50"/>
        <v>64458.9</v>
      </c>
      <c r="P282" s="95">
        <v>25</v>
      </c>
      <c r="Q282" s="95">
        <f t="shared" si="51"/>
        <v>1.149</v>
      </c>
      <c r="R282" s="95">
        <f t="shared" si="52"/>
        <v>28.725000000000001</v>
      </c>
    </row>
    <row r="283" spans="1:18">
      <c r="A283" s="215">
        <v>57</v>
      </c>
      <c r="B283" s="215" t="s">
        <v>719</v>
      </c>
      <c r="C283" s="215" t="s">
        <v>720</v>
      </c>
      <c r="D283" s="216">
        <v>34</v>
      </c>
      <c r="E283" s="217"/>
      <c r="F283" s="216">
        <f t="shared" si="48"/>
        <v>34</v>
      </c>
      <c r="G283" s="218" t="s">
        <v>36</v>
      </c>
      <c r="H283" s="196">
        <f t="shared" si="49"/>
        <v>22.98</v>
      </c>
      <c r="I283" s="196">
        <f t="shared" si="50"/>
        <v>781.32</v>
      </c>
      <c r="P283" s="95">
        <v>20</v>
      </c>
      <c r="Q283" s="95">
        <f t="shared" si="51"/>
        <v>1.149</v>
      </c>
      <c r="R283" s="95">
        <f t="shared" si="52"/>
        <v>22.98</v>
      </c>
    </row>
    <row r="284" spans="1:18">
      <c r="A284" s="215">
        <v>58</v>
      </c>
      <c r="B284" s="215" t="s">
        <v>721</v>
      </c>
      <c r="C284" s="215" t="s">
        <v>722</v>
      </c>
      <c r="D284" s="216">
        <v>34</v>
      </c>
      <c r="E284" s="217"/>
      <c r="F284" s="216">
        <f t="shared" si="48"/>
        <v>34</v>
      </c>
      <c r="G284" s="218" t="s">
        <v>36</v>
      </c>
      <c r="H284" s="196">
        <f t="shared" si="49"/>
        <v>28.725000000000001</v>
      </c>
      <c r="I284" s="196">
        <f t="shared" si="50"/>
        <v>976.65000000000009</v>
      </c>
      <c r="P284" s="95">
        <v>25</v>
      </c>
      <c r="Q284" s="95">
        <f t="shared" si="51"/>
        <v>1.149</v>
      </c>
      <c r="R284" s="95">
        <f t="shared" si="52"/>
        <v>28.725000000000001</v>
      </c>
    </row>
    <row r="285" spans="1:18" ht="15.45">
      <c r="F285" s="73"/>
      <c r="I285" s="220">
        <f>SUM(I227:I284)</f>
        <v>279277.08900000004</v>
      </c>
    </row>
    <row r="286" spans="1:18" ht="15.45">
      <c r="C286" s="204" t="s">
        <v>723</v>
      </c>
    </row>
    <row r="287" spans="1:18" ht="23.15">
      <c r="A287" s="208" t="s">
        <v>362</v>
      </c>
      <c r="B287" s="208" t="s">
        <v>363</v>
      </c>
      <c r="C287" s="208" t="s">
        <v>364</v>
      </c>
      <c r="D287" s="209" t="s">
        <v>951</v>
      </c>
      <c r="E287" s="210" t="s">
        <v>952</v>
      </c>
      <c r="F287" s="210"/>
      <c r="G287" s="212" t="s">
        <v>18</v>
      </c>
      <c r="H287" s="213" t="s">
        <v>954</v>
      </c>
      <c r="I287" s="214" t="s">
        <v>955</v>
      </c>
    </row>
    <row r="288" spans="1:18">
      <c r="A288" s="215">
        <v>1</v>
      </c>
      <c r="B288" s="215" t="s">
        <v>724</v>
      </c>
      <c r="C288" s="215" t="s">
        <v>725</v>
      </c>
      <c r="D288" s="216">
        <v>1</v>
      </c>
      <c r="E288" s="217"/>
      <c r="F288" s="216">
        <f t="shared" ref="F288" si="53">D288</f>
        <v>1</v>
      </c>
      <c r="G288" s="218" t="s">
        <v>36</v>
      </c>
      <c r="H288" s="196">
        <f t="shared" ref="H288:H345" si="54">N288+R288</f>
        <v>18883.814999999999</v>
      </c>
      <c r="I288" s="196">
        <f t="shared" ref="I288:I345" si="55">H288*F288</f>
        <v>18883.814999999999</v>
      </c>
      <c r="L288" s="93">
        <v>16435</v>
      </c>
      <c r="M288" s="93">
        <f t="shared" ref="M288:M346" si="56">$M$1</f>
        <v>1.149</v>
      </c>
      <c r="N288" s="93">
        <f t="shared" ref="N288:N346" si="57">L288*M288</f>
        <v>18883.814999999999</v>
      </c>
    </row>
    <row r="289" spans="1:14">
      <c r="A289" s="215">
        <v>2</v>
      </c>
      <c r="B289" s="215" t="s">
        <v>726</v>
      </c>
      <c r="C289" s="215" t="s">
        <v>727</v>
      </c>
      <c r="D289" s="216">
        <v>15</v>
      </c>
      <c r="E289" s="217">
        <v>-15</v>
      </c>
      <c r="F289" s="217">
        <f t="shared" ref="F289:F290" si="58">D289+E289</f>
        <v>0</v>
      </c>
      <c r="G289" s="218" t="s">
        <v>36</v>
      </c>
      <c r="H289" s="196">
        <f t="shared" si="54"/>
        <v>679.05899999999997</v>
      </c>
      <c r="I289" s="196">
        <f t="shared" si="55"/>
        <v>0</v>
      </c>
      <c r="L289" s="93">
        <v>591</v>
      </c>
      <c r="M289" s="93">
        <f t="shared" si="56"/>
        <v>1.149</v>
      </c>
      <c r="N289" s="93">
        <f t="shared" si="57"/>
        <v>679.05899999999997</v>
      </c>
    </row>
    <row r="290" spans="1:14">
      <c r="A290" s="215">
        <v>3</v>
      </c>
      <c r="B290" s="215" t="s">
        <v>728</v>
      </c>
      <c r="C290" s="215" t="s">
        <v>729</v>
      </c>
      <c r="D290" s="216">
        <v>1</v>
      </c>
      <c r="E290" s="217">
        <v>-1</v>
      </c>
      <c r="F290" s="217">
        <f t="shared" si="58"/>
        <v>0</v>
      </c>
      <c r="G290" s="218" t="s">
        <v>36</v>
      </c>
      <c r="H290" s="196">
        <f t="shared" si="54"/>
        <v>8942.6669999999995</v>
      </c>
      <c r="I290" s="196">
        <f t="shared" si="55"/>
        <v>0</v>
      </c>
      <c r="L290" s="93">
        <v>7783</v>
      </c>
      <c r="M290" s="93">
        <f t="shared" si="56"/>
        <v>1.149</v>
      </c>
      <c r="N290" s="93">
        <f t="shared" si="57"/>
        <v>8942.6669999999995</v>
      </c>
    </row>
    <row r="291" spans="1:14">
      <c r="A291" s="215">
        <v>4</v>
      </c>
      <c r="B291" s="215" t="s">
        <v>730</v>
      </c>
      <c r="C291" s="215" t="s">
        <v>731</v>
      </c>
      <c r="D291" s="216">
        <v>4</v>
      </c>
      <c r="E291" s="217"/>
      <c r="F291" s="216">
        <f t="shared" ref="F291:F295" si="59">D291</f>
        <v>4</v>
      </c>
      <c r="G291" s="218" t="s">
        <v>36</v>
      </c>
      <c r="H291" s="196">
        <f t="shared" si="54"/>
        <v>2673.723</v>
      </c>
      <c r="I291" s="196">
        <f t="shared" si="55"/>
        <v>10694.892</v>
      </c>
      <c r="L291" s="93">
        <v>2327</v>
      </c>
      <c r="M291" s="93">
        <f t="shared" si="56"/>
        <v>1.149</v>
      </c>
      <c r="N291" s="93">
        <f t="shared" si="57"/>
        <v>2673.723</v>
      </c>
    </row>
    <row r="292" spans="1:14">
      <c r="A292" s="215">
        <v>5</v>
      </c>
      <c r="B292" s="215" t="s">
        <v>732</v>
      </c>
      <c r="C292" s="215" t="s">
        <v>733</v>
      </c>
      <c r="D292" s="216">
        <v>4</v>
      </c>
      <c r="E292" s="217"/>
      <c r="F292" s="216">
        <f t="shared" si="59"/>
        <v>4</v>
      </c>
      <c r="G292" s="218" t="s">
        <v>36</v>
      </c>
      <c r="H292" s="196">
        <f t="shared" si="54"/>
        <v>660.67500000000007</v>
      </c>
      <c r="I292" s="196">
        <f t="shared" si="55"/>
        <v>2642.7000000000003</v>
      </c>
      <c r="L292" s="93">
        <v>575</v>
      </c>
      <c r="M292" s="93">
        <f t="shared" si="56"/>
        <v>1.149</v>
      </c>
      <c r="N292" s="93">
        <f t="shared" si="57"/>
        <v>660.67500000000007</v>
      </c>
    </row>
    <row r="293" spans="1:14">
      <c r="A293" s="215">
        <v>6</v>
      </c>
      <c r="B293" s="215" t="s">
        <v>734</v>
      </c>
      <c r="C293" s="215" t="s">
        <v>735</v>
      </c>
      <c r="D293" s="216">
        <v>0</v>
      </c>
      <c r="E293" s="217"/>
      <c r="F293" s="216">
        <f t="shared" si="59"/>
        <v>0</v>
      </c>
      <c r="G293" s="218" t="s">
        <v>36</v>
      </c>
      <c r="H293" s="196">
        <f t="shared" si="54"/>
        <v>5172.7979999999998</v>
      </c>
      <c r="I293" s="196">
        <f t="shared" si="55"/>
        <v>0</v>
      </c>
      <c r="L293" s="93">
        <v>4502</v>
      </c>
      <c r="M293" s="93">
        <f t="shared" si="56"/>
        <v>1.149</v>
      </c>
      <c r="N293" s="93">
        <f t="shared" si="57"/>
        <v>5172.7979999999998</v>
      </c>
    </row>
    <row r="294" spans="1:14">
      <c r="A294" s="215">
        <v>7</v>
      </c>
      <c r="B294" s="215" t="s">
        <v>736</v>
      </c>
      <c r="C294" s="215" t="s">
        <v>737</v>
      </c>
      <c r="D294" s="216">
        <v>1</v>
      </c>
      <c r="E294" s="217"/>
      <c r="F294" s="216">
        <f t="shared" si="59"/>
        <v>1</v>
      </c>
      <c r="G294" s="218" t="s">
        <v>36</v>
      </c>
      <c r="H294" s="196">
        <f t="shared" si="54"/>
        <v>1921.1279999999999</v>
      </c>
      <c r="I294" s="196">
        <f t="shared" si="55"/>
        <v>1921.1279999999999</v>
      </c>
      <c r="L294" s="93">
        <v>1672</v>
      </c>
      <c r="M294" s="93">
        <f t="shared" si="56"/>
        <v>1.149</v>
      </c>
      <c r="N294" s="93">
        <f t="shared" si="57"/>
        <v>1921.1279999999999</v>
      </c>
    </row>
    <row r="295" spans="1:14">
      <c r="A295" s="215">
        <v>8</v>
      </c>
      <c r="B295" s="215" t="s">
        <v>738</v>
      </c>
      <c r="C295" s="215" t="s">
        <v>739</v>
      </c>
      <c r="D295" s="216">
        <v>1</v>
      </c>
      <c r="E295" s="217"/>
      <c r="F295" s="216">
        <f t="shared" si="59"/>
        <v>1</v>
      </c>
      <c r="G295" s="218" t="s">
        <v>36</v>
      </c>
      <c r="H295" s="196">
        <f t="shared" si="54"/>
        <v>434.322</v>
      </c>
      <c r="I295" s="196">
        <f t="shared" si="55"/>
        <v>434.322</v>
      </c>
      <c r="L295" s="93">
        <v>378</v>
      </c>
      <c r="M295" s="93">
        <f t="shared" si="56"/>
        <v>1.149</v>
      </c>
      <c r="N295" s="93">
        <f t="shared" si="57"/>
        <v>434.322</v>
      </c>
    </row>
    <row r="296" spans="1:14">
      <c r="A296" s="215">
        <v>9</v>
      </c>
      <c r="B296" s="215" t="s">
        <v>740</v>
      </c>
      <c r="C296" s="215" t="s">
        <v>741</v>
      </c>
      <c r="D296" s="216">
        <v>3</v>
      </c>
      <c r="E296" s="217">
        <v>-3</v>
      </c>
      <c r="F296" s="217">
        <f t="shared" ref="F296:F297" si="60">D296+E296</f>
        <v>0</v>
      </c>
      <c r="G296" s="218" t="s">
        <v>36</v>
      </c>
      <c r="H296" s="196">
        <f t="shared" si="54"/>
        <v>413.64</v>
      </c>
      <c r="I296" s="196">
        <f t="shared" si="55"/>
        <v>0</v>
      </c>
      <c r="L296" s="93">
        <v>360</v>
      </c>
      <c r="M296" s="93">
        <f t="shared" si="56"/>
        <v>1.149</v>
      </c>
      <c r="N296" s="93">
        <f t="shared" si="57"/>
        <v>413.64</v>
      </c>
    </row>
    <row r="297" spans="1:14">
      <c r="A297" s="215">
        <v>10</v>
      </c>
      <c r="B297" s="215"/>
      <c r="C297" s="215" t="s">
        <v>742</v>
      </c>
      <c r="D297" s="216">
        <v>3</v>
      </c>
      <c r="E297" s="217">
        <v>-3</v>
      </c>
      <c r="F297" s="217">
        <f t="shared" si="60"/>
        <v>0</v>
      </c>
      <c r="G297" s="218" t="s">
        <v>36</v>
      </c>
      <c r="H297" s="196">
        <f t="shared" si="54"/>
        <v>28.725000000000001</v>
      </c>
      <c r="I297" s="196">
        <f t="shared" si="55"/>
        <v>0</v>
      </c>
      <c r="L297" s="93">
        <v>25</v>
      </c>
      <c r="M297" s="93">
        <f t="shared" si="56"/>
        <v>1.149</v>
      </c>
      <c r="N297" s="93">
        <f t="shared" si="57"/>
        <v>28.725000000000001</v>
      </c>
    </row>
    <row r="298" spans="1:14">
      <c r="A298" s="215">
        <v>11</v>
      </c>
      <c r="B298" s="215" t="s">
        <v>743</v>
      </c>
      <c r="C298" s="215" t="s">
        <v>744</v>
      </c>
      <c r="D298" s="216">
        <v>3</v>
      </c>
      <c r="E298" s="217"/>
      <c r="F298" s="216">
        <f t="shared" ref="F298:F299" si="61">D298</f>
        <v>3</v>
      </c>
      <c r="G298" s="218" t="s">
        <v>36</v>
      </c>
      <c r="H298" s="196">
        <f t="shared" si="54"/>
        <v>952.52100000000007</v>
      </c>
      <c r="I298" s="196">
        <f t="shared" si="55"/>
        <v>2857.5630000000001</v>
      </c>
      <c r="L298" s="93">
        <v>829</v>
      </c>
      <c r="M298" s="93">
        <f t="shared" si="56"/>
        <v>1.149</v>
      </c>
      <c r="N298" s="93">
        <f t="shared" si="57"/>
        <v>952.52100000000007</v>
      </c>
    </row>
    <row r="299" spans="1:14">
      <c r="A299" s="215">
        <v>12</v>
      </c>
      <c r="B299" s="215" t="s">
        <v>745</v>
      </c>
      <c r="C299" s="215" t="s">
        <v>746</v>
      </c>
      <c r="D299" s="216">
        <v>4</v>
      </c>
      <c r="E299" s="217"/>
      <c r="F299" s="216">
        <f t="shared" si="61"/>
        <v>4</v>
      </c>
      <c r="G299" s="218" t="s">
        <v>36</v>
      </c>
      <c r="H299" s="196">
        <f t="shared" si="54"/>
        <v>2005.0050000000001</v>
      </c>
      <c r="I299" s="196">
        <f t="shared" si="55"/>
        <v>8020.02</v>
      </c>
      <c r="L299" s="93">
        <v>1745</v>
      </c>
      <c r="M299" s="93">
        <f t="shared" si="56"/>
        <v>1.149</v>
      </c>
      <c r="N299" s="93">
        <f t="shared" si="57"/>
        <v>2005.0050000000001</v>
      </c>
    </row>
    <row r="300" spans="1:14">
      <c r="A300" s="215">
        <v>13</v>
      </c>
      <c r="B300" s="215" t="s">
        <v>747</v>
      </c>
      <c r="C300" s="215" t="s">
        <v>748</v>
      </c>
      <c r="D300" s="216">
        <v>7</v>
      </c>
      <c r="E300" s="217">
        <v>-7</v>
      </c>
      <c r="F300" s="217">
        <f>D300+E300</f>
        <v>0</v>
      </c>
      <c r="G300" s="218" t="s">
        <v>36</v>
      </c>
      <c r="H300" s="196">
        <f t="shared" si="54"/>
        <v>11030.4</v>
      </c>
      <c r="I300" s="196">
        <f t="shared" si="55"/>
        <v>0</v>
      </c>
      <c r="L300" s="93">
        <v>9600</v>
      </c>
      <c r="M300" s="93">
        <f t="shared" si="56"/>
        <v>1.149</v>
      </c>
      <c r="N300" s="93">
        <f t="shared" si="57"/>
        <v>11030.4</v>
      </c>
    </row>
    <row r="301" spans="1:14">
      <c r="A301" s="215">
        <v>14</v>
      </c>
      <c r="B301" s="215" t="s">
        <v>749</v>
      </c>
      <c r="C301" s="215" t="s">
        <v>750</v>
      </c>
      <c r="D301" s="216">
        <v>10</v>
      </c>
      <c r="E301" s="217"/>
      <c r="F301" s="216">
        <f t="shared" ref="F301:F302" si="62">D301</f>
        <v>10</v>
      </c>
      <c r="G301" s="218" t="s">
        <v>36</v>
      </c>
      <c r="H301" s="196">
        <f t="shared" si="54"/>
        <v>11375.1</v>
      </c>
      <c r="I301" s="196">
        <f t="shared" si="55"/>
        <v>113751</v>
      </c>
      <c r="L301" s="93">
        <v>9900</v>
      </c>
      <c r="M301" s="93">
        <f t="shared" si="56"/>
        <v>1.149</v>
      </c>
      <c r="N301" s="93">
        <f t="shared" si="57"/>
        <v>11375.1</v>
      </c>
    </row>
    <row r="302" spans="1:14">
      <c r="A302" s="215">
        <v>15</v>
      </c>
      <c r="B302" s="215" t="s">
        <v>751</v>
      </c>
      <c r="C302" s="215" t="s">
        <v>752</v>
      </c>
      <c r="D302" s="216">
        <v>0</v>
      </c>
      <c r="E302" s="217"/>
      <c r="F302" s="216">
        <f t="shared" si="62"/>
        <v>0</v>
      </c>
      <c r="G302" s="218" t="s">
        <v>36</v>
      </c>
      <c r="H302" s="196">
        <f t="shared" si="54"/>
        <v>13213.5</v>
      </c>
      <c r="I302" s="196">
        <f t="shared" si="55"/>
        <v>0</v>
      </c>
      <c r="L302" s="93">
        <v>11500</v>
      </c>
      <c r="M302" s="93">
        <f t="shared" si="56"/>
        <v>1.149</v>
      </c>
      <c r="N302" s="93">
        <f t="shared" si="57"/>
        <v>13213.5</v>
      </c>
    </row>
    <row r="303" spans="1:14">
      <c r="A303" s="215">
        <v>16</v>
      </c>
      <c r="B303" s="215" t="s">
        <v>753</v>
      </c>
      <c r="C303" s="215" t="s">
        <v>754</v>
      </c>
      <c r="D303" s="216">
        <v>7</v>
      </c>
      <c r="E303" s="217">
        <v>-7</v>
      </c>
      <c r="F303" s="217">
        <f t="shared" ref="F303:F306" si="63">D303+E303</f>
        <v>0</v>
      </c>
      <c r="G303" s="218" t="s">
        <v>36</v>
      </c>
      <c r="H303" s="196">
        <f t="shared" si="54"/>
        <v>258.52499999999998</v>
      </c>
      <c r="I303" s="196">
        <f t="shared" si="55"/>
        <v>0</v>
      </c>
      <c r="L303" s="93">
        <v>225</v>
      </c>
      <c r="M303" s="93">
        <f t="shared" si="56"/>
        <v>1.149</v>
      </c>
      <c r="N303" s="93">
        <f t="shared" si="57"/>
        <v>258.52499999999998</v>
      </c>
    </row>
    <row r="304" spans="1:14">
      <c r="A304" s="215">
        <v>17</v>
      </c>
      <c r="B304" s="215" t="s">
        <v>755</v>
      </c>
      <c r="C304" s="215" t="s">
        <v>756</v>
      </c>
      <c r="D304" s="216">
        <v>10</v>
      </c>
      <c r="E304" s="217">
        <v>-10</v>
      </c>
      <c r="F304" s="217">
        <f t="shared" si="63"/>
        <v>0</v>
      </c>
      <c r="G304" s="218" t="s">
        <v>36</v>
      </c>
      <c r="H304" s="196">
        <f t="shared" si="54"/>
        <v>258.52499999999998</v>
      </c>
      <c r="I304" s="196">
        <f t="shared" si="55"/>
        <v>0</v>
      </c>
      <c r="L304" s="93">
        <v>225</v>
      </c>
      <c r="M304" s="93">
        <f t="shared" si="56"/>
        <v>1.149</v>
      </c>
      <c r="N304" s="93">
        <f t="shared" si="57"/>
        <v>258.52499999999998</v>
      </c>
    </row>
    <row r="305" spans="1:14">
      <c r="A305" s="215">
        <v>18</v>
      </c>
      <c r="B305" s="215" t="s">
        <v>757</v>
      </c>
      <c r="C305" s="215" t="s">
        <v>758</v>
      </c>
      <c r="D305" s="216">
        <v>27</v>
      </c>
      <c r="E305" s="217">
        <v>-27</v>
      </c>
      <c r="F305" s="217">
        <f t="shared" si="63"/>
        <v>0</v>
      </c>
      <c r="G305" s="218" t="s">
        <v>36</v>
      </c>
      <c r="H305" s="196">
        <f t="shared" si="54"/>
        <v>1066.2719999999999</v>
      </c>
      <c r="I305" s="196">
        <f t="shared" si="55"/>
        <v>0</v>
      </c>
      <c r="L305" s="93">
        <v>928</v>
      </c>
      <c r="M305" s="93">
        <f t="shared" si="56"/>
        <v>1.149</v>
      </c>
      <c r="N305" s="93">
        <f t="shared" si="57"/>
        <v>1066.2719999999999</v>
      </c>
    </row>
    <row r="306" spans="1:14">
      <c r="A306" s="215">
        <v>19</v>
      </c>
      <c r="B306" s="215" t="s">
        <v>759</v>
      </c>
      <c r="C306" s="215" t="s">
        <v>760</v>
      </c>
      <c r="D306" s="216">
        <v>30</v>
      </c>
      <c r="E306" s="217">
        <v>-30</v>
      </c>
      <c r="F306" s="217">
        <f t="shared" si="63"/>
        <v>0</v>
      </c>
      <c r="G306" s="218" t="s">
        <v>36</v>
      </c>
      <c r="H306" s="196">
        <f t="shared" si="54"/>
        <v>1143.2550000000001</v>
      </c>
      <c r="I306" s="196">
        <f t="shared" si="55"/>
        <v>0</v>
      </c>
      <c r="L306" s="93">
        <v>995</v>
      </c>
      <c r="M306" s="93">
        <f t="shared" si="56"/>
        <v>1.149</v>
      </c>
      <c r="N306" s="93">
        <f t="shared" si="57"/>
        <v>1143.2550000000001</v>
      </c>
    </row>
    <row r="307" spans="1:14">
      <c r="A307" s="215">
        <v>20</v>
      </c>
      <c r="B307" s="215"/>
      <c r="C307" s="215" t="s">
        <v>761</v>
      </c>
      <c r="D307" s="216">
        <v>34</v>
      </c>
      <c r="E307" s="217"/>
      <c r="F307" s="216">
        <f t="shared" ref="F307" si="64">D307</f>
        <v>34</v>
      </c>
      <c r="G307" s="218" t="s">
        <v>36</v>
      </c>
      <c r="H307" s="196">
        <f t="shared" si="54"/>
        <v>517.04999999999995</v>
      </c>
      <c r="I307" s="196">
        <f t="shared" si="55"/>
        <v>17579.699999999997</v>
      </c>
      <c r="L307" s="93">
        <v>450</v>
      </c>
      <c r="M307" s="93">
        <f t="shared" si="56"/>
        <v>1.149</v>
      </c>
      <c r="N307" s="93">
        <f t="shared" si="57"/>
        <v>517.04999999999995</v>
      </c>
    </row>
    <row r="308" spans="1:14">
      <c r="A308" s="215">
        <v>21</v>
      </c>
      <c r="B308" s="215" t="s">
        <v>762</v>
      </c>
      <c r="C308" s="215" t="s">
        <v>763</v>
      </c>
      <c r="D308" s="216">
        <v>4</v>
      </c>
      <c r="E308" s="217">
        <v>-4</v>
      </c>
      <c r="F308" s="217">
        <f>D308+E308</f>
        <v>0</v>
      </c>
      <c r="G308" s="218" t="s">
        <v>36</v>
      </c>
      <c r="H308" s="196">
        <f t="shared" si="54"/>
        <v>1143.2550000000001</v>
      </c>
      <c r="I308" s="196">
        <f t="shared" si="55"/>
        <v>0</v>
      </c>
      <c r="L308" s="93">
        <v>995</v>
      </c>
      <c r="M308" s="93">
        <f t="shared" si="56"/>
        <v>1.149</v>
      </c>
      <c r="N308" s="93">
        <f t="shared" si="57"/>
        <v>1143.2550000000001</v>
      </c>
    </row>
    <row r="309" spans="1:14">
      <c r="A309" s="215">
        <v>22</v>
      </c>
      <c r="B309" s="215" t="s">
        <v>764</v>
      </c>
      <c r="C309" s="215" t="s">
        <v>765</v>
      </c>
      <c r="D309" s="216">
        <v>34</v>
      </c>
      <c r="E309" s="217"/>
      <c r="F309" s="216">
        <f t="shared" ref="F309:F310" si="65">D309</f>
        <v>34</v>
      </c>
      <c r="G309" s="218" t="s">
        <v>36</v>
      </c>
      <c r="H309" s="196">
        <f t="shared" si="54"/>
        <v>76.865802000000002</v>
      </c>
      <c r="I309" s="196">
        <f t="shared" si="55"/>
        <v>2613.4372680000001</v>
      </c>
      <c r="L309" s="93">
        <v>66.897999999999996</v>
      </c>
      <c r="M309" s="93">
        <f t="shared" si="56"/>
        <v>1.149</v>
      </c>
      <c r="N309" s="93">
        <f t="shared" si="57"/>
        <v>76.865802000000002</v>
      </c>
    </row>
    <row r="310" spans="1:14">
      <c r="A310" s="215">
        <v>23</v>
      </c>
      <c r="B310" s="215"/>
      <c r="C310" s="215" t="s">
        <v>766</v>
      </c>
      <c r="D310" s="216">
        <v>136</v>
      </c>
      <c r="E310" s="217"/>
      <c r="F310" s="216">
        <f t="shared" si="65"/>
        <v>136</v>
      </c>
      <c r="G310" s="218" t="s">
        <v>36</v>
      </c>
      <c r="H310" s="196">
        <f t="shared" si="54"/>
        <v>8.7903096000000005</v>
      </c>
      <c r="I310" s="196">
        <f t="shared" si="55"/>
        <v>1195.4821056000001</v>
      </c>
      <c r="L310" s="93">
        <v>7.6504000000000003</v>
      </c>
      <c r="M310" s="93">
        <f t="shared" si="56"/>
        <v>1.149</v>
      </c>
      <c r="N310" s="93">
        <f t="shared" si="57"/>
        <v>8.7903096000000005</v>
      </c>
    </row>
    <row r="311" spans="1:14">
      <c r="A311" s="215">
        <v>24</v>
      </c>
      <c r="B311" s="215" t="s">
        <v>767</v>
      </c>
      <c r="C311" s="215" t="s">
        <v>768</v>
      </c>
      <c r="D311" s="216">
        <v>4</v>
      </c>
      <c r="E311" s="217">
        <v>-4</v>
      </c>
      <c r="F311" s="217">
        <f>D311+E311</f>
        <v>0</v>
      </c>
      <c r="G311" s="218" t="s">
        <v>36</v>
      </c>
      <c r="H311" s="196">
        <f t="shared" si="54"/>
        <v>190.73400000000001</v>
      </c>
      <c r="I311" s="196">
        <f t="shared" si="55"/>
        <v>0</v>
      </c>
      <c r="L311" s="93">
        <v>166</v>
      </c>
      <c r="M311" s="93">
        <f t="shared" si="56"/>
        <v>1.149</v>
      </c>
      <c r="N311" s="93">
        <f t="shared" si="57"/>
        <v>190.73400000000001</v>
      </c>
    </row>
    <row r="312" spans="1:14">
      <c r="A312" s="215">
        <v>25</v>
      </c>
      <c r="B312" s="215" t="s">
        <v>769</v>
      </c>
      <c r="C312" s="215" t="s">
        <v>770</v>
      </c>
      <c r="D312" s="216">
        <v>2</v>
      </c>
      <c r="E312" s="217"/>
      <c r="F312" s="217"/>
      <c r="G312" s="218" t="s">
        <v>36</v>
      </c>
      <c r="H312" s="196">
        <f t="shared" si="54"/>
        <v>190.73400000000001</v>
      </c>
      <c r="I312" s="196">
        <f t="shared" si="55"/>
        <v>0</v>
      </c>
      <c r="L312" s="93">
        <v>166</v>
      </c>
      <c r="M312" s="93">
        <f t="shared" si="56"/>
        <v>1.149</v>
      </c>
      <c r="N312" s="93">
        <f t="shared" si="57"/>
        <v>190.73400000000001</v>
      </c>
    </row>
    <row r="313" spans="1:14">
      <c r="A313" s="215">
        <v>26</v>
      </c>
      <c r="B313" s="215" t="s">
        <v>771</v>
      </c>
      <c r="C313" s="215" t="s">
        <v>772</v>
      </c>
      <c r="D313" s="216">
        <v>6</v>
      </c>
      <c r="E313" s="217">
        <v>-6</v>
      </c>
      <c r="F313" s="217">
        <f>D313+E313</f>
        <v>0</v>
      </c>
      <c r="G313" s="218" t="s">
        <v>36</v>
      </c>
      <c r="H313" s="196">
        <f t="shared" si="54"/>
        <v>3435.51</v>
      </c>
      <c r="I313" s="196">
        <f t="shared" si="55"/>
        <v>0</v>
      </c>
      <c r="L313" s="93">
        <v>2990</v>
      </c>
      <c r="M313" s="93">
        <f t="shared" si="56"/>
        <v>1.149</v>
      </c>
      <c r="N313" s="93">
        <f t="shared" si="57"/>
        <v>3435.51</v>
      </c>
    </row>
    <row r="314" spans="1:14">
      <c r="A314" s="215">
        <v>27</v>
      </c>
      <c r="B314" s="215" t="s">
        <v>773</v>
      </c>
      <c r="C314" s="215" t="s">
        <v>774</v>
      </c>
      <c r="D314" s="216">
        <v>2</v>
      </c>
      <c r="E314" s="217"/>
      <c r="F314" s="216">
        <f t="shared" ref="F314:F323" si="66">D314</f>
        <v>2</v>
      </c>
      <c r="G314" s="218" t="s">
        <v>36</v>
      </c>
      <c r="H314" s="196">
        <f t="shared" si="54"/>
        <v>2470.35</v>
      </c>
      <c r="I314" s="196">
        <f t="shared" si="55"/>
        <v>4940.7</v>
      </c>
      <c r="L314" s="93">
        <v>2150</v>
      </c>
      <c r="M314" s="93">
        <f t="shared" si="56"/>
        <v>1.149</v>
      </c>
      <c r="N314" s="93">
        <f t="shared" si="57"/>
        <v>2470.35</v>
      </c>
    </row>
    <row r="315" spans="1:14">
      <c r="A315" s="215">
        <v>28</v>
      </c>
      <c r="B315" s="215" t="s">
        <v>775</v>
      </c>
      <c r="C315" s="215" t="s">
        <v>776</v>
      </c>
      <c r="D315" s="216">
        <v>4</v>
      </c>
      <c r="E315" s="217"/>
      <c r="F315" s="216">
        <f t="shared" si="66"/>
        <v>4</v>
      </c>
      <c r="G315" s="218" t="s">
        <v>36</v>
      </c>
      <c r="H315" s="196">
        <f t="shared" si="54"/>
        <v>20.682000000000002</v>
      </c>
      <c r="I315" s="196">
        <f t="shared" si="55"/>
        <v>82.728000000000009</v>
      </c>
      <c r="L315" s="93">
        <v>18</v>
      </c>
      <c r="M315" s="93">
        <f t="shared" si="56"/>
        <v>1.149</v>
      </c>
      <c r="N315" s="93">
        <f t="shared" si="57"/>
        <v>20.682000000000002</v>
      </c>
    </row>
    <row r="316" spans="1:14">
      <c r="A316" s="215">
        <v>29</v>
      </c>
      <c r="B316" s="215" t="s">
        <v>777</v>
      </c>
      <c r="C316" s="215" t="s">
        <v>778</v>
      </c>
      <c r="D316" s="216">
        <v>780</v>
      </c>
      <c r="E316" s="217"/>
      <c r="F316" s="216">
        <f t="shared" si="66"/>
        <v>780</v>
      </c>
      <c r="G316" s="218" t="s">
        <v>36</v>
      </c>
      <c r="H316" s="196">
        <f t="shared" si="54"/>
        <v>7.7536817999999998</v>
      </c>
      <c r="I316" s="196">
        <f t="shared" si="55"/>
        <v>6047.8718039999994</v>
      </c>
      <c r="L316" s="93">
        <v>6.7481999999999998</v>
      </c>
      <c r="M316" s="93">
        <f t="shared" si="56"/>
        <v>1.149</v>
      </c>
      <c r="N316" s="93">
        <f t="shared" si="57"/>
        <v>7.7536817999999998</v>
      </c>
    </row>
    <row r="317" spans="1:14">
      <c r="A317" s="215">
        <v>30</v>
      </c>
      <c r="B317" s="215" t="s">
        <v>779</v>
      </c>
      <c r="C317" s="215" t="s">
        <v>780</v>
      </c>
      <c r="D317" s="216">
        <v>232</v>
      </c>
      <c r="E317" s="217"/>
      <c r="F317" s="216">
        <f t="shared" si="66"/>
        <v>232</v>
      </c>
      <c r="G317" s="218" t="s">
        <v>188</v>
      </c>
      <c r="H317" s="196">
        <f t="shared" si="54"/>
        <v>16.442879400000002</v>
      </c>
      <c r="I317" s="196">
        <f t="shared" si="55"/>
        <v>3814.7480208000006</v>
      </c>
      <c r="L317" s="93">
        <v>14.310600000000001</v>
      </c>
      <c r="M317" s="93">
        <f t="shared" si="56"/>
        <v>1.149</v>
      </c>
      <c r="N317" s="93">
        <f t="shared" si="57"/>
        <v>16.442879400000002</v>
      </c>
    </row>
    <row r="318" spans="1:14">
      <c r="A318" s="215">
        <v>31</v>
      </c>
      <c r="B318" s="215"/>
      <c r="C318" s="215" t="s">
        <v>781</v>
      </c>
      <c r="D318" s="216">
        <v>232</v>
      </c>
      <c r="E318" s="217"/>
      <c r="F318" s="216">
        <f t="shared" si="66"/>
        <v>232</v>
      </c>
      <c r="G318" s="218" t="s">
        <v>188</v>
      </c>
      <c r="H318" s="196">
        <f t="shared" si="54"/>
        <v>8.1067695000000004</v>
      </c>
      <c r="I318" s="196">
        <f t="shared" si="55"/>
        <v>1880.770524</v>
      </c>
      <c r="L318" s="93">
        <v>7.0555000000000003</v>
      </c>
      <c r="M318" s="93">
        <f t="shared" si="56"/>
        <v>1.149</v>
      </c>
      <c r="N318" s="93">
        <f t="shared" si="57"/>
        <v>8.1067695000000004</v>
      </c>
    </row>
    <row r="319" spans="1:14">
      <c r="A319" s="215">
        <v>32</v>
      </c>
      <c r="B319" s="215" t="s">
        <v>782</v>
      </c>
      <c r="C319" s="215" t="s">
        <v>783</v>
      </c>
      <c r="D319" s="216">
        <v>2244</v>
      </c>
      <c r="E319" s="217"/>
      <c r="F319" s="216">
        <f t="shared" si="66"/>
        <v>2244</v>
      </c>
      <c r="G319" s="218" t="s">
        <v>188</v>
      </c>
      <c r="H319" s="196">
        <f t="shared" si="54"/>
        <v>47.534129999999998</v>
      </c>
      <c r="I319" s="196">
        <f t="shared" si="55"/>
        <v>106666.58772</v>
      </c>
      <c r="L319" s="93">
        <v>41.37</v>
      </c>
      <c r="M319" s="93">
        <f t="shared" si="56"/>
        <v>1.149</v>
      </c>
      <c r="N319" s="93">
        <f t="shared" si="57"/>
        <v>47.534129999999998</v>
      </c>
    </row>
    <row r="320" spans="1:14">
      <c r="A320" s="215">
        <v>33</v>
      </c>
      <c r="B320" s="215" t="s">
        <v>785</v>
      </c>
      <c r="C320" s="215" t="s">
        <v>786</v>
      </c>
      <c r="D320" s="216">
        <v>4488</v>
      </c>
      <c r="E320" s="217"/>
      <c r="F320" s="216">
        <f t="shared" si="66"/>
        <v>4488</v>
      </c>
      <c r="G320" s="218" t="s">
        <v>188</v>
      </c>
      <c r="H320" s="196">
        <f t="shared" si="54"/>
        <v>16.076808</v>
      </c>
      <c r="I320" s="196">
        <f t="shared" si="55"/>
        <v>72152.714303999994</v>
      </c>
      <c r="L320" s="93">
        <v>13.992000000000001</v>
      </c>
      <c r="M320" s="93">
        <f t="shared" si="56"/>
        <v>1.149</v>
      </c>
      <c r="N320" s="93">
        <f t="shared" si="57"/>
        <v>16.076808</v>
      </c>
    </row>
    <row r="321" spans="1:18">
      <c r="A321" s="215">
        <v>34</v>
      </c>
      <c r="B321" s="215"/>
      <c r="C321" s="215" t="s">
        <v>787</v>
      </c>
      <c r="D321" s="216">
        <v>1</v>
      </c>
      <c r="E321" s="217"/>
      <c r="F321" s="216">
        <f t="shared" si="66"/>
        <v>1</v>
      </c>
      <c r="G321" s="218" t="s">
        <v>36</v>
      </c>
      <c r="H321" s="196">
        <f t="shared" si="54"/>
        <v>1131.7650000000001</v>
      </c>
      <c r="I321" s="196">
        <f t="shared" si="55"/>
        <v>1131.7650000000001</v>
      </c>
      <c r="L321" s="93">
        <v>985</v>
      </c>
      <c r="M321" s="93">
        <f t="shared" si="56"/>
        <v>1.149</v>
      </c>
      <c r="N321" s="93">
        <f t="shared" si="57"/>
        <v>1131.7650000000001</v>
      </c>
    </row>
    <row r="322" spans="1:18">
      <c r="A322" s="215">
        <v>35</v>
      </c>
      <c r="B322" s="215"/>
      <c r="C322" s="215" t="s">
        <v>788</v>
      </c>
      <c r="D322" s="216">
        <v>10</v>
      </c>
      <c r="E322" s="217"/>
      <c r="F322" s="216">
        <f t="shared" si="66"/>
        <v>10</v>
      </c>
      <c r="G322" s="218" t="s">
        <v>36</v>
      </c>
      <c r="H322" s="196">
        <f t="shared" si="54"/>
        <v>312.52800000000002</v>
      </c>
      <c r="I322" s="196">
        <f t="shared" si="55"/>
        <v>3125.28</v>
      </c>
      <c r="L322" s="93">
        <v>272</v>
      </c>
      <c r="M322" s="93">
        <f t="shared" si="56"/>
        <v>1.149</v>
      </c>
      <c r="N322" s="93">
        <f t="shared" si="57"/>
        <v>312.52800000000002</v>
      </c>
    </row>
    <row r="323" spans="1:18">
      <c r="A323" s="215">
        <v>36</v>
      </c>
      <c r="B323" s="215"/>
      <c r="C323" s="215" t="s">
        <v>789</v>
      </c>
      <c r="D323" s="216">
        <v>2</v>
      </c>
      <c r="E323" s="217"/>
      <c r="F323" s="216">
        <f t="shared" si="66"/>
        <v>2</v>
      </c>
      <c r="G323" s="218" t="s">
        <v>36</v>
      </c>
      <c r="H323" s="196">
        <f t="shared" si="54"/>
        <v>160.86000000000001</v>
      </c>
      <c r="I323" s="196">
        <f t="shared" si="55"/>
        <v>321.72000000000003</v>
      </c>
      <c r="L323" s="93">
        <v>140</v>
      </c>
      <c r="M323" s="93">
        <f t="shared" si="56"/>
        <v>1.149</v>
      </c>
      <c r="N323" s="93">
        <f t="shared" si="57"/>
        <v>160.86000000000001</v>
      </c>
    </row>
    <row r="324" spans="1:18">
      <c r="A324" s="215">
        <v>37</v>
      </c>
      <c r="B324" s="215"/>
      <c r="C324" s="215" t="s">
        <v>790</v>
      </c>
      <c r="D324" s="216">
        <v>1</v>
      </c>
      <c r="E324" s="217">
        <v>-1</v>
      </c>
      <c r="F324" s="217">
        <f t="shared" ref="F324:F325" si="67">D324+E324</f>
        <v>0</v>
      </c>
      <c r="G324" s="218" t="s">
        <v>36</v>
      </c>
      <c r="H324" s="196">
        <f t="shared" si="54"/>
        <v>517.04999999999995</v>
      </c>
      <c r="I324" s="196">
        <f t="shared" si="55"/>
        <v>0</v>
      </c>
      <c r="L324" s="93">
        <v>450</v>
      </c>
      <c r="M324" s="93">
        <f t="shared" si="56"/>
        <v>1.149</v>
      </c>
      <c r="N324" s="93">
        <f t="shared" si="57"/>
        <v>517.04999999999995</v>
      </c>
    </row>
    <row r="325" spans="1:18">
      <c r="A325" s="215">
        <v>38</v>
      </c>
      <c r="B325" s="215"/>
      <c r="C325" s="215" t="s">
        <v>791</v>
      </c>
      <c r="D325" s="216">
        <v>1</v>
      </c>
      <c r="E325" s="217">
        <v>-1</v>
      </c>
      <c r="F325" s="217">
        <f t="shared" si="67"/>
        <v>0</v>
      </c>
      <c r="G325" s="218" t="s">
        <v>36</v>
      </c>
      <c r="H325" s="196">
        <f t="shared" si="54"/>
        <v>517.04999999999995</v>
      </c>
      <c r="I325" s="196">
        <f t="shared" si="55"/>
        <v>0</v>
      </c>
      <c r="L325" s="93">
        <v>450</v>
      </c>
      <c r="M325" s="93">
        <f t="shared" si="56"/>
        <v>1.149</v>
      </c>
      <c r="N325" s="93">
        <f t="shared" si="57"/>
        <v>517.04999999999995</v>
      </c>
    </row>
    <row r="326" spans="1:18">
      <c r="A326" s="215">
        <v>39</v>
      </c>
      <c r="B326" s="216" t="s">
        <v>792</v>
      </c>
      <c r="C326" s="216" t="s">
        <v>793</v>
      </c>
      <c r="D326" s="216">
        <v>2</v>
      </c>
      <c r="E326" s="217"/>
      <c r="F326" s="216">
        <f t="shared" ref="F326:F329" si="68">D326</f>
        <v>2</v>
      </c>
      <c r="G326" s="218" t="s">
        <v>36</v>
      </c>
      <c r="H326" s="196">
        <f t="shared" si="54"/>
        <v>3251.67</v>
      </c>
      <c r="I326" s="196">
        <f t="shared" si="55"/>
        <v>6503.34</v>
      </c>
      <c r="J326" s="234" t="s">
        <v>1065</v>
      </c>
      <c r="L326" s="93">
        <v>2830</v>
      </c>
      <c r="M326" s="93">
        <f t="shared" si="56"/>
        <v>1.149</v>
      </c>
      <c r="N326" s="93">
        <f t="shared" si="57"/>
        <v>3251.67</v>
      </c>
    </row>
    <row r="327" spans="1:18">
      <c r="A327" s="215">
        <v>40</v>
      </c>
      <c r="B327" s="216" t="s">
        <v>795</v>
      </c>
      <c r="C327" s="216" t="s">
        <v>796</v>
      </c>
      <c r="D327" s="216">
        <v>2</v>
      </c>
      <c r="E327" s="217"/>
      <c r="F327" s="216">
        <f t="shared" si="68"/>
        <v>2</v>
      </c>
      <c r="G327" s="218" t="s">
        <v>36</v>
      </c>
      <c r="H327" s="196">
        <f t="shared" si="54"/>
        <v>0</v>
      </c>
      <c r="I327" s="196">
        <f t="shared" si="55"/>
        <v>0</v>
      </c>
      <c r="L327" s="93">
        <v>0</v>
      </c>
      <c r="M327" s="93">
        <f t="shared" si="56"/>
        <v>1.149</v>
      </c>
      <c r="N327" s="93">
        <f t="shared" si="57"/>
        <v>0</v>
      </c>
    </row>
    <row r="328" spans="1:18">
      <c r="A328" s="227">
        <v>41</v>
      </c>
      <c r="B328" s="229" t="s">
        <v>797</v>
      </c>
      <c r="C328" s="238" t="s">
        <v>798</v>
      </c>
      <c r="D328" s="229">
        <v>2</v>
      </c>
      <c r="E328" s="230"/>
      <c r="F328" s="229">
        <f t="shared" si="68"/>
        <v>2</v>
      </c>
      <c r="G328" s="231" t="s">
        <v>36</v>
      </c>
      <c r="H328" s="196">
        <f t="shared" si="54"/>
        <v>8819.7010200000004</v>
      </c>
      <c r="I328" s="196">
        <f t="shared" si="55"/>
        <v>17639.402040000001</v>
      </c>
      <c r="L328" s="93">
        <v>7675.98</v>
      </c>
      <c r="M328" s="93">
        <f t="shared" si="56"/>
        <v>1.149</v>
      </c>
      <c r="N328" s="93">
        <f t="shared" si="57"/>
        <v>8819.7010200000004</v>
      </c>
    </row>
    <row r="329" spans="1:18">
      <c r="A329" s="227">
        <v>42</v>
      </c>
      <c r="B329" s="229" t="s">
        <v>799</v>
      </c>
      <c r="C329" s="238" t="s">
        <v>798</v>
      </c>
      <c r="D329" s="229">
        <v>2</v>
      </c>
      <c r="E329" s="230"/>
      <c r="F329" s="229">
        <f t="shared" si="68"/>
        <v>2</v>
      </c>
      <c r="G329" s="231" t="s">
        <v>36</v>
      </c>
      <c r="H329" s="196">
        <f t="shared" si="54"/>
        <v>8819.7010200000004</v>
      </c>
      <c r="I329" s="196">
        <f t="shared" si="55"/>
        <v>17639.402040000001</v>
      </c>
      <c r="L329" s="93">
        <v>7675.98</v>
      </c>
      <c r="M329" s="93">
        <f t="shared" si="56"/>
        <v>1.149</v>
      </c>
      <c r="N329" s="93">
        <f t="shared" si="57"/>
        <v>8819.7010200000004</v>
      </c>
    </row>
    <row r="330" spans="1:18">
      <c r="A330" s="215">
        <v>43</v>
      </c>
      <c r="B330" s="216"/>
      <c r="C330" s="216" t="s">
        <v>800</v>
      </c>
      <c r="D330" s="216">
        <v>4</v>
      </c>
      <c r="E330" s="217">
        <v>-4</v>
      </c>
      <c r="F330" s="217">
        <f t="shared" ref="F330:F345" si="69">D330+E330</f>
        <v>0</v>
      </c>
      <c r="G330" s="218" t="s">
        <v>36</v>
      </c>
      <c r="H330" s="196">
        <f t="shared" si="54"/>
        <v>976.65</v>
      </c>
      <c r="I330" s="196">
        <f t="shared" si="55"/>
        <v>0</v>
      </c>
      <c r="L330" s="93">
        <v>850</v>
      </c>
      <c r="M330" s="93">
        <f t="shared" si="56"/>
        <v>1.149</v>
      </c>
      <c r="N330" s="93">
        <f t="shared" si="57"/>
        <v>976.65</v>
      </c>
    </row>
    <row r="331" spans="1:18" s="234" customFormat="1">
      <c r="A331" s="227">
        <v>44</v>
      </c>
      <c r="B331" s="260" t="s">
        <v>1066</v>
      </c>
      <c r="C331" s="260" t="s">
        <v>1067</v>
      </c>
      <c r="D331" s="229">
        <v>0</v>
      </c>
      <c r="E331" s="230">
        <v>7</v>
      </c>
      <c r="F331" s="230">
        <f t="shared" si="69"/>
        <v>7</v>
      </c>
      <c r="G331" s="231" t="s">
        <v>36</v>
      </c>
      <c r="H331" s="196">
        <f t="shared" si="54"/>
        <v>9538.9979999999996</v>
      </c>
      <c r="I331" s="237">
        <f t="shared" si="55"/>
        <v>66772.986000000004</v>
      </c>
      <c r="L331" s="93">
        <v>8302</v>
      </c>
      <c r="M331" s="93">
        <f t="shared" si="56"/>
        <v>1.149</v>
      </c>
      <c r="N331" s="93">
        <f t="shared" si="57"/>
        <v>9538.9979999999996</v>
      </c>
      <c r="P331" s="73"/>
      <c r="Q331" s="73"/>
      <c r="R331" s="73"/>
    </row>
    <row r="332" spans="1:18" s="234" customFormat="1">
      <c r="A332" s="227">
        <v>45</v>
      </c>
      <c r="B332" s="260" t="s">
        <v>1068</v>
      </c>
      <c r="C332" s="260" t="s">
        <v>1069</v>
      </c>
      <c r="D332" s="229">
        <v>0</v>
      </c>
      <c r="E332" s="230">
        <v>17</v>
      </c>
      <c r="F332" s="230">
        <f t="shared" si="69"/>
        <v>17</v>
      </c>
      <c r="G332" s="231" t="s">
        <v>36</v>
      </c>
      <c r="H332" s="196">
        <f t="shared" si="54"/>
        <v>312.52800000000002</v>
      </c>
      <c r="I332" s="237">
        <f t="shared" si="55"/>
        <v>5312.9760000000006</v>
      </c>
      <c r="L332" s="93">
        <v>272</v>
      </c>
      <c r="M332" s="93">
        <f t="shared" si="56"/>
        <v>1.149</v>
      </c>
      <c r="N332" s="93">
        <f t="shared" si="57"/>
        <v>312.52800000000002</v>
      </c>
      <c r="P332" s="73"/>
      <c r="Q332" s="73"/>
      <c r="R332" s="73"/>
    </row>
    <row r="333" spans="1:18" s="234" customFormat="1">
      <c r="A333" s="227">
        <v>46</v>
      </c>
      <c r="B333" s="260" t="s">
        <v>1070</v>
      </c>
      <c r="C333" s="260" t="s">
        <v>1071</v>
      </c>
      <c r="D333" s="229">
        <v>0</v>
      </c>
      <c r="E333" s="230">
        <v>32</v>
      </c>
      <c r="F333" s="230">
        <f t="shared" si="69"/>
        <v>32</v>
      </c>
      <c r="G333" s="231" t="s">
        <v>36</v>
      </c>
      <c r="H333" s="196">
        <f t="shared" si="54"/>
        <v>2125.65</v>
      </c>
      <c r="I333" s="237">
        <f t="shared" si="55"/>
        <v>68020.800000000003</v>
      </c>
      <c r="L333" s="93">
        <v>1850</v>
      </c>
      <c r="M333" s="93">
        <f t="shared" si="56"/>
        <v>1.149</v>
      </c>
      <c r="N333" s="93">
        <f t="shared" si="57"/>
        <v>2125.65</v>
      </c>
      <c r="P333" s="73"/>
      <c r="Q333" s="73"/>
      <c r="R333" s="73"/>
    </row>
    <row r="334" spans="1:18" s="234" customFormat="1">
      <c r="A334" s="227">
        <v>47</v>
      </c>
      <c r="B334" s="260" t="s">
        <v>1072</v>
      </c>
      <c r="C334" s="260" t="s">
        <v>760</v>
      </c>
      <c r="D334" s="229">
        <v>0</v>
      </c>
      <c r="E334" s="230">
        <v>2</v>
      </c>
      <c r="F334" s="230">
        <f t="shared" si="69"/>
        <v>2</v>
      </c>
      <c r="G334" s="231" t="s">
        <v>36</v>
      </c>
      <c r="H334" s="196">
        <f t="shared" si="54"/>
        <v>1091.55</v>
      </c>
      <c r="I334" s="237">
        <f t="shared" si="55"/>
        <v>2183.1</v>
      </c>
      <c r="L334" s="93">
        <v>950</v>
      </c>
      <c r="M334" s="93">
        <f t="shared" si="56"/>
        <v>1.149</v>
      </c>
      <c r="N334" s="93">
        <f t="shared" si="57"/>
        <v>1091.55</v>
      </c>
      <c r="P334" s="73"/>
      <c r="Q334" s="73"/>
      <c r="R334" s="73"/>
    </row>
    <row r="335" spans="1:18" s="234" customFormat="1">
      <c r="A335" s="227">
        <v>48</v>
      </c>
      <c r="B335" s="260" t="s">
        <v>1073</v>
      </c>
      <c r="C335" s="260" t="s">
        <v>1074</v>
      </c>
      <c r="D335" s="229">
        <v>0</v>
      </c>
      <c r="E335" s="230">
        <v>68</v>
      </c>
      <c r="F335" s="230">
        <f t="shared" si="69"/>
        <v>68</v>
      </c>
      <c r="G335" s="231" t="s">
        <v>36</v>
      </c>
      <c r="H335" s="196">
        <f t="shared" si="54"/>
        <v>1057.08</v>
      </c>
      <c r="I335" s="237">
        <f t="shared" si="55"/>
        <v>71881.440000000002</v>
      </c>
      <c r="L335" s="93">
        <v>920</v>
      </c>
      <c r="M335" s="93">
        <f t="shared" si="56"/>
        <v>1.149</v>
      </c>
      <c r="N335" s="93">
        <f t="shared" si="57"/>
        <v>1057.08</v>
      </c>
      <c r="P335" s="73"/>
      <c r="Q335" s="73"/>
      <c r="R335" s="73"/>
    </row>
    <row r="336" spans="1:18" s="234" customFormat="1">
      <c r="A336" s="227">
        <v>49</v>
      </c>
      <c r="B336" s="260" t="s">
        <v>1075</v>
      </c>
      <c r="C336" s="260" t="s">
        <v>1076</v>
      </c>
      <c r="D336" s="229">
        <v>0</v>
      </c>
      <c r="E336" s="230">
        <v>34</v>
      </c>
      <c r="F336" s="230">
        <f t="shared" si="69"/>
        <v>34</v>
      </c>
      <c r="G336" s="231" t="s">
        <v>36</v>
      </c>
      <c r="H336" s="196">
        <f t="shared" si="54"/>
        <v>419.38499999999999</v>
      </c>
      <c r="I336" s="237">
        <f t="shared" si="55"/>
        <v>14259.09</v>
      </c>
      <c r="L336" s="93">
        <v>365</v>
      </c>
      <c r="M336" s="93">
        <f t="shared" si="56"/>
        <v>1.149</v>
      </c>
      <c r="N336" s="93">
        <f t="shared" si="57"/>
        <v>419.38499999999999</v>
      </c>
      <c r="P336" s="73"/>
      <c r="Q336" s="73"/>
      <c r="R336" s="73"/>
    </row>
    <row r="337" spans="1:18" s="234" customFormat="1">
      <c r="A337" s="227">
        <v>50</v>
      </c>
      <c r="B337" s="260" t="s">
        <v>1077</v>
      </c>
      <c r="C337" s="260" t="s">
        <v>1078</v>
      </c>
      <c r="D337" s="229">
        <v>0</v>
      </c>
      <c r="E337" s="230">
        <v>6</v>
      </c>
      <c r="F337" s="230">
        <f t="shared" si="69"/>
        <v>6</v>
      </c>
      <c r="G337" s="231" t="s">
        <v>36</v>
      </c>
      <c r="H337" s="196">
        <f t="shared" si="54"/>
        <v>3389.55</v>
      </c>
      <c r="I337" s="237">
        <f t="shared" si="55"/>
        <v>20337.300000000003</v>
      </c>
      <c r="L337" s="93">
        <v>2950</v>
      </c>
      <c r="M337" s="93">
        <f t="shared" si="56"/>
        <v>1.149</v>
      </c>
      <c r="N337" s="93">
        <f t="shared" si="57"/>
        <v>3389.55</v>
      </c>
      <c r="P337" s="73"/>
      <c r="Q337" s="73"/>
      <c r="R337" s="73"/>
    </row>
    <row r="338" spans="1:18" s="234" customFormat="1">
      <c r="A338" s="227">
        <v>51</v>
      </c>
      <c r="B338" s="260" t="s">
        <v>1079</v>
      </c>
      <c r="C338" s="260" t="s">
        <v>1080</v>
      </c>
      <c r="D338" s="229">
        <v>0</v>
      </c>
      <c r="E338" s="230">
        <v>15</v>
      </c>
      <c r="F338" s="230">
        <f t="shared" si="69"/>
        <v>15</v>
      </c>
      <c r="G338" s="231" t="s">
        <v>36</v>
      </c>
      <c r="H338" s="196">
        <f t="shared" si="54"/>
        <v>576.798</v>
      </c>
      <c r="I338" s="237">
        <f t="shared" si="55"/>
        <v>8651.9699999999993</v>
      </c>
      <c r="L338" s="93">
        <v>502</v>
      </c>
      <c r="M338" s="93">
        <f t="shared" si="56"/>
        <v>1.149</v>
      </c>
      <c r="N338" s="93">
        <f t="shared" si="57"/>
        <v>576.798</v>
      </c>
      <c r="P338" s="73"/>
      <c r="Q338" s="73"/>
      <c r="R338" s="73"/>
    </row>
    <row r="339" spans="1:18" s="234" customFormat="1">
      <c r="A339" s="227">
        <v>52</v>
      </c>
      <c r="B339" s="260" t="s">
        <v>1081</v>
      </c>
      <c r="C339" s="260" t="s">
        <v>1082</v>
      </c>
      <c r="D339" s="229">
        <v>0</v>
      </c>
      <c r="E339" s="230">
        <v>6</v>
      </c>
      <c r="F339" s="230">
        <f t="shared" si="69"/>
        <v>6</v>
      </c>
      <c r="G339" s="231" t="s">
        <v>36</v>
      </c>
      <c r="H339" s="196">
        <f t="shared" si="54"/>
        <v>3079.32</v>
      </c>
      <c r="I339" s="237">
        <f t="shared" si="55"/>
        <v>18475.920000000002</v>
      </c>
      <c r="L339" s="93">
        <v>2680</v>
      </c>
      <c r="M339" s="93">
        <f t="shared" si="56"/>
        <v>1.149</v>
      </c>
      <c r="N339" s="93">
        <f t="shared" si="57"/>
        <v>3079.32</v>
      </c>
      <c r="P339" s="73"/>
      <c r="Q339" s="73"/>
      <c r="R339" s="73"/>
    </row>
    <row r="340" spans="1:18" s="234" customFormat="1">
      <c r="A340" s="227">
        <v>53</v>
      </c>
      <c r="B340" s="260" t="s">
        <v>1083</v>
      </c>
      <c r="C340" s="260" t="s">
        <v>1084</v>
      </c>
      <c r="D340" s="229">
        <v>0</v>
      </c>
      <c r="E340" s="230">
        <v>4</v>
      </c>
      <c r="F340" s="230">
        <f t="shared" si="69"/>
        <v>4</v>
      </c>
      <c r="G340" s="231" t="s">
        <v>36</v>
      </c>
      <c r="H340" s="196">
        <f t="shared" si="54"/>
        <v>190.73400000000001</v>
      </c>
      <c r="I340" s="237">
        <f t="shared" si="55"/>
        <v>762.93600000000004</v>
      </c>
      <c r="L340" s="93">
        <v>166</v>
      </c>
      <c r="M340" s="93">
        <f t="shared" si="56"/>
        <v>1.149</v>
      </c>
      <c r="N340" s="93">
        <f t="shared" si="57"/>
        <v>190.73400000000001</v>
      </c>
      <c r="P340" s="73"/>
      <c r="Q340" s="73"/>
      <c r="R340" s="73"/>
    </row>
    <row r="341" spans="1:18" s="234" customFormat="1">
      <c r="A341" s="227">
        <v>54</v>
      </c>
      <c r="B341" s="260" t="s">
        <v>1085</v>
      </c>
      <c r="C341" s="260" t="s">
        <v>1086</v>
      </c>
      <c r="D341" s="229">
        <v>0</v>
      </c>
      <c r="E341" s="230">
        <v>1</v>
      </c>
      <c r="F341" s="230">
        <f t="shared" si="69"/>
        <v>1</v>
      </c>
      <c r="G341" s="231" t="s">
        <v>36</v>
      </c>
      <c r="H341" s="196">
        <f t="shared" si="54"/>
        <v>8372.7630000000008</v>
      </c>
      <c r="I341" s="237">
        <f t="shared" si="55"/>
        <v>8372.7630000000008</v>
      </c>
      <c r="L341" s="93">
        <v>7287</v>
      </c>
      <c r="M341" s="93">
        <f t="shared" si="56"/>
        <v>1.149</v>
      </c>
      <c r="N341" s="93">
        <f t="shared" si="57"/>
        <v>8372.7630000000008</v>
      </c>
      <c r="P341" s="73"/>
      <c r="Q341" s="73"/>
      <c r="R341" s="73"/>
    </row>
    <row r="342" spans="1:18" s="234" customFormat="1">
      <c r="A342" s="227">
        <v>55</v>
      </c>
      <c r="B342" s="260" t="s">
        <v>1087</v>
      </c>
      <c r="C342" s="260" t="s">
        <v>1088</v>
      </c>
      <c r="D342" s="229">
        <v>0</v>
      </c>
      <c r="E342" s="230">
        <v>3</v>
      </c>
      <c r="F342" s="230">
        <f t="shared" si="69"/>
        <v>3</v>
      </c>
      <c r="G342" s="231" t="s">
        <v>36</v>
      </c>
      <c r="H342" s="196">
        <f t="shared" si="54"/>
        <v>413.64</v>
      </c>
      <c r="I342" s="237">
        <f t="shared" si="55"/>
        <v>1240.92</v>
      </c>
      <c r="L342" s="93">
        <v>360</v>
      </c>
      <c r="M342" s="93">
        <f t="shared" si="56"/>
        <v>1.149</v>
      </c>
      <c r="N342" s="93">
        <f t="shared" si="57"/>
        <v>413.64</v>
      </c>
      <c r="P342" s="73"/>
      <c r="Q342" s="73"/>
      <c r="R342" s="73"/>
    </row>
    <row r="343" spans="1:18" s="234" customFormat="1">
      <c r="A343" s="227">
        <v>56</v>
      </c>
      <c r="B343" s="260" t="s">
        <v>1089</v>
      </c>
      <c r="C343" s="260" t="s">
        <v>1090</v>
      </c>
      <c r="D343" s="229">
        <v>0</v>
      </c>
      <c r="E343" s="230">
        <v>3</v>
      </c>
      <c r="F343" s="230">
        <f t="shared" si="69"/>
        <v>3</v>
      </c>
      <c r="G343" s="231" t="s">
        <v>36</v>
      </c>
      <c r="H343" s="196">
        <f t="shared" si="54"/>
        <v>28.725000000000001</v>
      </c>
      <c r="I343" s="237">
        <f t="shared" si="55"/>
        <v>86.175000000000011</v>
      </c>
      <c r="L343" s="93">
        <v>25</v>
      </c>
      <c r="M343" s="93">
        <f t="shared" si="56"/>
        <v>1.149</v>
      </c>
      <c r="N343" s="93">
        <f t="shared" si="57"/>
        <v>28.725000000000001</v>
      </c>
      <c r="P343" s="73"/>
      <c r="Q343" s="73"/>
      <c r="R343" s="73"/>
    </row>
    <row r="344" spans="1:18" s="234" customFormat="1">
      <c r="A344" s="227">
        <v>57</v>
      </c>
      <c r="B344" s="260" t="s">
        <v>1091</v>
      </c>
      <c r="C344" s="260" t="s">
        <v>1092</v>
      </c>
      <c r="D344" s="229">
        <v>0</v>
      </c>
      <c r="E344" s="230">
        <v>1</v>
      </c>
      <c r="F344" s="230">
        <f t="shared" si="69"/>
        <v>1</v>
      </c>
      <c r="G344" s="231" t="s">
        <v>36</v>
      </c>
      <c r="H344" s="196">
        <f t="shared" si="54"/>
        <v>517.04999999999995</v>
      </c>
      <c r="I344" s="237">
        <f t="shared" si="55"/>
        <v>517.04999999999995</v>
      </c>
      <c r="L344" s="93">
        <v>450</v>
      </c>
      <c r="M344" s="93">
        <f t="shared" si="56"/>
        <v>1.149</v>
      </c>
      <c r="N344" s="93">
        <f t="shared" si="57"/>
        <v>517.04999999999995</v>
      </c>
      <c r="P344" s="73"/>
      <c r="Q344" s="73"/>
      <c r="R344" s="73"/>
    </row>
    <row r="345" spans="1:18" s="234" customFormat="1">
      <c r="A345" s="227">
        <v>58</v>
      </c>
      <c r="B345" s="260" t="s">
        <v>1093</v>
      </c>
      <c r="C345" s="260" t="s">
        <v>1094</v>
      </c>
      <c r="D345" s="229">
        <v>0</v>
      </c>
      <c r="E345" s="230">
        <v>1</v>
      </c>
      <c r="F345" s="230">
        <f t="shared" si="69"/>
        <v>1</v>
      </c>
      <c r="G345" s="231" t="s">
        <v>36</v>
      </c>
      <c r="H345" s="196">
        <f t="shared" si="54"/>
        <v>517.04999999999995</v>
      </c>
      <c r="I345" s="237">
        <f t="shared" si="55"/>
        <v>517.04999999999995</v>
      </c>
      <c r="L345" s="93">
        <v>450</v>
      </c>
      <c r="M345" s="93">
        <f t="shared" si="56"/>
        <v>1.149</v>
      </c>
      <c r="N345" s="93">
        <f t="shared" si="57"/>
        <v>517.04999999999995</v>
      </c>
      <c r="P345" s="73"/>
      <c r="Q345" s="73"/>
      <c r="R345" s="73"/>
    </row>
    <row r="346" spans="1:18" ht="15.45">
      <c r="I346" s="220">
        <f>SUM(I288:I345)</f>
        <v>709933.56482640037</v>
      </c>
      <c r="L346" s="93"/>
      <c r="M346" s="93">
        <f t="shared" si="56"/>
        <v>1.149</v>
      </c>
      <c r="N346" s="93">
        <f t="shared" si="57"/>
        <v>0</v>
      </c>
    </row>
    <row r="348" spans="1:18" ht="15.45">
      <c r="B348" s="229" t="s">
        <v>356</v>
      </c>
      <c r="I348" s="220">
        <f>I346+I285+I224+I202+I185+I118+I66+I47</f>
        <v>1990626.0849264003</v>
      </c>
    </row>
  </sheetData>
  <pageMargins left="0.38" right="0.4" top="0.984251969" bottom="0.984251969" header="0.4921259845" footer="0.4921259845"/>
  <pageSetup paperSize="9" orientation="portrait" horizontalDpi="4294967292" verticalDpi="300" r:id="rId1"/>
  <headerFooter alignWithMargins="0">
    <oddFooter>Stránka &amp;P z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73"/>
  <sheetViews>
    <sheetView zoomScaleNormal="100" workbookViewId="0">
      <pane ySplit="1" topLeftCell="A38" activePane="bottomLeft" state="frozen"/>
      <selection activeCell="B1" sqref="B1"/>
      <selection pane="bottomLeft" activeCell="M24" sqref="M24"/>
    </sheetView>
  </sheetViews>
  <sheetFormatPr defaultRowHeight="14.6"/>
  <cols>
    <col min="1" max="1" width="6.3046875" style="25" customWidth="1"/>
    <col min="2" max="2" width="37.84375" style="26" customWidth="1"/>
    <col min="3" max="3" width="4.3046875" style="25" bestFit="1" customWidth="1"/>
    <col min="4" max="4" width="5.69140625" style="27" bestFit="1" customWidth="1"/>
    <col min="5" max="5" width="7.84375" style="27" bestFit="1" customWidth="1"/>
    <col min="6" max="6" width="11.3046875" style="27" bestFit="1" customWidth="1"/>
    <col min="7" max="7" width="7.84375" style="27" bestFit="1" customWidth="1"/>
    <col min="8" max="8" width="11.3046875" style="27" bestFit="1" customWidth="1"/>
    <col min="9" max="9" width="7.84375" style="27" bestFit="1" customWidth="1"/>
    <col min="10" max="10" width="13" style="27" customWidth="1"/>
    <col min="11" max="11" width="10.3046875" bestFit="1" customWidth="1"/>
    <col min="13" max="13" width="10.3046875" bestFit="1" customWidth="1"/>
    <col min="14" max="14" width="9.07421875" customWidth="1"/>
    <col min="17" max="17" width="11" bestFit="1" customWidth="1"/>
    <col min="18" max="18" width="12.53515625" bestFit="1" customWidth="1"/>
    <col min="22" max="22" width="13.84375" bestFit="1" customWidth="1"/>
  </cols>
  <sheetData>
    <row r="1" spans="1:22">
      <c r="A1" s="1"/>
      <c r="B1" s="2" t="s">
        <v>16</v>
      </c>
      <c r="C1" s="1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N1" s="73"/>
      <c r="O1" s="74">
        <f>REK!F5</f>
        <v>1.149</v>
      </c>
      <c r="P1" s="73"/>
      <c r="Q1" s="73"/>
      <c r="R1" s="73"/>
      <c r="S1" s="73"/>
      <c r="T1" s="74">
        <f>SUM(O1)</f>
        <v>1.149</v>
      </c>
      <c r="U1" s="73"/>
    </row>
    <row r="2" spans="1:22">
      <c r="A2" s="4"/>
      <c r="B2" s="5" t="s">
        <v>26</v>
      </c>
      <c r="C2" s="4" t="s">
        <v>26</v>
      </c>
      <c r="D2" s="6"/>
      <c r="E2" s="6"/>
      <c r="F2" s="6"/>
      <c r="G2" s="6"/>
      <c r="H2" s="6"/>
      <c r="I2" s="6"/>
      <c r="J2" s="6"/>
      <c r="N2" s="73" t="s">
        <v>27</v>
      </c>
      <c r="O2" s="73" t="s">
        <v>28</v>
      </c>
      <c r="P2" s="73" t="s">
        <v>29</v>
      </c>
      <c r="Q2" s="73"/>
      <c r="R2" s="73"/>
      <c r="S2" s="73" t="s">
        <v>30</v>
      </c>
      <c r="T2" s="73" t="s">
        <v>28</v>
      </c>
      <c r="U2" s="73" t="s">
        <v>31</v>
      </c>
    </row>
    <row r="3" spans="1:22">
      <c r="A3" s="7"/>
      <c r="B3" s="8" t="s">
        <v>50</v>
      </c>
      <c r="C3" s="7" t="s">
        <v>26</v>
      </c>
      <c r="D3" s="9"/>
      <c r="E3" s="9"/>
      <c r="F3" s="9"/>
      <c r="G3" s="9"/>
      <c r="H3" s="9"/>
      <c r="I3" s="9"/>
      <c r="J3" s="9"/>
    </row>
    <row r="4" spans="1:22">
      <c r="A4" s="4"/>
      <c r="B4" s="5" t="s">
        <v>26</v>
      </c>
      <c r="C4" s="4" t="s">
        <v>26</v>
      </c>
      <c r="D4" s="6"/>
      <c r="E4" s="6"/>
      <c r="F4" s="6"/>
      <c r="G4" s="6"/>
      <c r="H4" s="6"/>
      <c r="I4" s="6"/>
      <c r="J4" s="6"/>
    </row>
    <row r="5" spans="1:22" ht="24">
      <c r="A5" s="16"/>
      <c r="B5" s="17" t="s">
        <v>803</v>
      </c>
      <c r="C5" s="16" t="s">
        <v>26</v>
      </c>
      <c r="D5" s="18"/>
      <c r="E5" s="18"/>
      <c r="F5" s="18"/>
      <c r="G5" s="18"/>
      <c r="H5" s="18"/>
      <c r="I5" s="18"/>
      <c r="J5" s="18"/>
    </row>
    <row r="6" spans="1:22">
      <c r="A6" s="4"/>
      <c r="B6" s="5" t="s">
        <v>26</v>
      </c>
      <c r="C6" s="4" t="s">
        <v>26</v>
      </c>
      <c r="D6" s="6"/>
      <c r="E6" s="6"/>
      <c r="F6" s="6"/>
      <c r="G6" s="6"/>
      <c r="H6" s="6"/>
      <c r="I6" s="6"/>
      <c r="J6" s="6"/>
    </row>
    <row r="7" spans="1:22">
      <c r="A7" s="13"/>
      <c r="B7" s="14" t="s">
        <v>804</v>
      </c>
      <c r="C7" s="13" t="s">
        <v>26</v>
      </c>
      <c r="D7" s="15"/>
      <c r="E7" s="15"/>
      <c r="F7" s="15"/>
      <c r="G7" s="15"/>
      <c r="H7" s="15"/>
      <c r="I7" s="15"/>
      <c r="J7" s="15"/>
    </row>
    <row r="8" spans="1:22">
      <c r="A8" s="4"/>
      <c r="B8" s="5" t="s">
        <v>805</v>
      </c>
      <c r="C8" s="4" t="s">
        <v>36</v>
      </c>
      <c r="D8" s="6">
        <v>1</v>
      </c>
      <c r="E8" s="6">
        <f>SUM(P8)</f>
        <v>9768.2120099999993</v>
      </c>
      <c r="F8" s="6">
        <f>D8*E8</f>
        <v>9768.2120099999993</v>
      </c>
      <c r="G8" s="6">
        <f>SUM(U8)</f>
        <v>3907.2848039999999</v>
      </c>
      <c r="H8" s="6">
        <f>D8*G8</f>
        <v>3907.2848039999999</v>
      </c>
      <c r="I8" s="6">
        <f t="shared" ref="I8:J8" si="0">E8+G8</f>
        <v>13675.496813999998</v>
      </c>
      <c r="J8" s="6">
        <f t="shared" si="0"/>
        <v>13675.496813999998</v>
      </c>
      <c r="N8" s="86">
        <v>8501.49</v>
      </c>
      <c r="O8" s="76">
        <f>$O$1</f>
        <v>1.149</v>
      </c>
      <c r="P8" s="77">
        <f>SUM(O8*N8)</f>
        <v>9768.2120099999993</v>
      </c>
      <c r="Q8" s="78">
        <f>SUM(N8*D8)</f>
        <v>8501.49</v>
      </c>
      <c r="R8" s="78"/>
      <c r="S8" s="79">
        <f>SUM(N8*0.4)</f>
        <v>3400.596</v>
      </c>
      <c r="T8" s="80">
        <f>$T$1</f>
        <v>1.149</v>
      </c>
      <c r="U8" s="79">
        <f>SUM(T8*S8)</f>
        <v>3907.2848039999999</v>
      </c>
      <c r="V8">
        <f>SUM(S8*D8)</f>
        <v>3400.596</v>
      </c>
    </row>
    <row r="9" spans="1:22">
      <c r="A9" s="4"/>
      <c r="B9" s="5" t="s">
        <v>806</v>
      </c>
      <c r="C9" s="4" t="s">
        <v>36</v>
      </c>
      <c r="D9" s="6">
        <v>2</v>
      </c>
      <c r="E9" s="6">
        <f t="shared" ref="E9:E10" si="1">SUM(P9)</f>
        <v>103.65128999999999</v>
      </c>
      <c r="F9" s="6">
        <f t="shared" ref="F9:F10" si="2">D9*E9</f>
        <v>207.30257999999998</v>
      </c>
      <c r="G9" s="6">
        <f t="shared" ref="G9:G10" si="3">SUM(U9)</f>
        <v>287.25</v>
      </c>
      <c r="H9" s="6">
        <f t="shared" ref="H9:H10" si="4">D9*G9</f>
        <v>574.5</v>
      </c>
      <c r="I9" s="6">
        <f t="shared" ref="I9:I10" si="5">E9+G9</f>
        <v>390.90129000000002</v>
      </c>
      <c r="J9" s="6">
        <f t="shared" ref="J9:J10" si="6">F9+H9</f>
        <v>781.80258000000003</v>
      </c>
      <c r="L9" s="169">
        <f>SUM(J9)</f>
        <v>781.80258000000003</v>
      </c>
      <c r="M9" s="169"/>
      <c r="N9" s="86">
        <v>90.21</v>
      </c>
      <c r="O9" s="76">
        <f t="shared" ref="O9:O10" si="7">$O$1</f>
        <v>1.149</v>
      </c>
      <c r="P9" s="77">
        <f t="shared" ref="P9:P10" si="8">SUM(O9*N9)</f>
        <v>103.65128999999999</v>
      </c>
      <c r="Q9" s="78">
        <f t="shared" ref="Q9:Q72" si="9">SUM(N9*D9)</f>
        <v>180.42</v>
      </c>
      <c r="R9" s="78"/>
      <c r="S9" s="79">
        <v>250</v>
      </c>
      <c r="T9" s="80">
        <f t="shared" ref="T9:T10" si="10">$T$1</f>
        <v>1.149</v>
      </c>
      <c r="U9" s="79">
        <f t="shared" ref="U9:U10" si="11">SUM(T9*S9)</f>
        <v>287.25</v>
      </c>
      <c r="V9">
        <f t="shared" ref="V9:V72" si="12">SUM(S9*D9)</f>
        <v>500</v>
      </c>
    </row>
    <row r="10" spans="1:22">
      <c r="A10" s="4"/>
      <c r="B10" s="5" t="s">
        <v>807</v>
      </c>
      <c r="C10" s="4" t="s">
        <v>36</v>
      </c>
      <c r="D10" s="6">
        <v>1</v>
      </c>
      <c r="E10" s="6">
        <f t="shared" si="1"/>
        <v>1003.69746</v>
      </c>
      <c r="F10" s="6">
        <f t="shared" si="2"/>
        <v>1003.69746</v>
      </c>
      <c r="G10" s="6">
        <f t="shared" si="3"/>
        <v>517.04999999999995</v>
      </c>
      <c r="H10" s="6">
        <f t="shared" si="4"/>
        <v>517.04999999999995</v>
      </c>
      <c r="I10" s="6">
        <f t="shared" si="5"/>
        <v>1520.74746</v>
      </c>
      <c r="J10" s="6">
        <f t="shared" si="6"/>
        <v>1520.74746</v>
      </c>
      <c r="N10" s="86">
        <v>873.54</v>
      </c>
      <c r="O10" s="76">
        <f t="shared" si="7"/>
        <v>1.149</v>
      </c>
      <c r="P10" s="77">
        <f t="shared" si="8"/>
        <v>1003.69746</v>
      </c>
      <c r="Q10" s="78">
        <f t="shared" si="9"/>
        <v>873.54</v>
      </c>
      <c r="R10" s="78"/>
      <c r="S10" s="79">
        <v>450</v>
      </c>
      <c r="T10" s="80">
        <f t="shared" si="10"/>
        <v>1.149</v>
      </c>
      <c r="U10" s="79">
        <f t="shared" si="11"/>
        <v>517.04999999999995</v>
      </c>
      <c r="V10">
        <f t="shared" si="12"/>
        <v>450</v>
      </c>
    </row>
    <row r="11" spans="1:22">
      <c r="A11" s="19"/>
      <c r="B11" s="20" t="s">
        <v>808</v>
      </c>
      <c r="C11" s="19" t="s">
        <v>26</v>
      </c>
      <c r="D11" s="21"/>
      <c r="E11" s="21"/>
      <c r="F11" s="21"/>
      <c r="G11" s="21"/>
      <c r="H11" s="21"/>
      <c r="I11" s="21"/>
      <c r="J11" s="21"/>
      <c r="Q11" s="78">
        <f t="shared" si="9"/>
        <v>0</v>
      </c>
      <c r="V11">
        <f t="shared" si="12"/>
        <v>0</v>
      </c>
    </row>
    <row r="12" spans="1:22">
      <c r="A12" s="4"/>
      <c r="B12" s="5" t="s">
        <v>809</v>
      </c>
      <c r="C12" s="4" t="s">
        <v>36</v>
      </c>
      <c r="D12" s="6">
        <v>5</v>
      </c>
      <c r="E12" s="6">
        <f>SUM(P12)</f>
        <v>41.529455999999996</v>
      </c>
      <c r="F12" s="6">
        <f>D12*E12</f>
        <v>207.64727999999997</v>
      </c>
      <c r="G12" s="6">
        <f>SUM(U12)</f>
        <v>22.98</v>
      </c>
      <c r="H12" s="6">
        <f>D12*G12</f>
        <v>114.9</v>
      </c>
      <c r="I12" s="6">
        <f t="shared" ref="I12" si="13">E12+G12</f>
        <v>64.509456</v>
      </c>
      <c r="J12" s="6">
        <f t="shared" ref="J12" si="14">F12+H12</f>
        <v>322.54728</v>
      </c>
      <c r="N12" s="86">
        <v>36.143999999999998</v>
      </c>
      <c r="O12" s="76">
        <f>$O$1</f>
        <v>1.149</v>
      </c>
      <c r="P12" s="77">
        <f>SUM(O12*N12)</f>
        <v>41.529455999999996</v>
      </c>
      <c r="Q12" s="78">
        <f t="shared" si="9"/>
        <v>180.72</v>
      </c>
      <c r="R12" s="78"/>
      <c r="S12" s="79">
        <v>20</v>
      </c>
      <c r="T12" s="80">
        <f>$T$1</f>
        <v>1.149</v>
      </c>
      <c r="U12" s="79">
        <f>SUM(T12*S12)</f>
        <v>22.98</v>
      </c>
      <c r="V12">
        <f t="shared" si="12"/>
        <v>100</v>
      </c>
    </row>
    <row r="13" spans="1:22">
      <c r="A13" s="13"/>
      <c r="B13" s="14" t="s">
        <v>810</v>
      </c>
      <c r="C13" s="13" t="s">
        <v>26</v>
      </c>
      <c r="D13" s="15"/>
      <c r="E13" s="15"/>
      <c r="F13" s="15">
        <f>SUM(F8:F12)</f>
        <v>11186.859329999997</v>
      </c>
      <c r="G13" s="15"/>
      <c r="H13" s="15">
        <f>SUM(H8:H12)</f>
        <v>5113.7348039999997</v>
      </c>
      <c r="I13" s="15"/>
      <c r="J13" s="15">
        <f>SUM(J8:J12)</f>
        <v>16300.594133999999</v>
      </c>
      <c r="Q13" s="78">
        <f t="shared" si="9"/>
        <v>0</v>
      </c>
      <c r="V13">
        <f t="shared" si="12"/>
        <v>0</v>
      </c>
    </row>
    <row r="14" spans="1:22">
      <c r="A14" s="4"/>
      <c r="B14" s="5" t="s">
        <v>26</v>
      </c>
      <c r="C14" s="4" t="s">
        <v>26</v>
      </c>
      <c r="D14" s="23"/>
      <c r="E14" s="23"/>
      <c r="F14" s="23"/>
      <c r="G14" s="23"/>
      <c r="H14" s="23"/>
      <c r="I14" s="23"/>
      <c r="J14" s="23"/>
      <c r="Q14" s="78">
        <f t="shared" si="9"/>
        <v>0</v>
      </c>
      <c r="V14">
        <f t="shared" si="12"/>
        <v>0</v>
      </c>
    </row>
    <row r="15" spans="1:22">
      <c r="A15" s="13"/>
      <c r="B15" s="14" t="s">
        <v>33</v>
      </c>
      <c r="C15" s="13" t="s">
        <v>26</v>
      </c>
      <c r="D15" s="15"/>
      <c r="E15" s="15"/>
      <c r="F15" s="15"/>
      <c r="G15" s="15"/>
      <c r="H15" s="15"/>
      <c r="I15" s="15"/>
      <c r="J15" s="15"/>
      <c r="Q15" s="78">
        <f t="shared" si="9"/>
        <v>0</v>
      </c>
      <c r="V15">
        <f t="shared" si="12"/>
        <v>0</v>
      </c>
    </row>
    <row r="16" spans="1:22" ht="32.15">
      <c r="A16" s="4"/>
      <c r="B16" s="5" t="s">
        <v>811</v>
      </c>
      <c r="C16" s="4" t="s">
        <v>36</v>
      </c>
      <c r="D16" s="6">
        <v>5</v>
      </c>
      <c r="E16" s="6">
        <f t="shared" ref="E16:E18" si="15">SUM(P16)</f>
        <v>0</v>
      </c>
      <c r="F16" s="6">
        <f t="shared" ref="F16:F18" si="16">D16*E16</f>
        <v>0</v>
      </c>
      <c r="G16" s="6">
        <f t="shared" ref="G16:G18" si="17">SUM(U16)</f>
        <v>402.15000000000003</v>
      </c>
      <c r="H16" s="6">
        <f t="shared" ref="H16:H18" si="18">D16*G16</f>
        <v>2010.7500000000002</v>
      </c>
      <c r="I16" s="6">
        <f t="shared" ref="I16:I18" si="19">E16+G16</f>
        <v>402.15000000000003</v>
      </c>
      <c r="J16" s="6">
        <f t="shared" ref="J16:J18" si="20">F16+H16</f>
        <v>2010.7500000000002</v>
      </c>
      <c r="N16" s="75"/>
      <c r="O16" s="76">
        <f t="shared" ref="O16:O18" si="21">$O$1</f>
        <v>1.149</v>
      </c>
      <c r="P16" s="77">
        <f t="shared" ref="P16:P18" si="22">SUM(O16*N16)</f>
        <v>0</v>
      </c>
      <c r="Q16" s="78">
        <f t="shared" si="9"/>
        <v>0</v>
      </c>
      <c r="R16" s="78"/>
      <c r="S16" s="79">
        <v>350</v>
      </c>
      <c r="T16" s="80">
        <f t="shared" ref="T16:T18" si="23">$T$1</f>
        <v>1.149</v>
      </c>
      <c r="U16" s="79">
        <f t="shared" ref="U16:U18" si="24">SUM(T16*S16)</f>
        <v>402.15000000000003</v>
      </c>
      <c r="V16">
        <f t="shared" si="12"/>
        <v>1750</v>
      </c>
    </row>
    <row r="17" spans="1:22" ht="21.9">
      <c r="A17" s="4"/>
      <c r="B17" s="5" t="s">
        <v>812</v>
      </c>
      <c r="C17" s="4" t="s">
        <v>36</v>
      </c>
      <c r="D17" s="6">
        <v>1</v>
      </c>
      <c r="E17" s="6">
        <f t="shared" si="15"/>
        <v>0</v>
      </c>
      <c r="F17" s="6">
        <f t="shared" si="16"/>
        <v>0</v>
      </c>
      <c r="G17" s="6">
        <f t="shared" si="17"/>
        <v>402.15000000000003</v>
      </c>
      <c r="H17" s="6">
        <f t="shared" si="18"/>
        <v>402.15000000000003</v>
      </c>
      <c r="I17" s="6">
        <f t="shared" si="19"/>
        <v>402.15000000000003</v>
      </c>
      <c r="J17" s="6">
        <f t="shared" si="20"/>
        <v>402.15000000000003</v>
      </c>
      <c r="N17" s="75"/>
      <c r="O17" s="76">
        <f t="shared" si="21"/>
        <v>1.149</v>
      </c>
      <c r="P17" s="77">
        <f t="shared" si="22"/>
        <v>0</v>
      </c>
      <c r="Q17" s="78">
        <f t="shared" si="9"/>
        <v>0</v>
      </c>
      <c r="R17" s="78"/>
      <c r="S17" s="79">
        <v>350</v>
      </c>
      <c r="T17" s="80">
        <f t="shared" si="23"/>
        <v>1.149</v>
      </c>
      <c r="U17" s="79">
        <f t="shared" si="24"/>
        <v>402.15000000000003</v>
      </c>
      <c r="V17">
        <f t="shared" si="12"/>
        <v>350</v>
      </c>
    </row>
    <row r="18" spans="1:22">
      <c r="A18" s="4"/>
      <c r="B18" s="5" t="s">
        <v>42</v>
      </c>
      <c r="C18" s="4" t="s">
        <v>36</v>
      </c>
      <c r="D18" s="6">
        <v>6</v>
      </c>
      <c r="E18" s="6">
        <f t="shared" si="15"/>
        <v>0</v>
      </c>
      <c r="F18" s="6">
        <f t="shared" si="16"/>
        <v>0</v>
      </c>
      <c r="G18" s="6">
        <f t="shared" si="17"/>
        <v>0</v>
      </c>
      <c r="H18" s="6">
        <f t="shared" si="18"/>
        <v>0</v>
      </c>
      <c r="I18" s="6">
        <f t="shared" si="19"/>
        <v>0</v>
      </c>
      <c r="J18" s="6">
        <f t="shared" si="20"/>
        <v>0</v>
      </c>
      <c r="N18" s="75"/>
      <c r="O18" s="76">
        <f t="shared" si="21"/>
        <v>1.149</v>
      </c>
      <c r="P18" s="77">
        <f t="shared" si="22"/>
        <v>0</v>
      </c>
      <c r="Q18" s="78">
        <f t="shared" si="9"/>
        <v>0</v>
      </c>
      <c r="R18" s="78"/>
      <c r="S18" s="79"/>
      <c r="T18" s="80">
        <f t="shared" si="23"/>
        <v>1.149</v>
      </c>
      <c r="U18" s="79">
        <f t="shared" si="24"/>
        <v>0</v>
      </c>
      <c r="V18">
        <f t="shared" si="12"/>
        <v>0</v>
      </c>
    </row>
    <row r="19" spans="1:22">
      <c r="A19" s="13"/>
      <c r="B19" s="14" t="s">
        <v>43</v>
      </c>
      <c r="C19" s="13" t="s">
        <v>26</v>
      </c>
      <c r="D19" s="15"/>
      <c r="E19" s="15"/>
      <c r="F19" s="15">
        <f>SUM(F16:F18)</f>
        <v>0</v>
      </c>
      <c r="G19" s="15"/>
      <c r="H19" s="15">
        <f>SUM(H16:H18)</f>
        <v>2412.9</v>
      </c>
      <c r="I19" s="15"/>
      <c r="J19" s="15">
        <f>SUM(J16:J18)</f>
        <v>2412.9</v>
      </c>
      <c r="Q19" s="78">
        <f t="shared" si="9"/>
        <v>0</v>
      </c>
      <c r="V19">
        <f t="shared" si="12"/>
        <v>0</v>
      </c>
    </row>
    <row r="20" spans="1:22">
      <c r="A20" s="4"/>
      <c r="B20" s="5" t="s">
        <v>26</v>
      </c>
      <c r="C20" s="4" t="s">
        <v>26</v>
      </c>
      <c r="D20" s="6"/>
      <c r="E20" s="6"/>
      <c r="F20" s="6"/>
      <c r="G20" s="6"/>
      <c r="H20" s="6"/>
      <c r="I20" s="6"/>
      <c r="J20" s="6"/>
      <c r="Q20" s="78">
        <f t="shared" si="9"/>
        <v>0</v>
      </c>
      <c r="V20">
        <f t="shared" si="12"/>
        <v>0</v>
      </c>
    </row>
    <row r="21" spans="1:22">
      <c r="A21" s="13"/>
      <c r="B21" s="14" t="s">
        <v>813</v>
      </c>
      <c r="C21" s="13" t="s">
        <v>26</v>
      </c>
      <c r="D21" s="15"/>
      <c r="E21" s="15"/>
      <c r="F21" s="15"/>
      <c r="G21" s="15"/>
      <c r="H21" s="15"/>
      <c r="I21" s="15"/>
      <c r="J21" s="15"/>
      <c r="Q21" s="78">
        <f t="shared" si="9"/>
        <v>0</v>
      </c>
      <c r="V21">
        <f t="shared" si="12"/>
        <v>0</v>
      </c>
    </row>
    <row r="22" spans="1:22">
      <c r="A22" s="19"/>
      <c r="B22" s="20" t="s">
        <v>814</v>
      </c>
      <c r="C22" s="19" t="s">
        <v>26</v>
      </c>
      <c r="D22" s="21"/>
      <c r="E22" s="21"/>
      <c r="F22" s="21"/>
      <c r="G22" s="21"/>
      <c r="H22" s="21"/>
      <c r="I22" s="21"/>
      <c r="J22" s="21"/>
      <c r="Q22" s="78">
        <f t="shared" si="9"/>
        <v>0</v>
      </c>
      <c r="V22">
        <f t="shared" si="12"/>
        <v>0</v>
      </c>
    </row>
    <row r="23" spans="1:22">
      <c r="A23" s="19"/>
      <c r="B23" s="20" t="s">
        <v>815</v>
      </c>
      <c r="C23" s="19" t="s">
        <v>26</v>
      </c>
      <c r="D23" s="21"/>
      <c r="E23" s="21"/>
      <c r="F23" s="21"/>
      <c r="G23" s="21"/>
      <c r="H23" s="21"/>
      <c r="I23" s="21"/>
      <c r="J23" s="21"/>
      <c r="K23" t="s">
        <v>1103</v>
      </c>
      <c r="M23" t="s">
        <v>1102</v>
      </c>
      <c r="Q23" s="78">
        <f t="shared" si="9"/>
        <v>0</v>
      </c>
      <c r="V23">
        <f t="shared" si="12"/>
        <v>0</v>
      </c>
    </row>
    <row r="24" spans="1:22" ht="21.9">
      <c r="A24" s="4"/>
      <c r="B24" s="5" t="s">
        <v>816</v>
      </c>
      <c r="C24" s="4" t="s">
        <v>36</v>
      </c>
      <c r="D24" s="6">
        <v>2</v>
      </c>
      <c r="E24" s="6">
        <f t="shared" ref="E24:E25" si="25">SUM(P24)</f>
        <v>18457.777894736842</v>
      </c>
      <c r="F24" s="6">
        <f t="shared" ref="F24:F25" si="26">D24*E24</f>
        <v>36915.555789473685</v>
      </c>
      <c r="G24" s="6">
        <f t="shared" ref="G24:G25" si="27">SUM(U24)</f>
        <v>3964.05</v>
      </c>
      <c r="H24" s="6">
        <f t="shared" ref="H24:H25" si="28">D24*G24</f>
        <v>7928.1</v>
      </c>
      <c r="I24" s="6">
        <f t="shared" ref="I24:I25" si="29">E24+G24</f>
        <v>22421.827894736842</v>
      </c>
      <c r="J24" s="6">
        <f t="shared" ref="J24:J25" si="30">F24+H24</f>
        <v>44843.655789473683</v>
      </c>
      <c r="K24" s="275">
        <f>SUM(L24)*D24</f>
        <v>28826</v>
      </c>
      <c r="L24" s="276">
        <v>14413</v>
      </c>
      <c r="M24" s="277">
        <f>SUM(N24*D24)</f>
        <v>32128.42105263158</v>
      </c>
      <c r="N24" s="75">
        <v>16064.21052631579</v>
      </c>
      <c r="O24" s="76">
        <f t="shared" ref="O24:O25" si="31">$O$1</f>
        <v>1.149</v>
      </c>
      <c r="P24" s="77">
        <f t="shared" ref="P24:P25" si="32">SUM(O24*N24)</f>
        <v>18457.777894736842</v>
      </c>
      <c r="Q24" s="78">
        <f t="shared" si="9"/>
        <v>32128.42105263158</v>
      </c>
      <c r="R24" s="78"/>
      <c r="S24" s="79">
        <v>3450</v>
      </c>
      <c r="T24" s="80">
        <f t="shared" ref="T24:T25" si="33">$T$1</f>
        <v>1.149</v>
      </c>
      <c r="U24" s="79">
        <f t="shared" ref="U24:U25" si="34">SUM(T24*S24)</f>
        <v>3964.05</v>
      </c>
      <c r="V24">
        <f t="shared" si="12"/>
        <v>6900</v>
      </c>
    </row>
    <row r="25" spans="1:22" ht="21.9">
      <c r="A25" s="4"/>
      <c r="B25" s="5" t="s">
        <v>817</v>
      </c>
      <c r="C25" s="4" t="s">
        <v>36</v>
      </c>
      <c r="D25" s="6">
        <v>1</v>
      </c>
      <c r="E25" s="6">
        <f t="shared" si="25"/>
        <v>9853.58210526316</v>
      </c>
      <c r="F25" s="6">
        <f t="shared" si="26"/>
        <v>9853.58210526316</v>
      </c>
      <c r="G25" s="6">
        <f t="shared" si="27"/>
        <v>3332.1</v>
      </c>
      <c r="H25" s="6">
        <f t="shared" si="28"/>
        <v>3332.1</v>
      </c>
      <c r="I25" s="6">
        <f t="shared" si="29"/>
        <v>13185.68210526316</v>
      </c>
      <c r="J25" s="6">
        <f t="shared" si="30"/>
        <v>13185.68210526316</v>
      </c>
      <c r="K25" s="275">
        <f t="shared" ref="K25:K32" si="35">SUM(L25)*D25</f>
        <v>7263</v>
      </c>
      <c r="L25" s="276">
        <v>7263</v>
      </c>
      <c r="M25" s="277">
        <f t="shared" ref="M25:M32" si="36">SUM(N25*D25)</f>
        <v>8575.7894736842118</v>
      </c>
      <c r="N25" s="75">
        <v>8575.7894736842118</v>
      </c>
      <c r="O25" s="76">
        <f t="shared" si="31"/>
        <v>1.149</v>
      </c>
      <c r="P25" s="77">
        <f t="shared" si="32"/>
        <v>9853.58210526316</v>
      </c>
      <c r="Q25" s="78">
        <f t="shared" si="9"/>
        <v>8575.7894736842118</v>
      </c>
      <c r="R25" s="78"/>
      <c r="S25" s="79">
        <v>2900</v>
      </c>
      <c r="T25" s="80">
        <f t="shared" si="33"/>
        <v>1.149</v>
      </c>
      <c r="U25" s="79">
        <f t="shared" si="34"/>
        <v>3332.1</v>
      </c>
      <c r="V25">
        <f t="shared" si="12"/>
        <v>2900</v>
      </c>
    </row>
    <row r="26" spans="1:22">
      <c r="A26" s="19"/>
      <c r="B26" s="20" t="s">
        <v>818</v>
      </c>
      <c r="C26" s="19" t="s">
        <v>26</v>
      </c>
      <c r="D26" s="21"/>
      <c r="E26" s="21"/>
      <c r="F26" s="21"/>
      <c r="G26" s="21"/>
      <c r="H26" s="21"/>
      <c r="I26" s="21"/>
      <c r="J26" s="21"/>
      <c r="K26" s="275">
        <f t="shared" si="35"/>
        <v>0</v>
      </c>
      <c r="L26" s="276"/>
      <c r="M26" s="277">
        <f t="shared" si="36"/>
        <v>0</v>
      </c>
      <c r="Q26" s="78">
        <f t="shared" si="9"/>
        <v>0</v>
      </c>
      <c r="V26">
        <f t="shared" si="12"/>
        <v>0</v>
      </c>
    </row>
    <row r="27" spans="1:22" ht="21.9">
      <c r="A27" s="4"/>
      <c r="B27" s="5" t="s">
        <v>819</v>
      </c>
      <c r="C27" s="4" t="s">
        <v>36</v>
      </c>
      <c r="D27" s="6">
        <v>1</v>
      </c>
      <c r="E27" s="6">
        <f t="shared" ref="E27:E29" si="37">SUM(P27)</f>
        <v>3909.0189473684213</v>
      </c>
      <c r="F27" s="6">
        <f t="shared" ref="F27:F29" si="38">D27*E27</f>
        <v>3909.0189473684213</v>
      </c>
      <c r="G27" s="6">
        <f t="shared" ref="G27:G29" si="39">SUM(U27)</f>
        <v>689.4</v>
      </c>
      <c r="H27" s="6">
        <f t="shared" ref="H27:H29" si="40">D27*G27</f>
        <v>689.4</v>
      </c>
      <c r="I27" s="6">
        <f t="shared" ref="I27:I29" si="41">E27+G27</f>
        <v>4598.418947368421</v>
      </c>
      <c r="J27" s="6">
        <f t="shared" ref="J27:J29" si="42">F27+H27</f>
        <v>4598.418947368421</v>
      </c>
      <c r="K27" s="275">
        <f t="shared" si="35"/>
        <v>2741</v>
      </c>
      <c r="L27" s="276">
        <v>2741</v>
      </c>
      <c r="M27" s="277">
        <f t="shared" si="36"/>
        <v>3402.105263157895</v>
      </c>
      <c r="N27" s="75">
        <v>3402.105263157895</v>
      </c>
      <c r="O27" s="76">
        <f t="shared" ref="O27:O29" si="43">$O$1</f>
        <v>1.149</v>
      </c>
      <c r="P27" s="77">
        <f t="shared" ref="P27:P29" si="44">SUM(O27*N27)</f>
        <v>3909.0189473684213</v>
      </c>
      <c r="Q27" s="78">
        <f t="shared" si="9"/>
        <v>3402.105263157895</v>
      </c>
      <c r="R27" s="78"/>
      <c r="S27" s="79">
        <v>600</v>
      </c>
      <c r="T27" s="80">
        <f t="shared" ref="T27:T29" si="45">$T$1</f>
        <v>1.149</v>
      </c>
      <c r="U27" s="79">
        <f t="shared" ref="U27:U29" si="46">SUM(T27*S27)</f>
        <v>689.4</v>
      </c>
      <c r="V27">
        <f t="shared" si="12"/>
        <v>600</v>
      </c>
    </row>
    <row r="28" spans="1:22" ht="21.9">
      <c r="A28" s="4"/>
      <c r="B28" s="272" t="s">
        <v>820</v>
      </c>
      <c r="C28" s="4" t="s">
        <v>36</v>
      </c>
      <c r="D28" s="6">
        <v>1</v>
      </c>
      <c r="E28" s="273">
        <f t="shared" si="37"/>
        <v>0</v>
      </c>
      <c r="F28" s="6">
        <f t="shared" si="38"/>
        <v>0</v>
      </c>
      <c r="G28" s="6">
        <f t="shared" si="39"/>
        <v>689.4</v>
      </c>
      <c r="H28" s="6">
        <f t="shared" si="40"/>
        <v>689.4</v>
      </c>
      <c r="I28" s="6">
        <f t="shared" si="41"/>
        <v>689.4</v>
      </c>
      <c r="J28" s="6">
        <f t="shared" si="42"/>
        <v>689.4</v>
      </c>
      <c r="K28" s="275">
        <f t="shared" si="35"/>
        <v>3995</v>
      </c>
      <c r="L28" s="276">
        <v>3995</v>
      </c>
      <c r="M28" s="278">
        <f t="shared" si="36"/>
        <v>0</v>
      </c>
      <c r="N28" s="75"/>
      <c r="O28" s="76">
        <f t="shared" si="43"/>
        <v>1.149</v>
      </c>
      <c r="P28" s="77">
        <f t="shared" si="44"/>
        <v>0</v>
      </c>
      <c r="Q28" s="78">
        <f t="shared" si="9"/>
        <v>0</v>
      </c>
      <c r="R28" s="78"/>
      <c r="S28" s="79">
        <v>600</v>
      </c>
      <c r="T28" s="80">
        <f t="shared" si="45"/>
        <v>1.149</v>
      </c>
      <c r="U28" s="79">
        <f t="shared" si="46"/>
        <v>689.4</v>
      </c>
      <c r="V28">
        <f t="shared" si="12"/>
        <v>600</v>
      </c>
    </row>
    <row r="29" spans="1:22" ht="21.9">
      <c r="A29" s="4"/>
      <c r="B29" s="5" t="s">
        <v>821</v>
      </c>
      <c r="C29" s="4" t="s">
        <v>36</v>
      </c>
      <c r="D29" s="6">
        <v>1</v>
      </c>
      <c r="E29" s="6">
        <f t="shared" si="37"/>
        <v>1196.1694736842107</v>
      </c>
      <c r="F29" s="6">
        <f t="shared" si="38"/>
        <v>1196.1694736842107</v>
      </c>
      <c r="G29" s="6">
        <f t="shared" si="39"/>
        <v>689.4</v>
      </c>
      <c r="H29" s="6">
        <f t="shared" si="40"/>
        <v>689.4</v>
      </c>
      <c r="I29" s="6">
        <f t="shared" si="41"/>
        <v>1885.5694736842106</v>
      </c>
      <c r="J29" s="6">
        <f t="shared" si="42"/>
        <v>1885.5694736842106</v>
      </c>
      <c r="K29" s="275">
        <f t="shared" si="35"/>
        <v>934</v>
      </c>
      <c r="L29" s="276">
        <v>934</v>
      </c>
      <c r="M29" s="277">
        <f t="shared" si="36"/>
        <v>1041.0526315789475</v>
      </c>
      <c r="N29" s="75">
        <v>1041.0526315789475</v>
      </c>
      <c r="O29" s="76">
        <f t="shared" si="43"/>
        <v>1.149</v>
      </c>
      <c r="P29" s="77">
        <f t="shared" si="44"/>
        <v>1196.1694736842107</v>
      </c>
      <c r="Q29" s="78">
        <f t="shared" si="9"/>
        <v>1041.0526315789475</v>
      </c>
      <c r="R29" s="78"/>
      <c r="S29" s="79">
        <v>600</v>
      </c>
      <c r="T29" s="80">
        <f t="shared" si="45"/>
        <v>1.149</v>
      </c>
      <c r="U29" s="79">
        <f t="shared" si="46"/>
        <v>689.4</v>
      </c>
      <c r="V29">
        <f t="shared" si="12"/>
        <v>600</v>
      </c>
    </row>
    <row r="30" spans="1:22">
      <c r="A30" s="19"/>
      <c r="B30" s="20" t="s">
        <v>822</v>
      </c>
      <c r="C30" s="19" t="s">
        <v>26</v>
      </c>
      <c r="D30" s="21"/>
      <c r="E30" s="21"/>
      <c r="F30" s="21"/>
      <c r="G30" s="21"/>
      <c r="H30" s="21"/>
      <c r="I30" s="21"/>
      <c r="J30" s="21"/>
      <c r="K30" s="275">
        <f t="shared" si="35"/>
        <v>0</v>
      </c>
      <c r="L30" s="276"/>
      <c r="M30" s="277">
        <f t="shared" si="36"/>
        <v>0</v>
      </c>
      <c r="Q30" s="78">
        <f t="shared" si="9"/>
        <v>0</v>
      </c>
      <c r="V30">
        <f t="shared" si="12"/>
        <v>0</v>
      </c>
    </row>
    <row r="31" spans="1:22">
      <c r="A31" s="4"/>
      <c r="B31" s="5" t="s">
        <v>823</v>
      </c>
      <c r="C31" s="4" t="s">
        <v>36</v>
      </c>
      <c r="D31" s="6">
        <v>1</v>
      </c>
      <c r="E31" s="6">
        <f t="shared" ref="E31:E33" si="47">SUM(P31)</f>
        <v>404.87131578947373</v>
      </c>
      <c r="F31" s="6">
        <f t="shared" ref="F31:F33" si="48">D31*E31</f>
        <v>404.87131578947373</v>
      </c>
      <c r="G31" s="6">
        <f t="shared" ref="G31:G33" si="49">SUM(U31)</f>
        <v>631.95000000000005</v>
      </c>
      <c r="H31" s="6">
        <f t="shared" ref="H31:H33" si="50">D31*G31</f>
        <v>631.95000000000005</v>
      </c>
      <c r="I31" s="6">
        <f t="shared" ref="I31:I33" si="51">E31+G31</f>
        <v>1036.8213157894738</v>
      </c>
      <c r="J31" s="6">
        <f t="shared" ref="J31:J33" si="52">F31+H31</f>
        <v>1036.8213157894738</v>
      </c>
      <c r="K31" s="275">
        <f t="shared" si="35"/>
        <v>352</v>
      </c>
      <c r="L31" s="276">
        <v>352</v>
      </c>
      <c r="M31" s="277">
        <f t="shared" si="36"/>
        <v>352.36842105263162</v>
      </c>
      <c r="N31" s="75">
        <v>352.36842105263162</v>
      </c>
      <c r="O31" s="76">
        <f t="shared" ref="O31:O33" si="53">$O$1</f>
        <v>1.149</v>
      </c>
      <c r="P31" s="77">
        <f t="shared" ref="P31:P33" si="54">SUM(O31*N31)</f>
        <v>404.87131578947373</v>
      </c>
      <c r="Q31" s="78">
        <f t="shared" si="9"/>
        <v>352.36842105263162</v>
      </c>
      <c r="R31" s="78"/>
      <c r="S31" s="79">
        <v>550</v>
      </c>
      <c r="T31" s="80">
        <f t="shared" ref="T31:T33" si="55">$T$1</f>
        <v>1.149</v>
      </c>
      <c r="U31" s="79">
        <f t="shared" ref="U31:U33" si="56">SUM(T31*S31)</f>
        <v>631.95000000000005</v>
      </c>
      <c r="V31">
        <f t="shared" si="12"/>
        <v>550</v>
      </c>
    </row>
    <row r="32" spans="1:22">
      <c r="A32" s="4"/>
      <c r="B32" s="5" t="s">
        <v>824</v>
      </c>
      <c r="C32" s="4" t="s">
        <v>36</v>
      </c>
      <c r="D32" s="6">
        <v>1</v>
      </c>
      <c r="E32" s="6">
        <f t="shared" si="47"/>
        <v>444.92908421052636</v>
      </c>
      <c r="F32" s="6">
        <f t="shared" si="48"/>
        <v>444.92908421052636</v>
      </c>
      <c r="G32" s="6">
        <f t="shared" si="49"/>
        <v>631.95000000000005</v>
      </c>
      <c r="H32" s="6">
        <f t="shared" si="50"/>
        <v>631.95000000000005</v>
      </c>
      <c r="I32" s="6">
        <f t="shared" si="51"/>
        <v>1076.8790842105263</v>
      </c>
      <c r="J32" s="6">
        <f t="shared" si="52"/>
        <v>1076.8790842105263</v>
      </c>
      <c r="K32" s="275">
        <f t="shared" si="35"/>
        <v>384</v>
      </c>
      <c r="L32" s="276">
        <v>384</v>
      </c>
      <c r="M32" s="277">
        <f t="shared" si="36"/>
        <v>387.23157894736846</v>
      </c>
      <c r="N32" s="75">
        <v>387.23157894736846</v>
      </c>
      <c r="O32" s="76">
        <f t="shared" si="53"/>
        <v>1.149</v>
      </c>
      <c r="P32" s="77">
        <f t="shared" si="54"/>
        <v>444.92908421052636</v>
      </c>
      <c r="Q32" s="78">
        <f t="shared" si="9"/>
        <v>387.23157894736846</v>
      </c>
      <c r="R32" s="78"/>
      <c r="S32" s="79">
        <v>550</v>
      </c>
      <c r="T32" s="80">
        <f t="shared" si="55"/>
        <v>1.149</v>
      </c>
      <c r="U32" s="79">
        <f t="shared" si="56"/>
        <v>631.95000000000005</v>
      </c>
      <c r="V32">
        <f t="shared" si="12"/>
        <v>550</v>
      </c>
    </row>
    <row r="33" spans="1:22">
      <c r="A33" s="4"/>
      <c r="B33" s="5" t="s">
        <v>825</v>
      </c>
      <c r="C33" s="4" t="s">
        <v>36</v>
      </c>
      <c r="D33" s="6">
        <v>1</v>
      </c>
      <c r="E33" s="6">
        <f t="shared" si="47"/>
        <v>459.6</v>
      </c>
      <c r="F33" s="6">
        <f t="shared" si="48"/>
        <v>459.6</v>
      </c>
      <c r="G33" s="6">
        <f t="shared" si="49"/>
        <v>746.85</v>
      </c>
      <c r="H33" s="6">
        <f t="shared" si="50"/>
        <v>746.85</v>
      </c>
      <c r="I33" s="6">
        <f t="shared" si="51"/>
        <v>1206.45</v>
      </c>
      <c r="J33" s="6">
        <f t="shared" si="52"/>
        <v>1206.45</v>
      </c>
      <c r="N33" s="75">
        <v>400</v>
      </c>
      <c r="O33" s="76">
        <f t="shared" si="53"/>
        <v>1.149</v>
      </c>
      <c r="P33" s="77">
        <f t="shared" si="54"/>
        <v>459.6</v>
      </c>
      <c r="Q33" s="78">
        <f t="shared" si="9"/>
        <v>400</v>
      </c>
      <c r="R33" s="78"/>
      <c r="S33" s="79">
        <v>650</v>
      </c>
      <c r="T33" s="80">
        <f t="shared" si="55"/>
        <v>1.149</v>
      </c>
      <c r="U33" s="79">
        <f t="shared" si="56"/>
        <v>746.85</v>
      </c>
      <c r="V33">
        <f t="shared" si="12"/>
        <v>650</v>
      </c>
    </row>
    <row r="34" spans="1:22">
      <c r="A34" s="13"/>
      <c r="B34" s="14" t="s">
        <v>826</v>
      </c>
      <c r="C34" s="13" t="s">
        <v>26</v>
      </c>
      <c r="D34" s="15"/>
      <c r="E34" s="15"/>
      <c r="F34" s="15">
        <f>SUM(F22:F33)</f>
        <v>53183.726715789475</v>
      </c>
      <c r="G34" s="15"/>
      <c r="H34" s="15">
        <f>SUM(H22:H33)</f>
        <v>15339.150000000001</v>
      </c>
      <c r="I34" s="15"/>
      <c r="J34" s="15">
        <f>SUM(J22:J33)</f>
        <v>68522.876715789476</v>
      </c>
      <c r="K34" s="274">
        <f>SUM(K24:K33)</f>
        <v>44495</v>
      </c>
      <c r="M34" s="274">
        <f>SUM(M24:M33)</f>
        <v>45886.968421052632</v>
      </c>
      <c r="Q34" s="78">
        <f t="shared" si="9"/>
        <v>0</v>
      </c>
      <c r="V34">
        <f t="shared" si="12"/>
        <v>0</v>
      </c>
    </row>
    <row r="35" spans="1:22">
      <c r="A35" s="4"/>
      <c r="B35" s="5" t="s">
        <v>26</v>
      </c>
      <c r="C35" s="4" t="s">
        <v>26</v>
      </c>
      <c r="D35" s="6"/>
      <c r="E35" s="6"/>
      <c r="F35" s="6"/>
      <c r="G35" s="6"/>
      <c r="H35" s="6"/>
      <c r="I35" s="6"/>
      <c r="J35" s="6"/>
      <c r="Q35" s="78">
        <f t="shared" si="9"/>
        <v>0</v>
      </c>
      <c r="V35">
        <f t="shared" si="12"/>
        <v>0</v>
      </c>
    </row>
    <row r="36" spans="1:22">
      <c r="A36" s="13"/>
      <c r="B36" s="14" t="s">
        <v>185</v>
      </c>
      <c r="C36" s="13" t="s">
        <v>26</v>
      </c>
      <c r="D36" s="15"/>
      <c r="E36" s="15"/>
      <c r="F36" s="15"/>
      <c r="G36" s="15"/>
      <c r="H36" s="15"/>
      <c r="I36" s="15"/>
      <c r="J36" s="15"/>
      <c r="Q36" s="78">
        <f t="shared" si="9"/>
        <v>0</v>
      </c>
      <c r="V36">
        <f t="shared" si="12"/>
        <v>0</v>
      </c>
    </row>
    <row r="37" spans="1:22">
      <c r="A37" s="19"/>
      <c r="B37" s="20" t="s">
        <v>827</v>
      </c>
      <c r="C37" s="19" t="s">
        <v>26</v>
      </c>
      <c r="D37" s="21"/>
      <c r="E37" s="21"/>
      <c r="F37" s="21"/>
      <c r="G37" s="21"/>
      <c r="H37" s="21"/>
      <c r="I37" s="21"/>
      <c r="J37" s="21"/>
      <c r="Q37" s="78">
        <f t="shared" si="9"/>
        <v>0</v>
      </c>
      <c r="V37">
        <f t="shared" si="12"/>
        <v>0</v>
      </c>
    </row>
    <row r="38" spans="1:22">
      <c r="A38" s="4"/>
      <c r="B38" s="5" t="s">
        <v>828</v>
      </c>
      <c r="C38" s="4" t="s">
        <v>188</v>
      </c>
      <c r="D38" s="6">
        <v>350</v>
      </c>
      <c r="E38" s="6">
        <f>SUM(P38)</f>
        <v>204.36476842105264</v>
      </c>
      <c r="F38" s="6">
        <f>D38*E38</f>
        <v>71527.668947368424</v>
      </c>
      <c r="G38" s="6">
        <f>SUM(U38)</f>
        <v>51.704999999999998</v>
      </c>
      <c r="H38" s="6">
        <f>D38*G38</f>
        <v>18096.75</v>
      </c>
      <c r="I38" s="6">
        <f t="shared" ref="I38" si="57">E38+G38</f>
        <v>256.06976842105263</v>
      </c>
      <c r="J38" s="6">
        <f t="shared" ref="J38" si="58">F38+H38</f>
        <v>89624.418947368424</v>
      </c>
      <c r="N38" s="75">
        <v>177.86315789473684</v>
      </c>
      <c r="O38" s="76">
        <f>$O$1</f>
        <v>1.149</v>
      </c>
      <c r="P38" s="77">
        <f>SUM(O38*N38)</f>
        <v>204.36476842105264</v>
      </c>
      <c r="Q38" s="78">
        <f t="shared" si="9"/>
        <v>62252.105263157893</v>
      </c>
      <c r="R38" s="78"/>
      <c r="S38" s="79">
        <v>45</v>
      </c>
      <c r="T38" s="80">
        <f>$T$1</f>
        <v>1.149</v>
      </c>
      <c r="U38" s="79">
        <f>SUM(T38*S38)</f>
        <v>51.704999999999998</v>
      </c>
      <c r="V38">
        <f t="shared" si="12"/>
        <v>15750</v>
      </c>
    </row>
    <row r="39" spans="1:22">
      <c r="A39" s="19"/>
      <c r="B39" s="20" t="s">
        <v>186</v>
      </c>
      <c r="C39" s="19" t="s">
        <v>26</v>
      </c>
      <c r="D39" s="22"/>
      <c r="E39" s="22"/>
      <c r="F39" s="22"/>
      <c r="G39" s="22"/>
      <c r="H39" s="22"/>
      <c r="I39" s="22"/>
      <c r="J39" s="22"/>
      <c r="Q39" s="78">
        <f t="shared" si="9"/>
        <v>0</v>
      </c>
      <c r="V39">
        <f t="shared" si="12"/>
        <v>0</v>
      </c>
    </row>
    <row r="40" spans="1:22">
      <c r="A40" s="4"/>
      <c r="B40" s="5" t="s">
        <v>200</v>
      </c>
      <c r="C40" s="4" t="s">
        <v>188</v>
      </c>
      <c r="D40" s="6">
        <v>140</v>
      </c>
      <c r="E40" s="6">
        <f t="shared" ref="E40:E41" si="59">SUM(P40)</f>
        <v>22.592968421052632</v>
      </c>
      <c r="F40" s="6">
        <f t="shared" ref="F40:F41" si="60">D40*E40</f>
        <v>3163.0155789473683</v>
      </c>
      <c r="G40" s="6">
        <f t="shared" ref="G40:G41" si="61">SUM(U40)</f>
        <v>25.277999999999999</v>
      </c>
      <c r="H40" s="6">
        <f t="shared" ref="H40:H41" si="62">D40*G40</f>
        <v>3538.9199999999996</v>
      </c>
      <c r="I40" s="6">
        <f t="shared" ref="I40:I41" si="63">E40+G40</f>
        <v>47.870968421052631</v>
      </c>
      <c r="J40" s="6">
        <f t="shared" ref="J40:J41" si="64">F40+H40</f>
        <v>6701.9355789473684</v>
      </c>
      <c r="N40" s="75">
        <v>19.663157894736841</v>
      </c>
      <c r="O40" s="76">
        <f t="shared" ref="O40:O41" si="65">$O$1</f>
        <v>1.149</v>
      </c>
      <c r="P40" s="77">
        <f t="shared" ref="P40:P41" si="66">SUM(O40*N40)</f>
        <v>22.592968421052632</v>
      </c>
      <c r="Q40" s="78">
        <f t="shared" si="9"/>
        <v>2752.8421052631579</v>
      </c>
      <c r="R40" s="78"/>
      <c r="S40" s="79">
        <v>22</v>
      </c>
      <c r="T40" s="80">
        <f t="shared" ref="T40:T41" si="67">$T$1</f>
        <v>1.149</v>
      </c>
      <c r="U40" s="79">
        <f t="shared" ref="U40:U41" si="68">SUM(T40*S40)</f>
        <v>25.277999999999999</v>
      </c>
      <c r="V40">
        <f t="shared" si="12"/>
        <v>3080</v>
      </c>
    </row>
    <row r="41" spans="1:22">
      <c r="A41" s="4"/>
      <c r="B41" s="5" t="s">
        <v>829</v>
      </c>
      <c r="C41" s="4" t="s">
        <v>188</v>
      </c>
      <c r="D41" s="6">
        <v>175</v>
      </c>
      <c r="E41" s="6">
        <f t="shared" si="59"/>
        <v>19.085494736842108</v>
      </c>
      <c r="F41" s="6">
        <f t="shared" si="60"/>
        <v>3339.9615789473687</v>
      </c>
      <c r="G41" s="6">
        <f t="shared" si="61"/>
        <v>25.277999999999999</v>
      </c>
      <c r="H41" s="6">
        <f t="shared" si="62"/>
        <v>4423.6499999999996</v>
      </c>
      <c r="I41" s="6">
        <f t="shared" si="63"/>
        <v>44.363494736842107</v>
      </c>
      <c r="J41" s="6">
        <f t="shared" si="64"/>
        <v>7763.6115789473679</v>
      </c>
      <c r="N41" s="75">
        <v>16.610526315789475</v>
      </c>
      <c r="O41" s="76">
        <f t="shared" si="65"/>
        <v>1.149</v>
      </c>
      <c r="P41" s="77">
        <f t="shared" si="66"/>
        <v>19.085494736842108</v>
      </c>
      <c r="Q41" s="78">
        <f t="shared" si="9"/>
        <v>2906.8421052631579</v>
      </c>
      <c r="R41" s="78"/>
      <c r="S41" s="79">
        <v>22</v>
      </c>
      <c r="T41" s="80">
        <f t="shared" si="67"/>
        <v>1.149</v>
      </c>
      <c r="U41" s="79">
        <f t="shared" si="68"/>
        <v>25.277999999999999</v>
      </c>
      <c r="V41">
        <f t="shared" si="12"/>
        <v>3850</v>
      </c>
    </row>
    <row r="42" spans="1:22">
      <c r="A42" s="19"/>
      <c r="B42" s="20" t="s">
        <v>186</v>
      </c>
      <c r="C42" s="19" t="s">
        <v>26</v>
      </c>
      <c r="D42" s="21"/>
      <c r="E42" s="21"/>
      <c r="F42" s="21"/>
      <c r="G42" s="21"/>
      <c r="H42" s="21"/>
      <c r="I42" s="21"/>
      <c r="J42" s="21"/>
      <c r="Q42" s="78">
        <f t="shared" si="9"/>
        <v>0</v>
      </c>
      <c r="V42">
        <f t="shared" si="12"/>
        <v>0</v>
      </c>
    </row>
    <row r="43" spans="1:22">
      <c r="A43" s="4"/>
      <c r="B43" s="5" t="s">
        <v>187</v>
      </c>
      <c r="C43" s="4" t="s">
        <v>188</v>
      </c>
      <c r="D43" s="6">
        <v>120</v>
      </c>
      <c r="E43" s="6">
        <f t="shared" ref="E43:E46" si="69">SUM(P43)</f>
        <v>13.618673684210528</v>
      </c>
      <c r="F43" s="6">
        <f t="shared" ref="F43:F46" si="70">D43*E43</f>
        <v>1634.2408421052633</v>
      </c>
      <c r="G43" s="6">
        <f t="shared" ref="G43:G46" si="71">SUM(U43)</f>
        <v>25.277999999999999</v>
      </c>
      <c r="H43" s="6">
        <f t="shared" ref="H43:H46" si="72">D43*G43</f>
        <v>3033.3599999999997</v>
      </c>
      <c r="I43" s="6">
        <f t="shared" ref="I43:I46" si="73">E43+G43</f>
        <v>38.896673684210526</v>
      </c>
      <c r="J43" s="6">
        <f t="shared" ref="J43:J46" si="74">F43+H43</f>
        <v>4667.6008421052629</v>
      </c>
      <c r="N43" s="75">
        <v>11.852631578947369</v>
      </c>
      <c r="O43" s="76">
        <f t="shared" ref="O43:O46" si="75">$O$1</f>
        <v>1.149</v>
      </c>
      <c r="P43" s="77">
        <f t="shared" ref="P43:P46" si="76">SUM(O43*N43)</f>
        <v>13.618673684210528</v>
      </c>
      <c r="Q43" s="78">
        <f t="shared" si="9"/>
        <v>1422.3157894736842</v>
      </c>
      <c r="R43" s="78"/>
      <c r="S43" s="79">
        <v>22</v>
      </c>
      <c r="T43" s="80">
        <f t="shared" ref="T43:T46" si="77">$T$1</f>
        <v>1.149</v>
      </c>
      <c r="U43" s="79">
        <f t="shared" ref="U43:U46" si="78">SUM(T43*S43)</f>
        <v>25.277999999999999</v>
      </c>
      <c r="V43">
        <f t="shared" si="12"/>
        <v>2640</v>
      </c>
    </row>
    <row r="44" spans="1:22">
      <c r="A44" s="4"/>
      <c r="B44" s="5" t="s">
        <v>830</v>
      </c>
      <c r="C44" s="4" t="s">
        <v>188</v>
      </c>
      <c r="D44" s="6">
        <v>90</v>
      </c>
      <c r="E44" s="6">
        <f t="shared" si="69"/>
        <v>37.251789473684219</v>
      </c>
      <c r="F44" s="6">
        <f t="shared" si="70"/>
        <v>3352.6610526315799</v>
      </c>
      <c r="G44" s="6">
        <f t="shared" si="71"/>
        <v>28.725000000000001</v>
      </c>
      <c r="H44" s="6">
        <f t="shared" si="72"/>
        <v>2585.25</v>
      </c>
      <c r="I44" s="6">
        <f t="shared" si="73"/>
        <v>65.976789473684221</v>
      </c>
      <c r="J44" s="6">
        <f t="shared" si="74"/>
        <v>5937.9110526315799</v>
      </c>
      <c r="N44" s="75">
        <v>32.421052631578952</v>
      </c>
      <c r="O44" s="76">
        <f t="shared" si="75"/>
        <v>1.149</v>
      </c>
      <c r="P44" s="77">
        <f t="shared" si="76"/>
        <v>37.251789473684219</v>
      </c>
      <c r="Q44" s="78">
        <f t="shared" si="9"/>
        <v>2917.8947368421059</v>
      </c>
      <c r="R44" s="78"/>
      <c r="S44" s="79">
        <v>25</v>
      </c>
      <c r="T44" s="80">
        <f t="shared" si="77"/>
        <v>1.149</v>
      </c>
      <c r="U44" s="79">
        <f t="shared" si="78"/>
        <v>28.725000000000001</v>
      </c>
      <c r="V44">
        <f t="shared" si="12"/>
        <v>2250</v>
      </c>
    </row>
    <row r="45" spans="1:22">
      <c r="A45" s="4"/>
      <c r="B45" s="5" t="s">
        <v>196</v>
      </c>
      <c r="C45" s="4" t="s">
        <v>188</v>
      </c>
      <c r="D45" s="6">
        <v>40</v>
      </c>
      <c r="E45" s="6">
        <f t="shared" si="69"/>
        <v>232.13428421052635</v>
      </c>
      <c r="F45" s="6">
        <f t="shared" si="70"/>
        <v>9285.3713684210543</v>
      </c>
      <c r="G45" s="6">
        <f t="shared" si="71"/>
        <v>34.47</v>
      </c>
      <c r="H45" s="6">
        <f t="shared" si="72"/>
        <v>1378.8</v>
      </c>
      <c r="I45" s="6">
        <f t="shared" si="73"/>
        <v>266.60428421052632</v>
      </c>
      <c r="J45" s="6">
        <f t="shared" si="74"/>
        <v>10664.171368421054</v>
      </c>
      <c r="N45" s="75">
        <v>202.03157894736844</v>
      </c>
      <c r="O45" s="76">
        <f t="shared" si="75"/>
        <v>1.149</v>
      </c>
      <c r="P45" s="77">
        <f t="shared" si="76"/>
        <v>232.13428421052635</v>
      </c>
      <c r="Q45" s="78">
        <f t="shared" si="9"/>
        <v>8081.2631578947376</v>
      </c>
      <c r="R45" s="78"/>
      <c r="S45" s="79">
        <v>30</v>
      </c>
      <c r="T45" s="80">
        <f t="shared" si="77"/>
        <v>1.149</v>
      </c>
      <c r="U45" s="79">
        <f t="shared" si="78"/>
        <v>34.47</v>
      </c>
      <c r="V45">
        <f t="shared" si="12"/>
        <v>1200</v>
      </c>
    </row>
    <row r="46" spans="1:22">
      <c r="A46" s="4"/>
      <c r="B46" s="5" t="s">
        <v>831</v>
      </c>
      <c r="C46" s="4" t="s">
        <v>188</v>
      </c>
      <c r="D46" s="6">
        <v>550</v>
      </c>
      <c r="E46" s="6">
        <f t="shared" si="69"/>
        <v>187.83126315789477</v>
      </c>
      <c r="F46" s="6">
        <f t="shared" si="70"/>
        <v>103307.19473684212</v>
      </c>
      <c r="G46" s="6">
        <f t="shared" si="71"/>
        <v>34.47</v>
      </c>
      <c r="H46" s="6">
        <f t="shared" si="72"/>
        <v>18958.5</v>
      </c>
      <c r="I46" s="6">
        <f t="shared" si="73"/>
        <v>222.30126315789477</v>
      </c>
      <c r="J46" s="6">
        <f t="shared" si="74"/>
        <v>122265.69473684212</v>
      </c>
      <c r="N46" s="75">
        <v>163.47368421052633</v>
      </c>
      <c r="O46" s="76">
        <f t="shared" si="75"/>
        <v>1.149</v>
      </c>
      <c r="P46" s="77">
        <f t="shared" si="76"/>
        <v>187.83126315789477</v>
      </c>
      <c r="Q46" s="78">
        <f t="shared" si="9"/>
        <v>89910.526315789481</v>
      </c>
      <c r="R46" s="78"/>
      <c r="S46" s="79">
        <v>30</v>
      </c>
      <c r="T46" s="80">
        <f t="shared" si="77"/>
        <v>1.149</v>
      </c>
      <c r="U46" s="79">
        <f t="shared" si="78"/>
        <v>34.47</v>
      </c>
      <c r="V46">
        <f t="shared" si="12"/>
        <v>16500</v>
      </c>
    </row>
    <row r="47" spans="1:22">
      <c r="A47" s="19"/>
      <c r="B47" s="20" t="s">
        <v>186</v>
      </c>
      <c r="C47" s="19" t="s">
        <v>26</v>
      </c>
      <c r="D47" s="22"/>
      <c r="E47" s="22"/>
      <c r="F47" s="22"/>
      <c r="G47" s="22"/>
      <c r="H47" s="22"/>
      <c r="I47" s="22"/>
      <c r="J47" s="22"/>
      <c r="Q47" s="78">
        <f t="shared" si="9"/>
        <v>0</v>
      </c>
      <c r="V47">
        <f t="shared" si="12"/>
        <v>0</v>
      </c>
    </row>
    <row r="48" spans="1:22">
      <c r="A48" s="4"/>
      <c r="B48" s="5" t="s">
        <v>832</v>
      </c>
      <c r="C48" s="4" t="s">
        <v>188</v>
      </c>
      <c r="D48" s="6">
        <v>65</v>
      </c>
      <c r="E48" s="6">
        <f>SUM(P48)</f>
        <v>59.748000000000005</v>
      </c>
      <c r="F48" s="6">
        <f>D48*E48</f>
        <v>3883.6200000000003</v>
      </c>
      <c r="G48" s="6">
        <f>SUM(U48)</f>
        <v>34.47</v>
      </c>
      <c r="H48" s="6">
        <f>D48*G48</f>
        <v>2240.5499999999997</v>
      </c>
      <c r="I48" s="6">
        <f t="shared" ref="I48" si="79">E48+G48</f>
        <v>94.218000000000004</v>
      </c>
      <c r="J48" s="6">
        <f t="shared" ref="J48" si="80">F48+H48</f>
        <v>6124.17</v>
      </c>
      <c r="N48" s="86">
        <v>52</v>
      </c>
      <c r="O48" s="76">
        <f>$O$1</f>
        <v>1.149</v>
      </c>
      <c r="P48" s="77">
        <f>SUM(O48*N48)</f>
        <v>59.748000000000005</v>
      </c>
      <c r="Q48" s="78">
        <f t="shared" si="9"/>
        <v>3380</v>
      </c>
      <c r="R48" s="78"/>
      <c r="S48" s="79">
        <v>30</v>
      </c>
      <c r="T48" s="80">
        <f>$T$1</f>
        <v>1.149</v>
      </c>
      <c r="U48" s="79">
        <f>SUM(T48*S48)</f>
        <v>34.47</v>
      </c>
      <c r="V48">
        <f t="shared" si="12"/>
        <v>1950</v>
      </c>
    </row>
    <row r="49" spans="1:22">
      <c r="A49" s="13"/>
      <c r="B49" s="14" t="s">
        <v>209</v>
      </c>
      <c r="C49" s="13" t="s">
        <v>26</v>
      </c>
      <c r="D49" s="15"/>
      <c r="E49" s="15"/>
      <c r="F49" s="15">
        <f>SUM(F37:F48)</f>
        <v>199493.7341052632</v>
      </c>
      <c r="G49" s="15"/>
      <c r="H49" s="15">
        <f>SUM(H37:H48)</f>
        <v>54255.780000000006</v>
      </c>
      <c r="I49" s="15"/>
      <c r="J49" s="15">
        <f>SUM(J37:J48)</f>
        <v>253749.5141052632</v>
      </c>
      <c r="Q49" s="78">
        <f t="shared" si="9"/>
        <v>0</v>
      </c>
      <c r="V49">
        <f t="shared" si="12"/>
        <v>0</v>
      </c>
    </row>
    <row r="50" spans="1:22">
      <c r="A50" s="4"/>
      <c r="B50" s="5" t="s">
        <v>26</v>
      </c>
      <c r="C50" s="4" t="s">
        <v>26</v>
      </c>
      <c r="D50" s="6"/>
      <c r="E50" s="6"/>
      <c r="F50" s="6"/>
      <c r="G50" s="6"/>
      <c r="H50" s="6"/>
      <c r="I50" s="6"/>
      <c r="J50" s="6"/>
      <c r="Q50" s="78">
        <f t="shared" si="9"/>
        <v>0</v>
      </c>
      <c r="V50">
        <f t="shared" si="12"/>
        <v>0</v>
      </c>
    </row>
    <row r="51" spans="1:22">
      <c r="A51" s="13"/>
      <c r="B51" s="14" t="s">
        <v>227</v>
      </c>
      <c r="C51" s="13" t="s">
        <v>26</v>
      </c>
      <c r="D51" s="15"/>
      <c r="E51" s="15"/>
      <c r="F51" s="15"/>
      <c r="G51" s="15"/>
      <c r="H51" s="15"/>
      <c r="I51" s="15"/>
      <c r="J51" s="15"/>
      <c r="Q51" s="78">
        <f t="shared" si="9"/>
        <v>0</v>
      </c>
      <c r="V51">
        <f t="shared" si="12"/>
        <v>0</v>
      </c>
    </row>
    <row r="52" spans="1:22">
      <c r="A52" s="4"/>
      <c r="B52" s="5" t="s">
        <v>833</v>
      </c>
      <c r="C52" s="4" t="s">
        <v>188</v>
      </c>
      <c r="D52" s="6">
        <v>120</v>
      </c>
      <c r="E52" s="6">
        <f t="shared" ref="E52:E53" si="81">SUM(P52)</f>
        <v>84.179368421052629</v>
      </c>
      <c r="F52" s="6">
        <f t="shared" ref="F52:F53" si="82">D52*E52</f>
        <v>10101.524210526315</v>
      </c>
      <c r="G52" s="6">
        <f t="shared" ref="G52:G53" si="83">SUM(U52)</f>
        <v>40.215000000000003</v>
      </c>
      <c r="H52" s="6">
        <f t="shared" ref="H52:H53" si="84">D52*G52</f>
        <v>4825.8</v>
      </c>
      <c r="I52" s="6">
        <f t="shared" ref="I52:I53" si="85">E52+G52</f>
        <v>124.39436842105263</v>
      </c>
      <c r="J52" s="6">
        <f t="shared" ref="J52:J53" si="86">F52+H52</f>
        <v>14927.324210526316</v>
      </c>
      <c r="N52" s="75">
        <v>73.263157894736835</v>
      </c>
      <c r="O52" s="76">
        <f t="shared" ref="O52:O53" si="87">$O$1</f>
        <v>1.149</v>
      </c>
      <c r="P52" s="77">
        <f t="shared" ref="P52:P53" si="88">SUM(O52*N52)</f>
        <v>84.179368421052629</v>
      </c>
      <c r="Q52" s="78">
        <f t="shared" si="9"/>
        <v>8791.5789473684199</v>
      </c>
      <c r="R52" s="78"/>
      <c r="S52" s="79">
        <v>35</v>
      </c>
      <c r="T52" s="80">
        <f t="shared" ref="T52:T53" si="89">$T$1</f>
        <v>1.149</v>
      </c>
      <c r="U52" s="79">
        <f t="shared" ref="U52:U53" si="90">SUM(T52*S52)</f>
        <v>40.215000000000003</v>
      </c>
      <c r="V52">
        <f t="shared" si="12"/>
        <v>4200</v>
      </c>
    </row>
    <row r="53" spans="1:22">
      <c r="A53" s="4"/>
      <c r="B53" s="5" t="s">
        <v>834</v>
      </c>
      <c r="C53" s="4" t="s">
        <v>188</v>
      </c>
      <c r="D53" s="6">
        <v>120</v>
      </c>
      <c r="E53" s="6">
        <f t="shared" si="81"/>
        <v>0</v>
      </c>
      <c r="F53" s="6">
        <f t="shared" si="82"/>
        <v>0</v>
      </c>
      <c r="G53" s="6">
        <f t="shared" si="83"/>
        <v>34.47</v>
      </c>
      <c r="H53" s="6">
        <f t="shared" si="84"/>
        <v>4136.3999999999996</v>
      </c>
      <c r="I53" s="6">
        <f t="shared" si="85"/>
        <v>34.47</v>
      </c>
      <c r="J53" s="6">
        <f t="shared" si="86"/>
        <v>4136.3999999999996</v>
      </c>
      <c r="N53" s="75"/>
      <c r="O53" s="76">
        <f t="shared" si="87"/>
        <v>1.149</v>
      </c>
      <c r="P53" s="77">
        <f t="shared" si="88"/>
        <v>0</v>
      </c>
      <c r="Q53" s="78">
        <f t="shared" si="9"/>
        <v>0</v>
      </c>
      <c r="R53" s="78"/>
      <c r="S53" s="79">
        <v>30</v>
      </c>
      <c r="T53" s="80">
        <f t="shared" si="89"/>
        <v>1.149</v>
      </c>
      <c r="U53" s="79">
        <f t="shared" si="90"/>
        <v>34.47</v>
      </c>
      <c r="V53">
        <f t="shared" si="12"/>
        <v>3600</v>
      </c>
    </row>
    <row r="54" spans="1:22">
      <c r="A54" s="13"/>
      <c r="B54" s="14" t="s">
        <v>256</v>
      </c>
      <c r="C54" s="13" t="s">
        <v>26</v>
      </c>
      <c r="D54" s="15"/>
      <c r="E54" s="15"/>
      <c r="F54" s="15">
        <f>SUM(F52:F53)</f>
        <v>10101.524210526315</v>
      </c>
      <c r="G54" s="15"/>
      <c r="H54" s="15">
        <f>SUM(H52:H53)</f>
        <v>8962.2000000000007</v>
      </c>
      <c r="I54" s="15"/>
      <c r="J54" s="15">
        <f>SUM(J52:J53)</f>
        <v>19063.724210526314</v>
      </c>
      <c r="Q54" s="78">
        <f t="shared" si="9"/>
        <v>0</v>
      </c>
      <c r="V54">
        <f t="shared" si="12"/>
        <v>0</v>
      </c>
    </row>
    <row r="55" spans="1:22">
      <c r="A55" s="4"/>
      <c r="B55" s="5" t="s">
        <v>26</v>
      </c>
      <c r="C55" s="4" t="s">
        <v>26</v>
      </c>
      <c r="D55" s="23"/>
      <c r="E55" s="23"/>
      <c r="F55" s="23"/>
      <c r="G55" s="23"/>
      <c r="H55" s="23"/>
      <c r="I55" s="23"/>
      <c r="J55" s="23"/>
      <c r="Q55" s="78">
        <f t="shared" si="9"/>
        <v>0</v>
      </c>
      <c r="V55">
        <f t="shared" si="12"/>
        <v>0</v>
      </c>
    </row>
    <row r="56" spans="1:22">
      <c r="A56" s="13"/>
      <c r="B56" s="14" t="s">
        <v>210</v>
      </c>
      <c r="C56" s="13" t="s">
        <v>26</v>
      </c>
      <c r="D56" s="15"/>
      <c r="E56" s="15"/>
      <c r="F56" s="15"/>
      <c r="G56" s="15"/>
      <c r="H56" s="15"/>
      <c r="I56" s="15"/>
      <c r="J56" s="15"/>
      <c r="Q56" s="78">
        <f t="shared" si="9"/>
        <v>0</v>
      </c>
      <c r="V56">
        <f t="shared" si="12"/>
        <v>0</v>
      </c>
    </row>
    <row r="57" spans="1:22">
      <c r="A57" s="19"/>
      <c r="B57" s="20" t="s">
        <v>835</v>
      </c>
      <c r="C57" s="19" t="s">
        <v>26</v>
      </c>
      <c r="D57" s="21"/>
      <c r="E57" s="21"/>
      <c r="F57" s="21"/>
      <c r="G57" s="21"/>
      <c r="H57" s="21"/>
      <c r="I57" s="21"/>
      <c r="J57" s="21"/>
      <c r="Q57" s="78">
        <f t="shared" si="9"/>
        <v>0</v>
      </c>
      <c r="V57">
        <f t="shared" si="12"/>
        <v>0</v>
      </c>
    </row>
    <row r="58" spans="1:22">
      <c r="A58" s="4"/>
      <c r="B58" s="5" t="s">
        <v>836</v>
      </c>
      <c r="C58" s="4" t="s">
        <v>36</v>
      </c>
      <c r="D58" s="6">
        <v>15</v>
      </c>
      <c r="E58" s="6">
        <f t="shared" ref="E58:E61" si="91">SUM(P58)</f>
        <v>200.16789473684213</v>
      </c>
      <c r="F58" s="6">
        <f t="shared" ref="F58:F61" si="92">D58*E58</f>
        <v>3002.5184210526318</v>
      </c>
      <c r="G58" s="6">
        <f t="shared" ref="G58:G61" si="93">SUM(U58)</f>
        <v>103.41</v>
      </c>
      <c r="H58" s="6">
        <f t="shared" ref="H58:H61" si="94">D58*G58</f>
        <v>1551.1499999999999</v>
      </c>
      <c r="I58" s="6">
        <f t="shared" ref="I58:I61" si="95">E58+G58</f>
        <v>303.57789473684215</v>
      </c>
      <c r="J58" s="6">
        <f t="shared" ref="J58:J61" si="96">F58+H58</f>
        <v>4553.6684210526319</v>
      </c>
      <c r="L58" s="169">
        <f t="shared" ref="L58:L61" si="97">SUM(J58)</f>
        <v>4553.6684210526319</v>
      </c>
      <c r="M58" s="169"/>
      <c r="N58" s="75">
        <v>174.21052631578948</v>
      </c>
      <c r="O58" s="76">
        <f t="shared" ref="O58:O61" si="98">$O$1</f>
        <v>1.149</v>
      </c>
      <c r="P58" s="77">
        <f t="shared" ref="P58:P61" si="99">SUM(O58*N58)</f>
        <v>200.16789473684213</v>
      </c>
      <c r="Q58" s="78">
        <f t="shared" si="9"/>
        <v>2613.1578947368421</v>
      </c>
      <c r="R58" s="78"/>
      <c r="S58" s="79">
        <v>90</v>
      </c>
      <c r="T58" s="80">
        <f t="shared" ref="T58:T61" si="100">$T$1</f>
        <v>1.149</v>
      </c>
      <c r="U58" s="79">
        <f t="shared" ref="U58:U61" si="101">SUM(T58*S58)</f>
        <v>103.41</v>
      </c>
      <c r="V58">
        <f t="shared" si="12"/>
        <v>1350</v>
      </c>
    </row>
    <row r="59" spans="1:22">
      <c r="A59" s="4"/>
      <c r="B59" s="5" t="s">
        <v>837</v>
      </c>
      <c r="C59" s="4" t="s">
        <v>36</v>
      </c>
      <c r="D59" s="6">
        <v>4</v>
      </c>
      <c r="E59" s="6">
        <f t="shared" si="91"/>
        <v>221.45463157894736</v>
      </c>
      <c r="F59" s="6">
        <f t="shared" si="92"/>
        <v>885.81852631578943</v>
      </c>
      <c r="G59" s="6">
        <f t="shared" si="93"/>
        <v>103.41</v>
      </c>
      <c r="H59" s="6">
        <f t="shared" si="94"/>
        <v>413.64</v>
      </c>
      <c r="I59" s="6">
        <f t="shared" si="95"/>
        <v>324.86463157894735</v>
      </c>
      <c r="J59" s="6">
        <f t="shared" si="96"/>
        <v>1299.4585263157894</v>
      </c>
      <c r="L59" s="169">
        <f t="shared" si="97"/>
        <v>1299.4585263157894</v>
      </c>
      <c r="M59" s="169"/>
      <c r="N59" s="75">
        <v>192.73684210526315</v>
      </c>
      <c r="O59" s="76">
        <f t="shared" si="98"/>
        <v>1.149</v>
      </c>
      <c r="P59" s="77">
        <f t="shared" si="99"/>
        <v>221.45463157894736</v>
      </c>
      <c r="Q59" s="78">
        <f t="shared" si="9"/>
        <v>770.9473684210526</v>
      </c>
      <c r="R59" s="78"/>
      <c r="S59" s="79">
        <v>90</v>
      </c>
      <c r="T59" s="80">
        <f t="shared" si="100"/>
        <v>1.149</v>
      </c>
      <c r="U59" s="79">
        <f t="shared" si="101"/>
        <v>103.41</v>
      </c>
      <c r="V59">
        <f t="shared" si="12"/>
        <v>360</v>
      </c>
    </row>
    <row r="60" spans="1:22">
      <c r="A60" s="4"/>
      <c r="B60" s="5" t="s">
        <v>838</v>
      </c>
      <c r="C60" s="4" t="s">
        <v>36</v>
      </c>
      <c r="D60" s="6">
        <v>4</v>
      </c>
      <c r="E60" s="6">
        <f t="shared" si="91"/>
        <v>362.96305263157899</v>
      </c>
      <c r="F60" s="6">
        <f t="shared" si="92"/>
        <v>1451.852210526316</v>
      </c>
      <c r="G60" s="6">
        <f t="shared" si="93"/>
        <v>103.41</v>
      </c>
      <c r="H60" s="6">
        <f t="shared" si="94"/>
        <v>413.64</v>
      </c>
      <c r="I60" s="6">
        <f t="shared" si="95"/>
        <v>466.37305263157896</v>
      </c>
      <c r="J60" s="6">
        <f t="shared" si="96"/>
        <v>1865.4922105263158</v>
      </c>
      <c r="L60" s="169">
        <f t="shared" si="97"/>
        <v>1865.4922105263158</v>
      </c>
      <c r="M60" s="169"/>
      <c r="N60" s="75">
        <v>315.89473684210532</v>
      </c>
      <c r="O60" s="76">
        <f t="shared" si="98"/>
        <v>1.149</v>
      </c>
      <c r="P60" s="77">
        <f t="shared" si="99"/>
        <v>362.96305263157899</v>
      </c>
      <c r="Q60" s="78">
        <f t="shared" si="9"/>
        <v>1263.5789473684213</v>
      </c>
      <c r="R60" s="78"/>
      <c r="S60" s="79">
        <v>90</v>
      </c>
      <c r="T60" s="80">
        <f t="shared" si="100"/>
        <v>1.149</v>
      </c>
      <c r="U60" s="79">
        <f t="shared" si="101"/>
        <v>103.41</v>
      </c>
      <c r="V60">
        <f t="shared" si="12"/>
        <v>360</v>
      </c>
    </row>
    <row r="61" spans="1:22">
      <c r="A61" s="4"/>
      <c r="B61" s="5" t="s">
        <v>839</v>
      </c>
      <c r="C61" s="4" t="s">
        <v>36</v>
      </c>
      <c r="D61" s="6">
        <v>1</v>
      </c>
      <c r="E61" s="6">
        <f t="shared" si="91"/>
        <v>26.729368421052637</v>
      </c>
      <c r="F61" s="6">
        <f t="shared" si="92"/>
        <v>26.729368421052637</v>
      </c>
      <c r="G61" s="6">
        <f t="shared" si="93"/>
        <v>80.430000000000007</v>
      </c>
      <c r="H61" s="6">
        <f t="shared" si="94"/>
        <v>80.430000000000007</v>
      </c>
      <c r="I61" s="6">
        <f t="shared" si="95"/>
        <v>107.15936842105265</v>
      </c>
      <c r="J61" s="6">
        <f t="shared" si="96"/>
        <v>107.15936842105265</v>
      </c>
      <c r="L61" s="169">
        <f t="shared" si="97"/>
        <v>107.15936842105265</v>
      </c>
      <c r="M61" s="169"/>
      <c r="N61" s="75">
        <v>23.263157894736846</v>
      </c>
      <c r="O61" s="76">
        <f t="shared" si="98"/>
        <v>1.149</v>
      </c>
      <c r="P61" s="77">
        <f t="shared" si="99"/>
        <v>26.729368421052637</v>
      </c>
      <c r="Q61" s="78">
        <f t="shared" si="9"/>
        <v>23.263157894736846</v>
      </c>
      <c r="R61" s="78"/>
      <c r="S61" s="79">
        <v>70</v>
      </c>
      <c r="T61" s="80">
        <f t="shared" si="100"/>
        <v>1.149</v>
      </c>
      <c r="U61" s="79">
        <f t="shared" si="101"/>
        <v>80.430000000000007</v>
      </c>
      <c r="V61">
        <f t="shared" si="12"/>
        <v>70</v>
      </c>
    </row>
    <row r="62" spans="1:22">
      <c r="A62" s="19"/>
      <c r="B62" s="20" t="s">
        <v>219</v>
      </c>
      <c r="C62" s="19" t="s">
        <v>26</v>
      </c>
      <c r="D62" s="21"/>
      <c r="E62" s="21"/>
      <c r="F62" s="21"/>
      <c r="G62" s="21"/>
      <c r="H62" s="21"/>
      <c r="I62" s="21"/>
      <c r="J62" s="21"/>
      <c r="Q62" s="78">
        <f t="shared" si="9"/>
        <v>0</v>
      </c>
      <c r="V62">
        <f t="shared" si="12"/>
        <v>0</v>
      </c>
    </row>
    <row r="63" spans="1:22">
      <c r="A63" s="19"/>
      <c r="B63" s="20" t="s">
        <v>220</v>
      </c>
      <c r="C63" s="19" t="s">
        <v>26</v>
      </c>
      <c r="D63" s="21"/>
      <c r="E63" s="21"/>
      <c r="F63" s="21"/>
      <c r="G63" s="21"/>
      <c r="H63" s="21"/>
      <c r="I63" s="21"/>
      <c r="J63" s="21"/>
      <c r="Q63" s="78">
        <f t="shared" si="9"/>
        <v>0</v>
      </c>
      <c r="V63">
        <f t="shared" si="12"/>
        <v>0</v>
      </c>
    </row>
    <row r="64" spans="1:22">
      <c r="A64" s="4"/>
      <c r="B64" s="5" t="s">
        <v>840</v>
      </c>
      <c r="C64" s="4" t="s">
        <v>36</v>
      </c>
      <c r="D64" s="6">
        <v>6</v>
      </c>
      <c r="E64" s="6">
        <f t="shared" ref="E64:E68" si="102">SUM(P64)</f>
        <v>49.119750000000003</v>
      </c>
      <c r="F64" s="6">
        <f t="shared" ref="F64:F68" si="103">D64*E64</f>
        <v>294.71850000000001</v>
      </c>
      <c r="G64" s="6">
        <f t="shared" ref="G64:G68" si="104">SUM(U64)</f>
        <v>137.88</v>
      </c>
      <c r="H64" s="6">
        <f t="shared" ref="H64:H68" si="105">D64*G64</f>
        <v>827.28</v>
      </c>
      <c r="I64" s="6">
        <f t="shared" ref="I64:I68" si="106">E64+G64</f>
        <v>186.99975000000001</v>
      </c>
      <c r="J64" s="6">
        <f t="shared" ref="J64:J68" si="107">F64+H64</f>
        <v>1121.9984999999999</v>
      </c>
      <c r="L64" s="169">
        <f t="shared" ref="L64:L76" si="108">SUM(J64)</f>
        <v>1121.9984999999999</v>
      </c>
      <c r="M64" s="169"/>
      <c r="N64" s="86">
        <v>42.75</v>
      </c>
      <c r="O64" s="76">
        <f t="shared" ref="O64:O68" si="109">$O$1</f>
        <v>1.149</v>
      </c>
      <c r="P64" s="77">
        <f t="shared" ref="P64:P68" si="110">SUM(O64*N64)</f>
        <v>49.119750000000003</v>
      </c>
      <c r="Q64" s="78">
        <f t="shared" si="9"/>
        <v>256.5</v>
      </c>
      <c r="R64" s="78"/>
      <c r="S64" s="79">
        <v>120</v>
      </c>
      <c r="T64" s="80">
        <f t="shared" ref="T64:T68" si="111">$T$1</f>
        <v>1.149</v>
      </c>
      <c r="U64" s="79">
        <f t="shared" ref="U64:U68" si="112">SUM(T64*S64)</f>
        <v>137.88</v>
      </c>
      <c r="V64">
        <f t="shared" si="12"/>
        <v>720</v>
      </c>
    </row>
    <row r="65" spans="1:22">
      <c r="A65" s="4"/>
      <c r="B65" s="5" t="s">
        <v>221</v>
      </c>
      <c r="C65" s="4" t="s">
        <v>36</v>
      </c>
      <c r="D65" s="6">
        <v>10</v>
      </c>
      <c r="E65" s="6">
        <f t="shared" si="102"/>
        <v>49.119750000000003</v>
      </c>
      <c r="F65" s="6">
        <f t="shared" si="103"/>
        <v>491.19750000000005</v>
      </c>
      <c r="G65" s="6">
        <f t="shared" si="104"/>
        <v>172.35</v>
      </c>
      <c r="H65" s="6">
        <f t="shared" si="105"/>
        <v>1723.5</v>
      </c>
      <c r="I65" s="6">
        <f t="shared" si="106"/>
        <v>221.46975</v>
      </c>
      <c r="J65" s="6">
        <f t="shared" si="107"/>
        <v>2214.6975000000002</v>
      </c>
      <c r="L65" s="169">
        <f t="shared" si="108"/>
        <v>2214.6975000000002</v>
      </c>
      <c r="M65" s="169"/>
      <c r="N65" s="86">
        <v>42.75</v>
      </c>
      <c r="O65" s="76">
        <f t="shared" si="109"/>
        <v>1.149</v>
      </c>
      <c r="P65" s="77">
        <f t="shared" si="110"/>
        <v>49.119750000000003</v>
      </c>
      <c r="Q65" s="78">
        <f t="shared" si="9"/>
        <v>427.5</v>
      </c>
      <c r="R65" s="78"/>
      <c r="S65" s="79">
        <v>150</v>
      </c>
      <c r="T65" s="80">
        <f t="shared" si="111"/>
        <v>1.149</v>
      </c>
      <c r="U65" s="79">
        <f t="shared" si="112"/>
        <v>172.35</v>
      </c>
      <c r="V65">
        <f t="shared" si="12"/>
        <v>1500</v>
      </c>
    </row>
    <row r="66" spans="1:22">
      <c r="A66" s="4"/>
      <c r="B66" s="5" t="s">
        <v>222</v>
      </c>
      <c r="C66" s="4" t="s">
        <v>36</v>
      </c>
      <c r="D66" s="6">
        <v>2</v>
      </c>
      <c r="E66" s="6">
        <f t="shared" si="102"/>
        <v>49.119750000000003</v>
      </c>
      <c r="F66" s="6">
        <f t="shared" si="103"/>
        <v>98.239500000000007</v>
      </c>
      <c r="G66" s="6">
        <f t="shared" si="104"/>
        <v>172.35</v>
      </c>
      <c r="H66" s="6">
        <f t="shared" si="105"/>
        <v>344.7</v>
      </c>
      <c r="I66" s="6">
        <f t="shared" si="106"/>
        <v>221.46975</v>
      </c>
      <c r="J66" s="6">
        <f t="shared" si="107"/>
        <v>442.93950000000001</v>
      </c>
      <c r="L66" s="169">
        <f t="shared" si="108"/>
        <v>442.93950000000001</v>
      </c>
      <c r="M66" s="169"/>
      <c r="N66" s="86">
        <v>42.75</v>
      </c>
      <c r="O66" s="76">
        <f t="shared" si="109"/>
        <v>1.149</v>
      </c>
      <c r="P66" s="77">
        <f t="shared" si="110"/>
        <v>49.119750000000003</v>
      </c>
      <c r="Q66" s="78">
        <f t="shared" si="9"/>
        <v>85.5</v>
      </c>
      <c r="R66" s="78"/>
      <c r="S66" s="79">
        <v>150</v>
      </c>
      <c r="T66" s="80">
        <f t="shared" si="111"/>
        <v>1.149</v>
      </c>
      <c r="U66" s="79">
        <f t="shared" si="112"/>
        <v>172.35</v>
      </c>
      <c r="V66">
        <f t="shared" si="12"/>
        <v>300</v>
      </c>
    </row>
    <row r="67" spans="1:22">
      <c r="A67" s="4"/>
      <c r="B67" s="5" t="s">
        <v>224</v>
      </c>
      <c r="C67" s="4" t="s">
        <v>36</v>
      </c>
      <c r="D67" s="6">
        <v>2</v>
      </c>
      <c r="E67" s="6">
        <f t="shared" si="102"/>
        <v>58.168125000000003</v>
      </c>
      <c r="F67" s="6">
        <f t="shared" si="103"/>
        <v>116.33625000000001</v>
      </c>
      <c r="G67" s="6">
        <f t="shared" si="104"/>
        <v>229.8</v>
      </c>
      <c r="H67" s="6">
        <f t="shared" si="105"/>
        <v>459.6</v>
      </c>
      <c r="I67" s="6">
        <f t="shared" si="106"/>
        <v>287.96812499999999</v>
      </c>
      <c r="J67" s="6">
        <f t="shared" si="107"/>
        <v>575.93624999999997</v>
      </c>
      <c r="L67" s="169">
        <f t="shared" si="108"/>
        <v>575.93624999999997</v>
      </c>
      <c r="M67" s="169"/>
      <c r="N67" s="86">
        <v>50.625</v>
      </c>
      <c r="O67" s="76">
        <f t="shared" si="109"/>
        <v>1.149</v>
      </c>
      <c r="P67" s="77">
        <f t="shared" si="110"/>
        <v>58.168125000000003</v>
      </c>
      <c r="Q67" s="78">
        <f t="shared" si="9"/>
        <v>101.25</v>
      </c>
      <c r="R67" s="78"/>
      <c r="S67" s="79">
        <v>200</v>
      </c>
      <c r="T67" s="80">
        <f t="shared" si="111"/>
        <v>1.149</v>
      </c>
      <c r="U67" s="79">
        <f t="shared" si="112"/>
        <v>229.8</v>
      </c>
      <c r="V67">
        <f t="shared" si="12"/>
        <v>400</v>
      </c>
    </row>
    <row r="68" spans="1:22">
      <c r="A68" s="4"/>
      <c r="B68" s="5" t="s">
        <v>841</v>
      </c>
      <c r="C68" s="4" t="s">
        <v>36</v>
      </c>
      <c r="D68" s="6">
        <v>2</v>
      </c>
      <c r="E68" s="6">
        <f t="shared" si="102"/>
        <v>87.898499999999999</v>
      </c>
      <c r="F68" s="6">
        <f t="shared" si="103"/>
        <v>175.797</v>
      </c>
      <c r="G68" s="6">
        <f t="shared" si="104"/>
        <v>229.8</v>
      </c>
      <c r="H68" s="6">
        <f t="shared" si="105"/>
        <v>459.6</v>
      </c>
      <c r="I68" s="6">
        <f t="shared" si="106"/>
        <v>317.69850000000002</v>
      </c>
      <c r="J68" s="6">
        <f t="shared" si="107"/>
        <v>635.39700000000005</v>
      </c>
      <c r="L68" s="169">
        <f t="shared" si="108"/>
        <v>635.39700000000005</v>
      </c>
      <c r="M68" s="169"/>
      <c r="N68" s="86">
        <v>76.5</v>
      </c>
      <c r="O68" s="76">
        <f t="shared" si="109"/>
        <v>1.149</v>
      </c>
      <c r="P68" s="77">
        <f t="shared" si="110"/>
        <v>87.898499999999999</v>
      </c>
      <c r="Q68" s="78">
        <f t="shared" si="9"/>
        <v>153</v>
      </c>
      <c r="R68" s="78"/>
      <c r="S68" s="79">
        <v>200</v>
      </c>
      <c r="T68" s="80">
        <f t="shared" si="111"/>
        <v>1.149</v>
      </c>
      <c r="U68" s="79">
        <f t="shared" si="112"/>
        <v>229.8</v>
      </c>
      <c r="V68">
        <f t="shared" si="12"/>
        <v>400</v>
      </c>
    </row>
    <row r="69" spans="1:22">
      <c r="A69" s="19"/>
      <c r="B69" s="20" t="s">
        <v>842</v>
      </c>
      <c r="C69" s="19" t="s">
        <v>26</v>
      </c>
      <c r="D69" s="21"/>
      <c r="E69" s="21"/>
      <c r="F69" s="21"/>
      <c r="G69" s="21"/>
      <c r="H69" s="21"/>
      <c r="I69" s="21"/>
      <c r="J69" s="21"/>
      <c r="L69" s="169">
        <f t="shared" si="108"/>
        <v>0</v>
      </c>
      <c r="M69" s="169"/>
      <c r="Q69" s="78">
        <f t="shared" si="9"/>
        <v>0</v>
      </c>
      <c r="V69">
        <f t="shared" si="12"/>
        <v>0</v>
      </c>
    </row>
    <row r="70" spans="1:22">
      <c r="A70" s="4"/>
      <c r="B70" s="5" t="s">
        <v>843</v>
      </c>
      <c r="C70" s="4" t="s">
        <v>36</v>
      </c>
      <c r="D70" s="6">
        <v>80</v>
      </c>
      <c r="E70" s="6">
        <f t="shared" ref="E70:E76" si="113">SUM(P70)</f>
        <v>0</v>
      </c>
      <c r="F70" s="6">
        <f t="shared" ref="F70:F76" si="114">D70*E70</f>
        <v>0</v>
      </c>
      <c r="G70" s="6">
        <f t="shared" ref="G70:G76" si="115">SUM(U70)</f>
        <v>17.234999999999999</v>
      </c>
      <c r="H70" s="6">
        <f t="shared" ref="H70:H76" si="116">D70*G70</f>
        <v>1378.8</v>
      </c>
      <c r="I70" s="6">
        <f t="shared" ref="I70:I76" si="117">E70+G70</f>
        <v>17.234999999999999</v>
      </c>
      <c r="J70" s="6">
        <f t="shared" ref="J70:J76" si="118">F70+H70</f>
        <v>1378.8</v>
      </c>
      <c r="L70" s="169">
        <f t="shared" si="108"/>
        <v>1378.8</v>
      </c>
      <c r="M70" s="169"/>
      <c r="N70" s="75"/>
      <c r="O70" s="76">
        <f t="shared" ref="O70:O76" si="119">$O$1</f>
        <v>1.149</v>
      </c>
      <c r="P70" s="77">
        <f t="shared" ref="P70:P76" si="120">SUM(O70*N70)</f>
        <v>0</v>
      </c>
      <c r="Q70" s="78">
        <f t="shared" si="9"/>
        <v>0</v>
      </c>
      <c r="R70" s="78"/>
      <c r="S70" s="79">
        <v>15</v>
      </c>
      <c r="T70" s="80">
        <f t="shared" ref="T70:T76" si="121">$T$1</f>
        <v>1.149</v>
      </c>
      <c r="U70" s="79">
        <f t="shared" ref="U70:U76" si="122">SUM(T70*S70)</f>
        <v>17.234999999999999</v>
      </c>
      <c r="V70">
        <f t="shared" si="12"/>
        <v>1200</v>
      </c>
    </row>
    <row r="71" spans="1:22">
      <c r="A71" s="4"/>
      <c r="B71" s="5" t="s">
        <v>844</v>
      </c>
      <c r="C71" s="4" t="s">
        <v>36</v>
      </c>
      <c r="D71" s="6">
        <v>6</v>
      </c>
      <c r="E71" s="6">
        <f t="shared" si="113"/>
        <v>0</v>
      </c>
      <c r="F71" s="6">
        <f t="shared" si="114"/>
        <v>0</v>
      </c>
      <c r="G71" s="6">
        <f t="shared" si="115"/>
        <v>17.234999999999999</v>
      </c>
      <c r="H71" s="6">
        <f t="shared" si="116"/>
        <v>103.41</v>
      </c>
      <c r="I71" s="6">
        <f t="shared" si="117"/>
        <v>17.234999999999999</v>
      </c>
      <c r="J71" s="6">
        <f t="shared" si="118"/>
        <v>103.41</v>
      </c>
      <c r="L71" s="169">
        <f t="shared" si="108"/>
        <v>103.41</v>
      </c>
      <c r="M71" s="169"/>
      <c r="N71" s="75"/>
      <c r="O71" s="76">
        <f t="shared" si="119"/>
        <v>1.149</v>
      </c>
      <c r="P71" s="77">
        <f t="shared" si="120"/>
        <v>0</v>
      </c>
      <c r="Q71" s="78">
        <f t="shared" si="9"/>
        <v>0</v>
      </c>
      <c r="R71" s="78"/>
      <c r="S71" s="79">
        <v>15</v>
      </c>
      <c r="T71" s="80">
        <f t="shared" si="121"/>
        <v>1.149</v>
      </c>
      <c r="U71" s="79">
        <f t="shared" si="122"/>
        <v>17.234999999999999</v>
      </c>
      <c r="V71">
        <f t="shared" si="12"/>
        <v>90</v>
      </c>
    </row>
    <row r="72" spans="1:22">
      <c r="A72" s="4"/>
      <c r="B72" s="5" t="s">
        <v>845</v>
      </c>
      <c r="C72" s="4" t="s">
        <v>36</v>
      </c>
      <c r="D72" s="6">
        <v>60</v>
      </c>
      <c r="E72" s="6">
        <f t="shared" si="113"/>
        <v>0</v>
      </c>
      <c r="F72" s="6">
        <f t="shared" si="114"/>
        <v>0</v>
      </c>
      <c r="G72" s="6">
        <f t="shared" si="115"/>
        <v>22.98</v>
      </c>
      <c r="H72" s="6">
        <f t="shared" si="116"/>
        <v>1378.8</v>
      </c>
      <c r="I72" s="6">
        <f t="shared" si="117"/>
        <v>22.98</v>
      </c>
      <c r="J72" s="6">
        <f t="shared" si="118"/>
        <v>1378.8</v>
      </c>
      <c r="L72" s="169">
        <f t="shared" si="108"/>
        <v>1378.8</v>
      </c>
      <c r="M72" s="169"/>
      <c r="N72" s="75"/>
      <c r="O72" s="76">
        <f t="shared" si="119"/>
        <v>1.149</v>
      </c>
      <c r="P72" s="77">
        <f t="shared" si="120"/>
        <v>0</v>
      </c>
      <c r="Q72" s="78">
        <f t="shared" si="9"/>
        <v>0</v>
      </c>
      <c r="R72" s="78"/>
      <c r="S72" s="79">
        <v>20</v>
      </c>
      <c r="T72" s="80">
        <f t="shared" si="121"/>
        <v>1.149</v>
      </c>
      <c r="U72" s="79">
        <f t="shared" si="122"/>
        <v>22.98</v>
      </c>
      <c r="V72">
        <f t="shared" si="12"/>
        <v>1200</v>
      </c>
    </row>
    <row r="73" spans="1:22">
      <c r="A73" s="4"/>
      <c r="B73" s="5" t="s">
        <v>846</v>
      </c>
      <c r="C73" s="4" t="s">
        <v>36</v>
      </c>
      <c r="D73" s="6">
        <v>10</v>
      </c>
      <c r="E73" s="6">
        <f t="shared" si="113"/>
        <v>0</v>
      </c>
      <c r="F73" s="6">
        <f t="shared" si="114"/>
        <v>0</v>
      </c>
      <c r="G73" s="6">
        <f t="shared" si="115"/>
        <v>28.725000000000001</v>
      </c>
      <c r="H73" s="6">
        <f t="shared" si="116"/>
        <v>287.25</v>
      </c>
      <c r="I73" s="6">
        <f t="shared" si="117"/>
        <v>28.725000000000001</v>
      </c>
      <c r="J73" s="6">
        <f t="shared" si="118"/>
        <v>287.25</v>
      </c>
      <c r="L73" s="169">
        <f t="shared" si="108"/>
        <v>287.25</v>
      </c>
      <c r="M73" s="169"/>
      <c r="N73" s="75"/>
      <c r="O73" s="76">
        <f t="shared" si="119"/>
        <v>1.149</v>
      </c>
      <c r="P73" s="77">
        <f t="shared" si="120"/>
        <v>0</v>
      </c>
      <c r="Q73" s="78">
        <f t="shared" ref="Q73:Q136" si="123">SUM(N73*D73)</f>
        <v>0</v>
      </c>
      <c r="R73" s="78"/>
      <c r="S73" s="79">
        <v>25</v>
      </c>
      <c r="T73" s="80">
        <f t="shared" si="121"/>
        <v>1.149</v>
      </c>
      <c r="U73" s="79">
        <f t="shared" si="122"/>
        <v>28.725000000000001</v>
      </c>
      <c r="V73">
        <f t="shared" ref="V73:V136" si="124">SUM(S73*D73)</f>
        <v>250</v>
      </c>
    </row>
    <row r="74" spans="1:22">
      <c r="A74" s="4"/>
      <c r="B74" s="5" t="s">
        <v>847</v>
      </c>
      <c r="C74" s="4" t="s">
        <v>36</v>
      </c>
      <c r="D74" s="6">
        <v>8</v>
      </c>
      <c r="E74" s="6">
        <f t="shared" si="113"/>
        <v>0</v>
      </c>
      <c r="F74" s="6">
        <f t="shared" si="114"/>
        <v>0</v>
      </c>
      <c r="G74" s="6">
        <f t="shared" si="115"/>
        <v>32.171999999999997</v>
      </c>
      <c r="H74" s="6">
        <f t="shared" si="116"/>
        <v>257.37599999999998</v>
      </c>
      <c r="I74" s="6">
        <f t="shared" si="117"/>
        <v>32.171999999999997</v>
      </c>
      <c r="J74" s="6">
        <f t="shared" si="118"/>
        <v>257.37599999999998</v>
      </c>
      <c r="L74" s="169">
        <f t="shared" si="108"/>
        <v>257.37599999999998</v>
      </c>
      <c r="M74" s="169"/>
      <c r="N74" s="75"/>
      <c r="O74" s="76">
        <f t="shared" si="119"/>
        <v>1.149</v>
      </c>
      <c r="P74" s="77">
        <f t="shared" si="120"/>
        <v>0</v>
      </c>
      <c r="Q74" s="78">
        <f t="shared" si="123"/>
        <v>0</v>
      </c>
      <c r="R74" s="78"/>
      <c r="S74" s="79">
        <v>28</v>
      </c>
      <c r="T74" s="80">
        <f t="shared" si="121"/>
        <v>1.149</v>
      </c>
      <c r="U74" s="79">
        <f t="shared" si="122"/>
        <v>32.171999999999997</v>
      </c>
      <c r="V74">
        <f t="shared" si="124"/>
        <v>224</v>
      </c>
    </row>
    <row r="75" spans="1:22">
      <c r="A75" s="4"/>
      <c r="B75" s="5" t="s">
        <v>848</v>
      </c>
      <c r="C75" s="4" t="s">
        <v>36</v>
      </c>
      <c r="D75" s="6">
        <v>2</v>
      </c>
      <c r="E75" s="6">
        <f t="shared" si="113"/>
        <v>0</v>
      </c>
      <c r="F75" s="6">
        <f t="shared" si="114"/>
        <v>0</v>
      </c>
      <c r="G75" s="6">
        <f t="shared" si="115"/>
        <v>36.768000000000001</v>
      </c>
      <c r="H75" s="6">
        <f t="shared" si="116"/>
        <v>73.536000000000001</v>
      </c>
      <c r="I75" s="6">
        <f t="shared" si="117"/>
        <v>36.768000000000001</v>
      </c>
      <c r="J75" s="6">
        <f t="shared" si="118"/>
        <v>73.536000000000001</v>
      </c>
      <c r="L75" s="169">
        <f t="shared" si="108"/>
        <v>73.536000000000001</v>
      </c>
      <c r="M75" s="169"/>
      <c r="N75" s="75"/>
      <c r="O75" s="76">
        <f t="shared" si="119"/>
        <v>1.149</v>
      </c>
      <c r="P75" s="77">
        <f t="shared" si="120"/>
        <v>0</v>
      </c>
      <c r="Q75" s="78">
        <f t="shared" si="123"/>
        <v>0</v>
      </c>
      <c r="R75" s="78"/>
      <c r="S75" s="79">
        <v>32</v>
      </c>
      <c r="T75" s="80">
        <f t="shared" si="121"/>
        <v>1.149</v>
      </c>
      <c r="U75" s="79">
        <f t="shared" si="122"/>
        <v>36.768000000000001</v>
      </c>
      <c r="V75">
        <f t="shared" si="124"/>
        <v>64</v>
      </c>
    </row>
    <row r="76" spans="1:22">
      <c r="A76" s="4"/>
      <c r="B76" s="5" t="s">
        <v>849</v>
      </c>
      <c r="C76" s="4" t="s">
        <v>36</v>
      </c>
      <c r="D76" s="6">
        <v>6</v>
      </c>
      <c r="E76" s="6">
        <f t="shared" si="113"/>
        <v>0</v>
      </c>
      <c r="F76" s="6">
        <f t="shared" si="114"/>
        <v>0</v>
      </c>
      <c r="G76" s="6">
        <f t="shared" si="115"/>
        <v>57.45</v>
      </c>
      <c r="H76" s="6">
        <f t="shared" si="116"/>
        <v>344.70000000000005</v>
      </c>
      <c r="I76" s="6">
        <f t="shared" si="117"/>
        <v>57.45</v>
      </c>
      <c r="J76" s="6">
        <f t="shared" si="118"/>
        <v>344.70000000000005</v>
      </c>
      <c r="L76" s="169">
        <f t="shared" si="108"/>
        <v>344.70000000000005</v>
      </c>
      <c r="M76" s="169"/>
      <c r="N76" s="75"/>
      <c r="O76" s="76">
        <f t="shared" si="119"/>
        <v>1.149</v>
      </c>
      <c r="P76" s="77">
        <f t="shared" si="120"/>
        <v>0</v>
      </c>
      <c r="Q76" s="78">
        <f t="shared" si="123"/>
        <v>0</v>
      </c>
      <c r="R76" s="78"/>
      <c r="S76" s="79">
        <v>50</v>
      </c>
      <c r="T76" s="80">
        <f t="shared" si="121"/>
        <v>1.149</v>
      </c>
      <c r="U76" s="79">
        <f t="shared" si="122"/>
        <v>57.45</v>
      </c>
      <c r="V76">
        <f t="shared" si="124"/>
        <v>300</v>
      </c>
    </row>
    <row r="77" spans="1:22">
      <c r="A77" s="13"/>
      <c r="B77" s="14" t="s">
        <v>226</v>
      </c>
      <c r="C77" s="13" t="s">
        <v>26</v>
      </c>
      <c r="D77" s="15"/>
      <c r="E77" s="15"/>
      <c r="F77" s="15">
        <f>SUM(F57:F76)</f>
        <v>6543.2072763157894</v>
      </c>
      <c r="G77" s="15"/>
      <c r="H77" s="15">
        <f>SUM(H57:H76)</f>
        <v>10097.412</v>
      </c>
      <c r="I77" s="15"/>
      <c r="J77" s="15">
        <f>SUM(J57:J76)</f>
        <v>16640.619276315792</v>
      </c>
      <c r="Q77" s="78">
        <f t="shared" si="123"/>
        <v>0</v>
      </c>
      <c r="V77">
        <f t="shared" si="124"/>
        <v>0</v>
      </c>
    </row>
    <row r="78" spans="1:22">
      <c r="A78" s="4"/>
      <c r="B78" s="5" t="s">
        <v>26</v>
      </c>
      <c r="C78" s="4" t="s">
        <v>26</v>
      </c>
      <c r="D78" s="23"/>
      <c r="E78" s="23"/>
      <c r="F78" s="23"/>
      <c r="G78" s="23"/>
      <c r="H78" s="23"/>
      <c r="I78" s="23"/>
      <c r="J78" s="23"/>
      <c r="Q78" s="78">
        <f t="shared" si="123"/>
        <v>0</v>
      </c>
      <c r="V78">
        <f t="shared" si="124"/>
        <v>0</v>
      </c>
    </row>
    <row r="79" spans="1:22">
      <c r="A79" s="13"/>
      <c r="B79" s="14" t="s">
        <v>850</v>
      </c>
      <c r="C79" s="13" t="s">
        <v>26</v>
      </c>
      <c r="D79" s="15"/>
      <c r="E79" s="15"/>
      <c r="F79" s="15"/>
      <c r="G79" s="15"/>
      <c r="H79" s="15"/>
      <c r="I79" s="15"/>
      <c r="J79" s="15"/>
      <c r="Q79" s="78">
        <f t="shared" si="123"/>
        <v>0</v>
      </c>
      <c r="V79">
        <f t="shared" si="124"/>
        <v>0</v>
      </c>
    </row>
    <row r="80" spans="1:22">
      <c r="A80" s="19"/>
      <c r="B80" s="20" t="s">
        <v>268</v>
      </c>
      <c r="C80" s="19" t="s">
        <v>26</v>
      </c>
      <c r="D80" s="21"/>
      <c r="E80" s="21"/>
      <c r="F80" s="21"/>
      <c r="G80" s="21"/>
      <c r="H80" s="21"/>
      <c r="I80" s="21"/>
      <c r="J80" s="21"/>
      <c r="Q80" s="78">
        <f t="shared" si="123"/>
        <v>0</v>
      </c>
      <c r="V80">
        <f t="shared" si="124"/>
        <v>0</v>
      </c>
    </row>
    <row r="81" spans="1:22">
      <c r="A81" s="4"/>
      <c r="B81" s="5" t="s">
        <v>269</v>
      </c>
      <c r="C81" s="4" t="s">
        <v>188</v>
      </c>
      <c r="D81" s="6">
        <v>550</v>
      </c>
      <c r="E81" s="6">
        <f t="shared" ref="E81:E82" si="125">SUM(P81)</f>
        <v>36.489821052631584</v>
      </c>
      <c r="F81" s="6">
        <f t="shared" ref="F81:F82" si="126">D81*E81</f>
        <v>20069.401578947371</v>
      </c>
      <c r="G81" s="6">
        <f t="shared" ref="G81:G82" si="127">SUM(U81)</f>
        <v>74.685000000000002</v>
      </c>
      <c r="H81" s="6">
        <f t="shared" ref="H81:H82" si="128">D81*G81</f>
        <v>41076.75</v>
      </c>
      <c r="I81" s="6">
        <f t="shared" ref="I81:I82" si="129">E81+G81</f>
        <v>111.17482105263159</v>
      </c>
      <c r="J81" s="6">
        <f t="shared" ref="J81:J82" si="130">F81+H81</f>
        <v>61146.151578947371</v>
      </c>
      <c r="N81" s="75">
        <v>31.757894736842108</v>
      </c>
      <c r="O81" s="76">
        <f t="shared" ref="O81:O82" si="131">$O$1</f>
        <v>1.149</v>
      </c>
      <c r="P81" s="77">
        <f t="shared" ref="P81:P82" si="132">SUM(O81*N81)</f>
        <v>36.489821052631584</v>
      </c>
      <c r="Q81" s="78">
        <f t="shared" si="123"/>
        <v>17466.84210526316</v>
      </c>
      <c r="R81" s="78"/>
      <c r="S81" s="79">
        <v>65</v>
      </c>
      <c r="T81" s="80">
        <f t="shared" ref="T81:T82" si="133">$T$1</f>
        <v>1.149</v>
      </c>
      <c r="U81" s="79">
        <f t="shared" ref="U81:U82" si="134">SUM(T81*S81)</f>
        <v>74.685000000000002</v>
      </c>
      <c r="V81">
        <f t="shared" si="124"/>
        <v>35750</v>
      </c>
    </row>
    <row r="82" spans="1:22">
      <c r="A82" s="4"/>
      <c r="B82" s="5" t="s">
        <v>851</v>
      </c>
      <c r="C82" s="4" t="s">
        <v>188</v>
      </c>
      <c r="D82" s="6">
        <v>10</v>
      </c>
      <c r="E82" s="6">
        <f t="shared" si="125"/>
        <v>0</v>
      </c>
      <c r="F82" s="6">
        <f t="shared" si="126"/>
        <v>0</v>
      </c>
      <c r="G82" s="6">
        <f t="shared" si="127"/>
        <v>40.215000000000003</v>
      </c>
      <c r="H82" s="6">
        <f t="shared" si="128"/>
        <v>402.15000000000003</v>
      </c>
      <c r="I82" s="6">
        <f t="shared" si="129"/>
        <v>40.215000000000003</v>
      </c>
      <c r="J82" s="6">
        <f t="shared" si="130"/>
        <v>402.15000000000003</v>
      </c>
      <c r="N82" s="75"/>
      <c r="O82" s="76">
        <f t="shared" si="131"/>
        <v>1.149</v>
      </c>
      <c r="P82" s="77">
        <f t="shared" si="132"/>
        <v>0</v>
      </c>
      <c r="Q82" s="78">
        <f t="shared" si="123"/>
        <v>0</v>
      </c>
      <c r="R82" s="78"/>
      <c r="S82" s="79">
        <v>35</v>
      </c>
      <c r="T82" s="80">
        <f t="shared" si="133"/>
        <v>1.149</v>
      </c>
      <c r="U82" s="79">
        <f t="shared" si="134"/>
        <v>40.215000000000003</v>
      </c>
      <c r="V82">
        <f t="shared" si="124"/>
        <v>350</v>
      </c>
    </row>
    <row r="83" spans="1:22">
      <c r="A83" s="19"/>
      <c r="B83" s="20" t="s">
        <v>274</v>
      </c>
      <c r="C83" s="19" t="s">
        <v>26</v>
      </c>
      <c r="D83" s="21"/>
      <c r="E83" s="21"/>
      <c r="F83" s="21"/>
      <c r="G83" s="21"/>
      <c r="H83" s="21"/>
      <c r="I83" s="21"/>
      <c r="J83" s="21"/>
      <c r="Q83" s="78">
        <f t="shared" si="123"/>
        <v>0</v>
      </c>
      <c r="V83">
        <f t="shared" si="124"/>
        <v>0</v>
      </c>
    </row>
    <row r="84" spans="1:22">
      <c r="A84" s="19"/>
      <c r="B84" s="20" t="s">
        <v>275</v>
      </c>
      <c r="C84" s="19" t="s">
        <v>26</v>
      </c>
      <c r="D84" s="21"/>
      <c r="E84" s="21"/>
      <c r="F84" s="21"/>
      <c r="G84" s="21"/>
      <c r="H84" s="21"/>
      <c r="I84" s="21"/>
      <c r="J84" s="21"/>
      <c r="Q84" s="78">
        <f t="shared" si="123"/>
        <v>0</v>
      </c>
      <c r="V84">
        <f t="shared" si="124"/>
        <v>0</v>
      </c>
    </row>
    <row r="85" spans="1:22">
      <c r="A85" s="4"/>
      <c r="B85" s="5" t="s">
        <v>276</v>
      </c>
      <c r="C85" s="4" t="s">
        <v>188</v>
      </c>
      <c r="D85" s="6">
        <v>50</v>
      </c>
      <c r="E85" s="6">
        <f>SUM(P85)</f>
        <v>36.768000000000001</v>
      </c>
      <c r="F85" s="6">
        <f>D85*E85</f>
        <v>1838.4</v>
      </c>
      <c r="G85" s="6">
        <f>SUM(U85)</f>
        <v>74.685000000000002</v>
      </c>
      <c r="H85" s="6">
        <f>D85*G85</f>
        <v>3734.25</v>
      </c>
      <c r="I85" s="6">
        <f t="shared" ref="I85" si="135">E85+G85</f>
        <v>111.453</v>
      </c>
      <c r="J85" s="6">
        <f t="shared" ref="J85" si="136">F85+H85</f>
        <v>5572.65</v>
      </c>
      <c r="N85" s="75">
        <v>32</v>
      </c>
      <c r="O85" s="76">
        <f>$O$1</f>
        <v>1.149</v>
      </c>
      <c r="P85" s="77">
        <f>SUM(O85*N85)</f>
        <v>36.768000000000001</v>
      </c>
      <c r="Q85" s="78">
        <f t="shared" si="123"/>
        <v>1600</v>
      </c>
      <c r="R85" s="78"/>
      <c r="S85" s="79">
        <v>65</v>
      </c>
      <c r="T85" s="80">
        <f>$T$1</f>
        <v>1.149</v>
      </c>
      <c r="U85" s="79">
        <f>SUM(T85*S85)</f>
        <v>74.685000000000002</v>
      </c>
      <c r="V85">
        <f t="shared" si="124"/>
        <v>3250</v>
      </c>
    </row>
    <row r="86" spans="1:22">
      <c r="A86" s="19"/>
      <c r="B86" s="20" t="s">
        <v>275</v>
      </c>
      <c r="C86" s="19" t="s">
        <v>26</v>
      </c>
      <c r="D86" s="21"/>
      <c r="E86" s="21"/>
      <c r="F86" s="21"/>
      <c r="G86" s="21"/>
      <c r="H86" s="21"/>
      <c r="I86" s="21"/>
      <c r="J86" s="21"/>
      <c r="Q86" s="78">
        <f t="shared" si="123"/>
        <v>0</v>
      </c>
      <c r="V86">
        <f t="shared" si="124"/>
        <v>0</v>
      </c>
    </row>
    <row r="87" spans="1:22">
      <c r="A87" s="4"/>
      <c r="B87" s="5" t="s">
        <v>277</v>
      </c>
      <c r="C87" s="4" t="s">
        <v>188</v>
      </c>
      <c r="D87" s="6">
        <v>20</v>
      </c>
      <c r="E87" s="6">
        <f>SUM(P87)</f>
        <v>34.47</v>
      </c>
      <c r="F87" s="6">
        <f>D87*E87</f>
        <v>689.4</v>
      </c>
      <c r="G87" s="6">
        <f>SUM(U87)</f>
        <v>40.215000000000003</v>
      </c>
      <c r="H87" s="6">
        <f>D87*G87</f>
        <v>804.30000000000007</v>
      </c>
      <c r="I87" s="6">
        <f t="shared" ref="I87" si="137">E87+G87</f>
        <v>74.685000000000002</v>
      </c>
      <c r="J87" s="6">
        <f t="shared" ref="J87" si="138">F87+H87</f>
        <v>1493.7</v>
      </c>
      <c r="N87" s="75">
        <v>30</v>
      </c>
      <c r="O87" s="76">
        <f>$O$1</f>
        <v>1.149</v>
      </c>
      <c r="P87" s="77">
        <f>SUM(O87*N87)</f>
        <v>34.47</v>
      </c>
      <c r="Q87" s="78">
        <f t="shared" si="123"/>
        <v>600</v>
      </c>
      <c r="R87" s="78"/>
      <c r="S87" s="79">
        <v>35</v>
      </c>
      <c r="T87" s="80">
        <f>$T$1</f>
        <v>1.149</v>
      </c>
      <c r="U87" s="79">
        <f>SUM(T87*S87)</f>
        <v>40.215000000000003</v>
      </c>
      <c r="V87">
        <f t="shared" si="124"/>
        <v>700</v>
      </c>
    </row>
    <row r="88" spans="1:22">
      <c r="A88" s="19"/>
      <c r="B88" s="20" t="s">
        <v>284</v>
      </c>
      <c r="C88" s="19" t="s">
        <v>26</v>
      </c>
      <c r="D88" s="21"/>
      <c r="E88" s="21"/>
      <c r="F88" s="21"/>
      <c r="G88" s="21"/>
      <c r="H88" s="21"/>
      <c r="I88" s="21"/>
      <c r="J88" s="21"/>
      <c r="Q88" s="78">
        <f t="shared" si="123"/>
        <v>0</v>
      </c>
      <c r="V88">
        <f t="shared" si="124"/>
        <v>0</v>
      </c>
    </row>
    <row r="89" spans="1:22">
      <c r="A89" s="4"/>
      <c r="B89" s="5" t="s">
        <v>290</v>
      </c>
      <c r="C89" s="4" t="s">
        <v>36</v>
      </c>
      <c r="D89" s="6">
        <v>20</v>
      </c>
      <c r="E89" s="6">
        <f t="shared" ref="E89:E92" si="139">SUM(P89)</f>
        <v>24.745831578947371</v>
      </c>
      <c r="F89" s="6">
        <f t="shared" ref="F89:F92" si="140">D89*E89</f>
        <v>494.91663157894743</v>
      </c>
      <c r="G89" s="6">
        <f t="shared" ref="G89:G92" si="141">SUM(U89)</f>
        <v>63.195</v>
      </c>
      <c r="H89" s="6">
        <f t="shared" ref="H89:H92" si="142">D89*G89</f>
        <v>1263.9000000000001</v>
      </c>
      <c r="I89" s="6">
        <f t="shared" ref="I89:I92" si="143">E89+G89</f>
        <v>87.940831578947368</v>
      </c>
      <c r="J89" s="6">
        <f t="shared" ref="J89:J92" si="144">F89+H89</f>
        <v>1758.8166315789476</v>
      </c>
      <c r="N89" s="75">
        <v>21.536842105263158</v>
      </c>
      <c r="O89" s="76">
        <f t="shared" ref="O89:O92" si="145">$O$1</f>
        <v>1.149</v>
      </c>
      <c r="P89" s="77">
        <f t="shared" ref="P89:P92" si="146">SUM(O89*N89)</f>
        <v>24.745831578947371</v>
      </c>
      <c r="Q89" s="78">
        <f t="shared" si="123"/>
        <v>430.73684210526318</v>
      </c>
      <c r="R89" s="78"/>
      <c r="S89" s="79">
        <v>55</v>
      </c>
      <c r="T89" s="80">
        <f t="shared" ref="T89:T92" si="147">$T$1</f>
        <v>1.149</v>
      </c>
      <c r="U89" s="79">
        <f t="shared" ref="U89:U92" si="148">SUM(T89*S89)</f>
        <v>63.195</v>
      </c>
      <c r="V89">
        <f t="shared" si="124"/>
        <v>1100</v>
      </c>
    </row>
    <row r="90" spans="1:22">
      <c r="A90" s="4"/>
      <c r="B90" s="5" t="s">
        <v>288</v>
      </c>
      <c r="C90" s="4" t="s">
        <v>36</v>
      </c>
      <c r="D90" s="6">
        <v>10</v>
      </c>
      <c r="E90" s="6">
        <f t="shared" si="139"/>
        <v>11.913315789473684</v>
      </c>
      <c r="F90" s="6">
        <f t="shared" si="140"/>
        <v>119.13315789473684</v>
      </c>
      <c r="G90" s="6">
        <f t="shared" si="141"/>
        <v>63.195</v>
      </c>
      <c r="H90" s="6">
        <f t="shared" si="142"/>
        <v>631.95000000000005</v>
      </c>
      <c r="I90" s="6">
        <f t="shared" si="143"/>
        <v>75.108315789473679</v>
      </c>
      <c r="J90" s="6">
        <f t="shared" si="144"/>
        <v>751.08315789473693</v>
      </c>
      <c r="N90" s="75">
        <v>10.368421052631579</v>
      </c>
      <c r="O90" s="76">
        <f t="shared" si="145"/>
        <v>1.149</v>
      </c>
      <c r="P90" s="77">
        <f t="shared" si="146"/>
        <v>11.913315789473684</v>
      </c>
      <c r="Q90" s="78">
        <f t="shared" si="123"/>
        <v>103.68421052631578</v>
      </c>
      <c r="R90" s="78"/>
      <c r="S90" s="79">
        <v>55</v>
      </c>
      <c r="T90" s="80">
        <f t="shared" si="147"/>
        <v>1.149</v>
      </c>
      <c r="U90" s="79">
        <f t="shared" si="148"/>
        <v>63.195</v>
      </c>
      <c r="V90">
        <f t="shared" si="124"/>
        <v>550</v>
      </c>
    </row>
    <row r="91" spans="1:22">
      <c r="A91" s="4"/>
      <c r="B91" s="5" t="s">
        <v>289</v>
      </c>
      <c r="C91" s="4" t="s">
        <v>36</v>
      </c>
      <c r="D91" s="6">
        <v>7</v>
      </c>
      <c r="E91" s="6">
        <f t="shared" si="139"/>
        <v>14.840242105263158</v>
      </c>
      <c r="F91" s="6">
        <f t="shared" si="140"/>
        <v>103.88169473684211</v>
      </c>
      <c r="G91" s="6">
        <f t="shared" si="141"/>
        <v>63.195</v>
      </c>
      <c r="H91" s="6">
        <f t="shared" si="142"/>
        <v>442.36500000000001</v>
      </c>
      <c r="I91" s="6">
        <f t="shared" si="143"/>
        <v>78.035242105263166</v>
      </c>
      <c r="J91" s="6">
        <f t="shared" si="144"/>
        <v>546.24669473684207</v>
      </c>
      <c r="N91" s="75">
        <v>12.91578947368421</v>
      </c>
      <c r="O91" s="76">
        <f t="shared" si="145"/>
        <v>1.149</v>
      </c>
      <c r="P91" s="77">
        <f t="shared" si="146"/>
        <v>14.840242105263158</v>
      </c>
      <c r="Q91" s="78">
        <f t="shared" si="123"/>
        <v>90.410526315789468</v>
      </c>
      <c r="R91" s="78"/>
      <c r="S91" s="79">
        <v>55</v>
      </c>
      <c r="T91" s="80">
        <f t="shared" si="147"/>
        <v>1.149</v>
      </c>
      <c r="U91" s="79">
        <f t="shared" si="148"/>
        <v>63.195</v>
      </c>
      <c r="V91">
        <f t="shared" si="124"/>
        <v>385</v>
      </c>
    </row>
    <row r="92" spans="1:22">
      <c r="A92" s="4"/>
      <c r="B92" s="5" t="s">
        <v>292</v>
      </c>
      <c r="C92" s="4" t="s">
        <v>36</v>
      </c>
      <c r="D92" s="6">
        <v>7</v>
      </c>
      <c r="E92" s="6">
        <f t="shared" si="139"/>
        <v>12.638999999999999</v>
      </c>
      <c r="F92" s="6">
        <f t="shared" si="140"/>
        <v>88.472999999999999</v>
      </c>
      <c r="G92" s="6">
        <f t="shared" si="141"/>
        <v>17.234999999999999</v>
      </c>
      <c r="H92" s="6">
        <f t="shared" si="142"/>
        <v>120.645</v>
      </c>
      <c r="I92" s="6">
        <f t="shared" si="143"/>
        <v>29.873999999999999</v>
      </c>
      <c r="J92" s="6">
        <f t="shared" si="144"/>
        <v>209.11799999999999</v>
      </c>
      <c r="N92" s="75">
        <v>11</v>
      </c>
      <c r="O92" s="76">
        <f t="shared" si="145"/>
        <v>1.149</v>
      </c>
      <c r="P92" s="77">
        <f t="shared" si="146"/>
        <v>12.638999999999999</v>
      </c>
      <c r="Q92" s="78">
        <f t="shared" si="123"/>
        <v>77</v>
      </c>
      <c r="R92" s="78"/>
      <c r="S92" s="79">
        <v>15</v>
      </c>
      <c r="T92" s="80">
        <f t="shared" si="147"/>
        <v>1.149</v>
      </c>
      <c r="U92" s="79">
        <f t="shared" si="148"/>
        <v>17.234999999999999</v>
      </c>
      <c r="V92">
        <f t="shared" si="124"/>
        <v>105</v>
      </c>
    </row>
    <row r="93" spans="1:22">
      <c r="A93" s="19"/>
      <c r="B93" s="20" t="s">
        <v>294</v>
      </c>
      <c r="C93" s="19" t="s">
        <v>26</v>
      </c>
      <c r="D93" s="21"/>
      <c r="E93" s="21"/>
      <c r="F93" s="21"/>
      <c r="G93" s="21"/>
      <c r="H93" s="21"/>
      <c r="I93" s="21"/>
      <c r="J93" s="21"/>
      <c r="Q93" s="78">
        <f t="shared" si="123"/>
        <v>0</v>
      </c>
      <c r="V93">
        <f t="shared" si="124"/>
        <v>0</v>
      </c>
    </row>
    <row r="94" spans="1:22">
      <c r="A94" s="4"/>
      <c r="B94" s="5" t="s">
        <v>852</v>
      </c>
      <c r="C94" s="4" t="s">
        <v>36</v>
      </c>
      <c r="D94" s="6">
        <v>40</v>
      </c>
      <c r="E94" s="6">
        <f>SUM(P94)</f>
        <v>0</v>
      </c>
      <c r="F94" s="6">
        <f>D94*E94</f>
        <v>0</v>
      </c>
      <c r="G94" s="6">
        <f>SUM(U94)</f>
        <v>172.35</v>
      </c>
      <c r="H94" s="6">
        <f>D94*G94</f>
        <v>6894</v>
      </c>
      <c r="I94" s="6">
        <f t="shared" ref="I94" si="149">E94+G94</f>
        <v>172.35</v>
      </c>
      <c r="J94" s="6">
        <f t="shared" ref="J94" si="150">F94+H94</f>
        <v>6894</v>
      </c>
      <c r="N94" s="75"/>
      <c r="O94" s="76">
        <f>$O$1</f>
        <v>1.149</v>
      </c>
      <c r="P94" s="77">
        <f>SUM(O94*N94)</f>
        <v>0</v>
      </c>
      <c r="Q94" s="78">
        <f t="shared" si="123"/>
        <v>0</v>
      </c>
      <c r="R94" s="78"/>
      <c r="S94" s="79">
        <v>150</v>
      </c>
      <c r="T94" s="80">
        <f>$T$1</f>
        <v>1.149</v>
      </c>
      <c r="U94" s="79">
        <f>SUM(T94*S94)</f>
        <v>172.35</v>
      </c>
      <c r="V94">
        <f t="shared" si="124"/>
        <v>6000</v>
      </c>
    </row>
    <row r="95" spans="1:22">
      <c r="A95" s="19"/>
      <c r="B95" s="20" t="s">
        <v>853</v>
      </c>
      <c r="C95" s="19" t="s">
        <v>26</v>
      </c>
      <c r="D95" s="21"/>
      <c r="E95" s="21"/>
      <c r="F95" s="21"/>
      <c r="G95" s="21"/>
      <c r="H95" s="21"/>
      <c r="I95" s="21"/>
      <c r="J95" s="21"/>
      <c r="Q95" s="78">
        <f t="shared" si="123"/>
        <v>0</v>
      </c>
      <c r="V95">
        <f t="shared" si="124"/>
        <v>0</v>
      </c>
    </row>
    <row r="96" spans="1:22">
      <c r="A96" s="4"/>
      <c r="B96" s="5" t="s">
        <v>854</v>
      </c>
      <c r="C96" s="4" t="s">
        <v>36</v>
      </c>
      <c r="D96" s="6">
        <v>1</v>
      </c>
      <c r="E96" s="6">
        <f>SUM(P96)</f>
        <v>0</v>
      </c>
      <c r="F96" s="6">
        <f>D96*E96</f>
        <v>0</v>
      </c>
      <c r="G96" s="6">
        <f>SUM(U96)</f>
        <v>4136.3999999999996</v>
      </c>
      <c r="H96" s="6">
        <f>D96*G96</f>
        <v>4136.3999999999996</v>
      </c>
      <c r="I96" s="6">
        <f t="shared" ref="I96" si="151">E96+G96</f>
        <v>4136.3999999999996</v>
      </c>
      <c r="J96" s="6">
        <f t="shared" ref="J96" si="152">F96+H96</f>
        <v>4136.3999999999996</v>
      </c>
      <c r="N96" s="75"/>
      <c r="O96" s="76">
        <f>$O$1</f>
        <v>1.149</v>
      </c>
      <c r="P96" s="77">
        <f>SUM(O96*N96)</f>
        <v>0</v>
      </c>
      <c r="Q96" s="78">
        <f t="shared" si="123"/>
        <v>0</v>
      </c>
      <c r="R96" s="78"/>
      <c r="S96" s="79">
        <v>3600</v>
      </c>
      <c r="T96" s="80">
        <f>$T$1</f>
        <v>1.149</v>
      </c>
      <c r="U96" s="79">
        <f>SUM(T96*S96)</f>
        <v>4136.3999999999996</v>
      </c>
      <c r="V96">
        <f t="shared" si="124"/>
        <v>3600</v>
      </c>
    </row>
    <row r="97" spans="1:22">
      <c r="A97" s="13"/>
      <c r="B97" s="14" t="s">
        <v>855</v>
      </c>
      <c r="C97" s="13" t="s">
        <v>26</v>
      </c>
      <c r="D97" s="15"/>
      <c r="E97" s="15"/>
      <c r="F97" s="15">
        <f>SUM(F80:F96)</f>
        <v>23403.606063157902</v>
      </c>
      <c r="G97" s="15"/>
      <c r="H97" s="15">
        <f>SUM(H80:H96)</f>
        <v>59506.71</v>
      </c>
      <c r="I97" s="15"/>
      <c r="J97" s="15">
        <f>SUM(J80:J96)</f>
        <v>82910.316063157879</v>
      </c>
      <c r="Q97" s="78">
        <f t="shared" si="123"/>
        <v>0</v>
      </c>
      <c r="V97">
        <f t="shared" si="124"/>
        <v>0</v>
      </c>
    </row>
    <row r="98" spans="1:22">
      <c r="A98" s="4"/>
      <c r="B98" s="5" t="s">
        <v>26</v>
      </c>
      <c r="C98" s="4" t="s">
        <v>26</v>
      </c>
      <c r="D98" s="6"/>
      <c r="E98" s="6"/>
      <c r="F98" s="6"/>
      <c r="G98" s="6"/>
      <c r="H98" s="6"/>
      <c r="I98" s="6"/>
      <c r="J98" s="6"/>
      <c r="Q98" s="78">
        <f t="shared" si="123"/>
        <v>0</v>
      </c>
      <c r="V98">
        <f t="shared" si="124"/>
        <v>0</v>
      </c>
    </row>
    <row r="99" spans="1:22">
      <c r="A99" s="13"/>
      <c r="B99" s="14" t="s">
        <v>326</v>
      </c>
      <c r="C99" s="13" t="s">
        <v>26</v>
      </c>
      <c r="D99" s="15"/>
      <c r="E99" s="15"/>
      <c r="F99" s="15"/>
      <c r="G99" s="15"/>
      <c r="H99" s="15"/>
      <c r="I99" s="15"/>
      <c r="J99" s="15"/>
      <c r="Q99" s="78">
        <f t="shared" si="123"/>
        <v>0</v>
      </c>
      <c r="V99">
        <f t="shared" si="124"/>
        <v>0</v>
      </c>
    </row>
    <row r="100" spans="1:22">
      <c r="A100" s="4"/>
      <c r="B100" s="5" t="s">
        <v>856</v>
      </c>
      <c r="C100" s="4" t="s">
        <v>447</v>
      </c>
      <c r="D100" s="6">
        <v>0.47</v>
      </c>
      <c r="E100" s="6">
        <f t="shared" ref="E100:E107" si="153">SUM(P100)</f>
        <v>0</v>
      </c>
      <c r="F100" s="6">
        <f t="shared" ref="F100:F107" si="154">D100*E100</f>
        <v>0</v>
      </c>
      <c r="G100" s="6">
        <f t="shared" ref="G100:G107" si="155">SUM(U100)</f>
        <v>0</v>
      </c>
      <c r="H100" s="6">
        <f t="shared" ref="H100:H107" si="156">D100*G100</f>
        <v>0</v>
      </c>
      <c r="I100" s="6">
        <f t="shared" ref="I100:I107" si="157">E100+G100</f>
        <v>0</v>
      </c>
      <c r="J100" s="6">
        <f t="shared" ref="J100:J107" si="158">F100+H100</f>
        <v>0</v>
      </c>
      <c r="N100" s="75"/>
      <c r="O100" s="76">
        <f t="shared" ref="O100:O107" si="159">$O$1</f>
        <v>1.149</v>
      </c>
      <c r="P100" s="77">
        <f t="shared" ref="P100:P107" si="160">SUM(O100*N100)</f>
        <v>0</v>
      </c>
      <c r="Q100" s="78">
        <f t="shared" si="123"/>
        <v>0</v>
      </c>
      <c r="R100" s="78"/>
      <c r="S100" s="79"/>
      <c r="T100" s="80">
        <f t="shared" ref="T100:T104" si="161">$T$1</f>
        <v>1.149</v>
      </c>
      <c r="U100" s="79">
        <f t="shared" ref="U100:U107" si="162">SUM(T100*S100)</f>
        <v>0</v>
      </c>
      <c r="V100">
        <f t="shared" si="124"/>
        <v>0</v>
      </c>
    </row>
    <row r="101" spans="1:22">
      <c r="A101" s="4"/>
      <c r="B101" s="63" t="s">
        <v>857</v>
      </c>
      <c r="C101" s="62" t="s">
        <v>858</v>
      </c>
      <c r="D101" s="64">
        <v>15</v>
      </c>
      <c r="E101" s="6">
        <f t="shared" si="153"/>
        <v>0</v>
      </c>
      <c r="F101" s="6">
        <f t="shared" si="154"/>
        <v>0</v>
      </c>
      <c r="G101" s="6">
        <f t="shared" si="155"/>
        <v>0</v>
      </c>
      <c r="H101" s="6">
        <f t="shared" si="156"/>
        <v>0</v>
      </c>
      <c r="I101" s="6">
        <f t="shared" si="157"/>
        <v>0</v>
      </c>
      <c r="J101" s="6">
        <f t="shared" si="158"/>
        <v>0</v>
      </c>
      <c r="N101" s="75"/>
      <c r="O101" s="76">
        <f t="shared" si="159"/>
        <v>1.149</v>
      </c>
      <c r="P101" s="77">
        <f t="shared" si="160"/>
        <v>0</v>
      </c>
      <c r="Q101" s="78">
        <f t="shared" si="123"/>
        <v>0</v>
      </c>
      <c r="R101" s="78"/>
      <c r="S101" s="79"/>
      <c r="T101" s="80">
        <f t="shared" si="161"/>
        <v>1.149</v>
      </c>
      <c r="U101" s="79">
        <f t="shared" si="162"/>
        <v>0</v>
      </c>
      <c r="V101">
        <f t="shared" si="124"/>
        <v>0</v>
      </c>
    </row>
    <row r="102" spans="1:22">
      <c r="A102" s="4"/>
      <c r="B102" s="5" t="s">
        <v>859</v>
      </c>
      <c r="C102" s="4" t="s">
        <v>329</v>
      </c>
      <c r="D102" s="6">
        <v>1</v>
      </c>
      <c r="E102" s="6">
        <f t="shared" si="153"/>
        <v>13788</v>
      </c>
      <c r="F102" s="6">
        <f t="shared" si="154"/>
        <v>13788</v>
      </c>
      <c r="G102" s="6">
        <f t="shared" si="155"/>
        <v>0</v>
      </c>
      <c r="H102" s="6">
        <f t="shared" si="156"/>
        <v>0</v>
      </c>
      <c r="I102" s="6">
        <f t="shared" si="157"/>
        <v>13788</v>
      </c>
      <c r="J102" s="6">
        <f t="shared" si="158"/>
        <v>13788</v>
      </c>
      <c r="N102" s="75">
        <v>12000</v>
      </c>
      <c r="O102" s="76">
        <f t="shared" si="159"/>
        <v>1.149</v>
      </c>
      <c r="P102" s="77">
        <f t="shared" si="160"/>
        <v>13788</v>
      </c>
      <c r="Q102" s="78">
        <f t="shared" si="123"/>
        <v>12000</v>
      </c>
      <c r="R102" s="78"/>
      <c r="S102" s="79"/>
      <c r="T102" s="80">
        <f t="shared" si="161"/>
        <v>1.149</v>
      </c>
      <c r="U102" s="79">
        <f t="shared" si="162"/>
        <v>0</v>
      </c>
      <c r="V102">
        <f t="shared" si="124"/>
        <v>0</v>
      </c>
    </row>
    <row r="103" spans="1:22" ht="21.9">
      <c r="A103" s="4"/>
      <c r="B103" s="5" t="s">
        <v>860</v>
      </c>
      <c r="C103" s="4" t="s">
        <v>329</v>
      </c>
      <c r="D103" s="6">
        <v>1</v>
      </c>
      <c r="E103" s="6">
        <f t="shared" si="153"/>
        <v>5170.5</v>
      </c>
      <c r="F103" s="6">
        <f t="shared" si="154"/>
        <v>5170.5</v>
      </c>
      <c r="G103" s="6">
        <f t="shared" si="155"/>
        <v>0</v>
      </c>
      <c r="H103" s="6">
        <f t="shared" si="156"/>
        <v>0</v>
      </c>
      <c r="I103" s="6">
        <f t="shared" si="157"/>
        <v>5170.5</v>
      </c>
      <c r="J103" s="6">
        <f t="shared" si="158"/>
        <v>5170.5</v>
      </c>
      <c r="N103" s="75">
        <v>4500</v>
      </c>
      <c r="O103" s="76">
        <f t="shared" si="159"/>
        <v>1.149</v>
      </c>
      <c r="P103" s="77">
        <f t="shared" si="160"/>
        <v>5170.5</v>
      </c>
      <c r="Q103" s="78">
        <f t="shared" si="123"/>
        <v>4500</v>
      </c>
      <c r="R103" s="78"/>
      <c r="S103" s="79"/>
      <c r="T103" s="80">
        <f t="shared" si="161"/>
        <v>1.149</v>
      </c>
      <c r="U103" s="79">
        <f t="shared" si="162"/>
        <v>0</v>
      </c>
      <c r="V103">
        <f t="shared" si="124"/>
        <v>0</v>
      </c>
    </row>
    <row r="104" spans="1:22">
      <c r="A104" s="4"/>
      <c r="B104" s="5" t="s">
        <v>861</v>
      </c>
      <c r="C104" s="4" t="s">
        <v>329</v>
      </c>
      <c r="D104" s="6">
        <v>3</v>
      </c>
      <c r="E104" s="6">
        <f t="shared" si="153"/>
        <v>0</v>
      </c>
      <c r="F104" s="6">
        <f t="shared" si="154"/>
        <v>0</v>
      </c>
      <c r="G104" s="6">
        <f t="shared" si="155"/>
        <v>402.15000000000003</v>
      </c>
      <c r="H104" s="6">
        <f t="shared" si="156"/>
        <v>1206.45</v>
      </c>
      <c r="I104" s="6">
        <f t="shared" si="157"/>
        <v>402.15000000000003</v>
      </c>
      <c r="J104" s="6">
        <f t="shared" si="158"/>
        <v>1206.45</v>
      </c>
      <c r="L104" s="169">
        <f>SUM(J104)</f>
        <v>1206.45</v>
      </c>
      <c r="M104" s="169"/>
      <c r="N104" s="75"/>
      <c r="O104" s="76">
        <f t="shared" si="159"/>
        <v>1.149</v>
      </c>
      <c r="P104" s="77">
        <f t="shared" si="160"/>
        <v>0</v>
      </c>
      <c r="Q104" s="78">
        <f t="shared" si="123"/>
        <v>0</v>
      </c>
      <c r="R104" s="78"/>
      <c r="S104" s="79">
        <v>350</v>
      </c>
      <c r="T104" s="80">
        <f t="shared" si="161"/>
        <v>1.149</v>
      </c>
      <c r="U104" s="79">
        <f t="shared" si="162"/>
        <v>402.15000000000003</v>
      </c>
      <c r="V104">
        <f t="shared" si="124"/>
        <v>1050</v>
      </c>
    </row>
    <row r="105" spans="1:22">
      <c r="A105" s="4"/>
      <c r="B105" s="5" t="s">
        <v>862</v>
      </c>
      <c r="C105" s="4" t="s">
        <v>323</v>
      </c>
      <c r="D105" s="6">
        <v>6</v>
      </c>
      <c r="E105" s="6">
        <f t="shared" si="153"/>
        <v>0</v>
      </c>
      <c r="F105" s="6">
        <f t="shared" si="154"/>
        <v>0</v>
      </c>
      <c r="G105" s="6">
        <f t="shared" si="155"/>
        <v>650</v>
      </c>
      <c r="H105" s="6">
        <f t="shared" si="156"/>
        <v>3900</v>
      </c>
      <c r="I105" s="6">
        <f t="shared" si="157"/>
        <v>650</v>
      </c>
      <c r="J105" s="6">
        <f t="shared" si="158"/>
        <v>3900</v>
      </c>
      <c r="L105" s="169">
        <f>SUM(J105)</f>
        <v>3900</v>
      </c>
      <c r="M105" s="169"/>
      <c r="N105" s="75"/>
      <c r="O105" s="76">
        <f t="shared" si="159"/>
        <v>1.149</v>
      </c>
      <c r="P105" s="77">
        <f t="shared" si="160"/>
        <v>0</v>
      </c>
      <c r="Q105" s="78">
        <f t="shared" si="123"/>
        <v>0</v>
      </c>
      <c r="R105" s="78"/>
      <c r="S105" s="79">
        <v>650</v>
      </c>
      <c r="T105" s="80">
        <v>1</v>
      </c>
      <c r="U105" s="79">
        <f t="shared" si="162"/>
        <v>650</v>
      </c>
      <c r="V105">
        <f t="shared" si="124"/>
        <v>3900</v>
      </c>
    </row>
    <row r="106" spans="1:22">
      <c r="A106" s="4"/>
      <c r="B106" s="5" t="s">
        <v>863</v>
      </c>
      <c r="C106" s="4" t="s">
        <v>323</v>
      </c>
      <c r="D106" s="6">
        <v>6</v>
      </c>
      <c r="E106" s="6">
        <f t="shared" si="153"/>
        <v>0</v>
      </c>
      <c r="F106" s="6">
        <f t="shared" si="154"/>
        <v>0</v>
      </c>
      <c r="G106" s="6">
        <f t="shared" si="155"/>
        <v>650</v>
      </c>
      <c r="H106" s="6">
        <f t="shared" si="156"/>
        <v>3900</v>
      </c>
      <c r="I106" s="6">
        <f t="shared" si="157"/>
        <v>650</v>
      </c>
      <c r="J106" s="6">
        <f t="shared" si="158"/>
        <v>3900</v>
      </c>
      <c r="L106" s="169">
        <f>SUM(J106)</f>
        <v>3900</v>
      </c>
      <c r="M106" s="169"/>
      <c r="N106" s="75"/>
      <c r="O106" s="76">
        <f t="shared" si="159"/>
        <v>1.149</v>
      </c>
      <c r="P106" s="77">
        <f t="shared" si="160"/>
        <v>0</v>
      </c>
      <c r="Q106" s="78">
        <f t="shared" si="123"/>
        <v>0</v>
      </c>
      <c r="R106" s="78"/>
      <c r="S106" s="79">
        <v>650</v>
      </c>
      <c r="T106" s="80">
        <v>1</v>
      </c>
      <c r="U106" s="79">
        <f t="shared" si="162"/>
        <v>650</v>
      </c>
      <c r="V106">
        <f t="shared" si="124"/>
        <v>3900</v>
      </c>
    </row>
    <row r="107" spans="1:22">
      <c r="A107" s="4"/>
      <c r="B107" s="5" t="s">
        <v>864</v>
      </c>
      <c r="C107" s="4" t="s">
        <v>323</v>
      </c>
      <c r="D107" s="6">
        <v>12</v>
      </c>
      <c r="E107" s="6">
        <f t="shared" si="153"/>
        <v>0</v>
      </c>
      <c r="F107" s="6">
        <f t="shared" si="154"/>
        <v>0</v>
      </c>
      <c r="G107" s="6">
        <f t="shared" si="155"/>
        <v>650</v>
      </c>
      <c r="H107" s="6">
        <f t="shared" si="156"/>
        <v>7800</v>
      </c>
      <c r="I107" s="6">
        <f t="shared" si="157"/>
        <v>650</v>
      </c>
      <c r="J107" s="6">
        <f t="shared" si="158"/>
        <v>7800</v>
      </c>
      <c r="L107" s="169">
        <f>SUM(J107)</f>
        <v>7800</v>
      </c>
      <c r="M107" s="169"/>
      <c r="N107" s="75"/>
      <c r="O107" s="76">
        <f t="shared" si="159"/>
        <v>1.149</v>
      </c>
      <c r="P107" s="77">
        <f t="shared" si="160"/>
        <v>0</v>
      </c>
      <c r="Q107" s="78">
        <f t="shared" si="123"/>
        <v>0</v>
      </c>
      <c r="R107" s="78"/>
      <c r="S107" s="79">
        <v>650</v>
      </c>
      <c r="T107" s="80">
        <v>1</v>
      </c>
      <c r="U107" s="79">
        <f t="shared" si="162"/>
        <v>650</v>
      </c>
      <c r="V107">
        <f t="shared" si="124"/>
        <v>7800</v>
      </c>
    </row>
    <row r="108" spans="1:22">
      <c r="A108" s="13"/>
      <c r="B108" s="14" t="s">
        <v>342</v>
      </c>
      <c r="C108" s="13" t="s">
        <v>26</v>
      </c>
      <c r="D108" s="15"/>
      <c r="E108" s="15"/>
      <c r="F108" s="15">
        <f>SUM(F100:F107)</f>
        <v>18958.5</v>
      </c>
      <c r="G108" s="15"/>
      <c r="H108" s="15">
        <f>SUM(H100:H107)</f>
        <v>16806.45</v>
      </c>
      <c r="I108" s="15"/>
      <c r="J108" s="15">
        <f>SUM(J100:J107)</f>
        <v>35764.949999999997</v>
      </c>
      <c r="Q108" s="78">
        <f t="shared" si="123"/>
        <v>0</v>
      </c>
      <c r="V108">
        <f t="shared" si="124"/>
        <v>0</v>
      </c>
    </row>
    <row r="109" spans="1:22">
      <c r="A109" s="4"/>
      <c r="B109" s="5" t="s">
        <v>26</v>
      </c>
      <c r="C109" s="4" t="s">
        <v>26</v>
      </c>
      <c r="D109" s="6"/>
      <c r="E109" s="6"/>
      <c r="F109" s="6"/>
      <c r="G109" s="6"/>
      <c r="H109" s="6"/>
      <c r="I109" s="6"/>
      <c r="J109" s="6"/>
      <c r="Q109" s="78">
        <f t="shared" si="123"/>
        <v>0</v>
      </c>
      <c r="V109">
        <f t="shared" si="124"/>
        <v>0</v>
      </c>
    </row>
    <row r="110" spans="1:22">
      <c r="A110" s="13"/>
      <c r="B110" s="14" t="s">
        <v>319</v>
      </c>
      <c r="C110" s="13" t="s">
        <v>26</v>
      </c>
      <c r="D110" s="15"/>
      <c r="E110" s="15"/>
      <c r="F110" s="15"/>
      <c r="G110" s="15"/>
      <c r="H110" s="15"/>
      <c r="I110" s="15"/>
      <c r="J110" s="15"/>
      <c r="Q110" s="78">
        <f t="shared" si="123"/>
        <v>0</v>
      </c>
      <c r="V110">
        <f t="shared" si="124"/>
        <v>0</v>
      </c>
    </row>
    <row r="111" spans="1:22">
      <c r="A111" s="19"/>
      <c r="B111" s="20" t="s">
        <v>320</v>
      </c>
      <c r="C111" s="19" t="s">
        <v>26</v>
      </c>
      <c r="D111" s="22"/>
      <c r="E111" s="22"/>
      <c r="F111" s="22"/>
      <c r="G111" s="22"/>
      <c r="H111" s="22"/>
      <c r="I111" s="22"/>
      <c r="J111" s="22"/>
      <c r="Q111" s="78">
        <f t="shared" si="123"/>
        <v>0</v>
      </c>
      <c r="V111">
        <f t="shared" si="124"/>
        <v>0</v>
      </c>
    </row>
    <row r="112" spans="1:22">
      <c r="A112" s="19"/>
      <c r="B112" s="20" t="s">
        <v>321</v>
      </c>
      <c r="C112" s="19" t="s">
        <v>26</v>
      </c>
      <c r="D112" s="22"/>
      <c r="E112" s="22"/>
      <c r="F112" s="22"/>
      <c r="G112" s="22"/>
      <c r="H112" s="22"/>
      <c r="I112" s="22"/>
      <c r="J112" s="22"/>
      <c r="Q112" s="78">
        <f t="shared" si="123"/>
        <v>0</v>
      </c>
      <c r="V112">
        <f t="shared" si="124"/>
        <v>0</v>
      </c>
    </row>
    <row r="113" spans="1:22">
      <c r="A113" s="4"/>
      <c r="B113" s="5" t="s">
        <v>322</v>
      </c>
      <c r="C113" s="4" t="s">
        <v>323</v>
      </c>
      <c r="D113" s="6">
        <v>15</v>
      </c>
      <c r="E113" s="6">
        <f t="shared" ref="E113:E114" si="163">SUM(P113)</f>
        <v>0</v>
      </c>
      <c r="F113" s="6">
        <f t="shared" ref="F113:F114" si="164">D113*E113</f>
        <v>0</v>
      </c>
      <c r="G113" s="6">
        <f t="shared" ref="G113:G114" si="165">SUM(U113)</f>
        <v>746.85</v>
      </c>
      <c r="H113" s="6">
        <f t="shared" ref="H113:H114" si="166">D113*G113</f>
        <v>11202.75</v>
      </c>
      <c r="I113" s="6">
        <f t="shared" ref="I113:I114" si="167">E113+G113</f>
        <v>746.85</v>
      </c>
      <c r="J113" s="6">
        <f t="shared" ref="J113:J114" si="168">F113+H113</f>
        <v>11202.75</v>
      </c>
      <c r="L113" s="169">
        <v>6000</v>
      </c>
      <c r="M113" s="169"/>
      <c r="N113" s="75"/>
      <c r="O113" s="76">
        <f t="shared" ref="O113:O114" si="169">$O$1</f>
        <v>1.149</v>
      </c>
      <c r="P113" s="77">
        <f t="shared" ref="P113:P114" si="170">SUM(O113*N113)</f>
        <v>0</v>
      </c>
      <c r="Q113" s="78">
        <f t="shared" si="123"/>
        <v>0</v>
      </c>
      <c r="R113" s="78"/>
      <c r="S113" s="79">
        <v>650</v>
      </c>
      <c r="T113" s="80">
        <f t="shared" ref="T113" si="171">$T$1</f>
        <v>1.149</v>
      </c>
      <c r="U113" s="79">
        <f t="shared" ref="U113:U114" si="172">SUM(T113*S113)</f>
        <v>746.85</v>
      </c>
      <c r="V113">
        <f t="shared" si="124"/>
        <v>9750</v>
      </c>
    </row>
    <row r="114" spans="1:22">
      <c r="A114" s="4"/>
      <c r="B114" s="5" t="s">
        <v>324</v>
      </c>
      <c r="C114" s="4" t="s">
        <v>323</v>
      </c>
      <c r="D114" s="6">
        <v>5</v>
      </c>
      <c r="E114" s="6">
        <f t="shared" si="163"/>
        <v>0</v>
      </c>
      <c r="F114" s="6">
        <f t="shared" si="164"/>
        <v>0</v>
      </c>
      <c r="G114" s="6">
        <f t="shared" si="165"/>
        <v>450</v>
      </c>
      <c r="H114" s="6">
        <f t="shared" si="166"/>
        <v>2250</v>
      </c>
      <c r="I114" s="6">
        <f t="shared" si="167"/>
        <v>450</v>
      </c>
      <c r="J114" s="6">
        <f t="shared" si="168"/>
        <v>2250</v>
      </c>
      <c r="N114" s="75"/>
      <c r="O114" s="76">
        <f t="shared" si="169"/>
        <v>1.149</v>
      </c>
      <c r="P114" s="77">
        <f t="shared" si="170"/>
        <v>0</v>
      </c>
      <c r="Q114" s="78">
        <f t="shared" si="123"/>
        <v>0</v>
      </c>
      <c r="R114" s="78"/>
      <c r="S114" s="79">
        <v>450</v>
      </c>
      <c r="T114" s="80">
        <v>1</v>
      </c>
      <c r="U114" s="79">
        <f t="shared" si="172"/>
        <v>450</v>
      </c>
      <c r="V114">
        <f t="shared" si="124"/>
        <v>2250</v>
      </c>
    </row>
    <row r="115" spans="1:22">
      <c r="A115" s="13"/>
      <c r="B115" s="14" t="s">
        <v>325</v>
      </c>
      <c r="C115" s="13" t="s">
        <v>26</v>
      </c>
      <c r="D115" s="15"/>
      <c r="E115" s="15"/>
      <c r="F115" s="15">
        <f>SUM(F111:F114)</f>
        <v>0</v>
      </c>
      <c r="G115" s="15"/>
      <c r="H115" s="15">
        <f>SUM(H111:H114)</f>
        <v>13452.75</v>
      </c>
      <c r="I115" s="15"/>
      <c r="J115" s="15">
        <f>SUM(J111:J114)</f>
        <v>13452.75</v>
      </c>
      <c r="Q115" s="78">
        <f t="shared" si="123"/>
        <v>0</v>
      </c>
      <c r="V115">
        <f t="shared" si="124"/>
        <v>0</v>
      </c>
    </row>
    <row r="116" spans="1:22">
      <c r="A116" s="4"/>
      <c r="B116" s="5" t="s">
        <v>26</v>
      </c>
      <c r="C116" s="4" t="s">
        <v>26</v>
      </c>
      <c r="D116" s="6"/>
      <c r="E116" s="6"/>
      <c r="F116" s="6"/>
      <c r="G116" s="6"/>
      <c r="H116" s="6"/>
      <c r="I116" s="6"/>
      <c r="J116" s="6"/>
      <c r="Q116" s="78">
        <f t="shared" si="123"/>
        <v>0</v>
      </c>
      <c r="V116">
        <f t="shared" si="124"/>
        <v>0</v>
      </c>
    </row>
    <row r="117" spans="1:22" ht="24">
      <c r="A117" s="16"/>
      <c r="B117" s="17" t="s">
        <v>865</v>
      </c>
      <c r="C117" s="16" t="s">
        <v>26</v>
      </c>
      <c r="D117" s="18"/>
      <c r="E117" s="18"/>
      <c r="F117" s="18">
        <f>SUM(F6,F8:F12,F14,F16:F18,F20,F22:F33,F35,F37:F48,F50,F52:F53,F55,F57:F76,F78,F80:F96,F98,F100:F107,F109,F111:F114,F116:F116)</f>
        <v>322871.15770105278</v>
      </c>
      <c r="G117" s="18"/>
      <c r="H117" s="18">
        <f>SUM(H6,H8:H12,H14,H16:H18,H20,H22:H33,H35,H37:H48,H50,H52:H53,H55,H57:H76,H78,H80:H96,H98,H100:H107,H109,H111:H114,H116:H116)</f>
        <v>185947.08680399996</v>
      </c>
      <c r="I117" s="18"/>
      <c r="J117" s="18">
        <f>SUM(J6,J8:J12,J14,J16:J18,J20,J22:J33,J35,J37:J48,J50,J52:J53,J55,J57:J76,J78,J80:J96,J98,J100:J107,J109,J111:J114,J116:J116)</f>
        <v>508818.24450505275</v>
      </c>
      <c r="Q117" s="78">
        <f t="shared" si="123"/>
        <v>0</v>
      </c>
      <c r="V117">
        <f t="shared" si="124"/>
        <v>0</v>
      </c>
    </row>
    <row r="118" spans="1:22">
      <c r="A118" s="4"/>
      <c r="B118" s="5" t="s">
        <v>26</v>
      </c>
      <c r="C118" s="4" t="s">
        <v>26</v>
      </c>
      <c r="D118" s="6"/>
      <c r="E118" s="6"/>
      <c r="F118" s="6"/>
      <c r="G118" s="6"/>
      <c r="H118" s="6"/>
      <c r="I118" s="6"/>
      <c r="J118" s="6"/>
      <c r="Q118" s="78">
        <f t="shared" si="123"/>
        <v>0</v>
      </c>
      <c r="V118">
        <f t="shared" si="124"/>
        <v>0</v>
      </c>
    </row>
    <row r="119" spans="1:22">
      <c r="A119" s="4"/>
      <c r="B119" s="5" t="s">
        <v>344</v>
      </c>
      <c r="C119" s="4" t="s">
        <v>26</v>
      </c>
      <c r="D119" s="6"/>
      <c r="E119" s="6"/>
      <c r="F119" s="6"/>
      <c r="G119" s="6"/>
      <c r="H119" s="6"/>
      <c r="I119" s="6">
        <f>E119+G119</f>
        <v>0</v>
      </c>
      <c r="J119" s="6">
        <f>F119+H119</f>
        <v>0</v>
      </c>
      <c r="Q119" s="78">
        <f t="shared" si="123"/>
        <v>0</v>
      </c>
      <c r="V119">
        <f t="shared" si="124"/>
        <v>0</v>
      </c>
    </row>
    <row r="120" spans="1:22">
      <c r="A120" s="7"/>
      <c r="B120" s="8" t="s">
        <v>345</v>
      </c>
      <c r="C120" s="7" t="s">
        <v>26</v>
      </c>
      <c r="D120" s="9"/>
      <c r="E120" s="9"/>
      <c r="F120" s="9">
        <f>SUM(F4,F6,F8:F12,F14,F16:F18,F20,F22:F33,F35,F37:F48,F50,F52:F53,F55,F57:F76,F78,F80:F96,F98,F100:F107,F109,F111:F114,F116,F118:F119)</f>
        <v>322871.15770105278</v>
      </c>
      <c r="G120" s="9"/>
      <c r="H120" s="9">
        <f>SUM(H4,H6,H8:H12,H14,H16:H18,H20,H22:H33,H35,H37:H48,H50,H52:H53,H55,H57:H76,H78,H80:H96,H98,H100:H107,H109,H111:H114,H116,H118:H119)</f>
        <v>185947.08680399996</v>
      </c>
      <c r="I120" s="9"/>
      <c r="J120" s="9">
        <f>SUM(J4,J6,J8:J12,J14,J16:J18,J20,J22:J33,J35,J37:J48,J50,J52:J53,J55,J57:J76,J78,J80:J96,J98,J100:J107,J109,J111:J114,J116,J118:J119)</f>
        <v>508818.24450505275</v>
      </c>
      <c r="Q120" s="78">
        <f t="shared" si="123"/>
        <v>0</v>
      </c>
      <c r="V120">
        <f t="shared" si="124"/>
        <v>0</v>
      </c>
    </row>
    <row r="121" spans="1:22">
      <c r="A121" s="4"/>
      <c r="B121" s="5" t="s">
        <v>26</v>
      </c>
      <c r="C121" s="4" t="s">
        <v>26</v>
      </c>
      <c r="D121" s="6"/>
      <c r="E121" s="6"/>
      <c r="F121" s="6"/>
      <c r="G121" s="6"/>
      <c r="H121" s="6"/>
      <c r="I121" s="6"/>
      <c r="J121" s="6"/>
      <c r="Q121" s="78">
        <f t="shared" si="123"/>
        <v>0</v>
      </c>
      <c r="V121">
        <f t="shared" si="124"/>
        <v>0</v>
      </c>
    </row>
    <row r="122" spans="1:22">
      <c r="A122" s="7"/>
      <c r="B122" s="8" t="s">
        <v>346</v>
      </c>
      <c r="C122" s="7" t="s">
        <v>26</v>
      </c>
      <c r="D122" s="9"/>
      <c r="E122" s="9"/>
      <c r="F122" s="9"/>
      <c r="G122" s="9"/>
      <c r="H122" s="9"/>
      <c r="I122" s="9"/>
      <c r="J122" s="9"/>
      <c r="Q122" s="78">
        <f t="shared" si="123"/>
        <v>0</v>
      </c>
      <c r="V122">
        <f t="shared" si="124"/>
        <v>0</v>
      </c>
    </row>
    <row r="123" spans="1:22">
      <c r="A123" s="19"/>
      <c r="B123" s="66" t="s">
        <v>866</v>
      </c>
      <c r="C123" s="65" t="s">
        <v>26</v>
      </c>
      <c r="D123" s="67"/>
      <c r="E123" s="67"/>
      <c r="F123" s="67"/>
      <c r="G123" s="67"/>
      <c r="H123" s="67"/>
      <c r="I123" s="67"/>
      <c r="J123" s="67"/>
      <c r="Q123" s="78">
        <f t="shared" si="123"/>
        <v>0</v>
      </c>
      <c r="V123">
        <f t="shared" si="124"/>
        <v>0</v>
      </c>
    </row>
    <row r="124" spans="1:22">
      <c r="A124" s="4"/>
      <c r="B124" s="63" t="s">
        <v>867</v>
      </c>
      <c r="C124" s="62" t="s">
        <v>447</v>
      </c>
      <c r="D124" s="64">
        <v>0.47</v>
      </c>
      <c r="E124" s="6">
        <f>SUM(P124)</f>
        <v>0</v>
      </c>
      <c r="F124" s="6">
        <f>D124*E124</f>
        <v>0</v>
      </c>
      <c r="G124" s="6">
        <f>SUM(U124)</f>
        <v>0</v>
      </c>
      <c r="H124" s="6">
        <f>D124*G124</f>
        <v>0</v>
      </c>
      <c r="I124" s="6">
        <f t="shared" ref="I124" si="173">E124+G124</f>
        <v>0</v>
      </c>
      <c r="J124" s="6">
        <f t="shared" ref="J124" si="174">F124+H124</f>
        <v>0</v>
      </c>
      <c r="N124" s="75"/>
      <c r="O124" s="76">
        <f>$O$1</f>
        <v>1.149</v>
      </c>
      <c r="P124" s="77">
        <f>SUM(O124*N124)</f>
        <v>0</v>
      </c>
      <c r="Q124" s="78">
        <f t="shared" si="123"/>
        <v>0</v>
      </c>
      <c r="R124" s="78"/>
      <c r="S124" s="79"/>
      <c r="T124" s="80">
        <f>$T$1</f>
        <v>1.149</v>
      </c>
      <c r="U124" s="79">
        <f>SUM(T124*S124)</f>
        <v>0</v>
      </c>
      <c r="V124">
        <f t="shared" si="124"/>
        <v>0</v>
      </c>
    </row>
    <row r="125" spans="1:22">
      <c r="A125" s="19"/>
      <c r="B125" s="20" t="s">
        <v>868</v>
      </c>
      <c r="C125" s="19" t="s">
        <v>26</v>
      </c>
      <c r="D125" s="21"/>
      <c r="E125" s="21"/>
      <c r="F125" s="21"/>
      <c r="G125" s="21"/>
      <c r="H125" s="21"/>
      <c r="I125" s="21"/>
      <c r="J125" s="21"/>
      <c r="Q125" s="78">
        <f t="shared" si="123"/>
        <v>0</v>
      </c>
      <c r="V125">
        <f t="shared" si="124"/>
        <v>0</v>
      </c>
    </row>
    <row r="126" spans="1:22" s="85" customFormat="1">
      <c r="A126" s="141"/>
      <c r="B126" s="142" t="s">
        <v>869</v>
      </c>
      <c r="C126" s="141" t="s">
        <v>450</v>
      </c>
      <c r="D126" s="143">
        <v>34.99</v>
      </c>
      <c r="E126" s="143">
        <f>SUM(P126)</f>
        <v>0</v>
      </c>
      <c r="F126" s="143">
        <f>D126*E126</f>
        <v>0</v>
      </c>
      <c r="G126" s="143">
        <f>SUM(U126)</f>
        <v>0</v>
      </c>
      <c r="H126" s="143">
        <f>D126*G126</f>
        <v>0</v>
      </c>
      <c r="I126" s="143">
        <f t="shared" ref="I126" si="175">E126+G126</f>
        <v>0</v>
      </c>
      <c r="J126" s="143">
        <f t="shared" ref="J126" si="176">F126+H126</f>
        <v>0</v>
      </c>
      <c r="K126" s="84"/>
      <c r="N126" s="144"/>
      <c r="O126" s="76">
        <f>$O$1</f>
        <v>1.149</v>
      </c>
      <c r="P126" s="145">
        <f>SUM(O126*N126)</f>
        <v>0</v>
      </c>
      <c r="Q126" s="78">
        <f t="shared" si="123"/>
        <v>0</v>
      </c>
      <c r="R126" s="146"/>
      <c r="S126" s="147"/>
      <c r="T126" s="80">
        <f>$T$1</f>
        <v>1.149</v>
      </c>
      <c r="U126" s="147">
        <f>SUM(T126*S126)</f>
        <v>0</v>
      </c>
      <c r="V126">
        <f t="shared" si="124"/>
        <v>0</v>
      </c>
    </row>
    <row r="127" spans="1:22">
      <c r="A127" s="19"/>
      <c r="B127" s="20" t="s">
        <v>870</v>
      </c>
      <c r="C127" s="19" t="s">
        <v>26</v>
      </c>
      <c r="D127" s="21"/>
      <c r="E127" s="21"/>
      <c r="F127" s="21"/>
      <c r="G127" s="21"/>
      <c r="H127" s="21"/>
      <c r="I127" s="21"/>
      <c r="J127" s="21"/>
      <c r="Q127" s="78">
        <f t="shared" si="123"/>
        <v>0</v>
      </c>
      <c r="V127">
        <f t="shared" si="124"/>
        <v>0</v>
      </c>
    </row>
    <row r="128" spans="1:22" s="85" customFormat="1">
      <c r="A128" s="141"/>
      <c r="B128" s="142" t="s">
        <v>871</v>
      </c>
      <c r="C128" s="141" t="s">
        <v>260</v>
      </c>
      <c r="D128" s="143">
        <v>233.3</v>
      </c>
      <c r="E128" s="143">
        <f>SUM(P128)</f>
        <v>0</v>
      </c>
      <c r="F128" s="143">
        <f>D128*E128</f>
        <v>0</v>
      </c>
      <c r="G128" s="143">
        <f>SUM(U128)</f>
        <v>0</v>
      </c>
      <c r="H128" s="143">
        <f>D128*G128</f>
        <v>0</v>
      </c>
      <c r="I128" s="143">
        <f t="shared" ref="I128" si="177">E128+G128</f>
        <v>0</v>
      </c>
      <c r="J128" s="143">
        <f t="shared" ref="J128" si="178">F128+H128</f>
        <v>0</v>
      </c>
      <c r="K128" s="84"/>
      <c r="N128" s="144"/>
      <c r="O128" s="76">
        <f>$O$1</f>
        <v>1.149</v>
      </c>
      <c r="P128" s="145">
        <f>SUM(O128*N128)</f>
        <v>0</v>
      </c>
      <c r="Q128" s="78">
        <f t="shared" si="123"/>
        <v>0</v>
      </c>
      <c r="R128" s="146"/>
      <c r="S128" s="147"/>
      <c r="T128" s="80">
        <f>$T$1</f>
        <v>1.149</v>
      </c>
      <c r="U128" s="147">
        <f>SUM(T128*S128)</f>
        <v>0</v>
      </c>
      <c r="V128">
        <f t="shared" si="124"/>
        <v>0</v>
      </c>
    </row>
    <row r="129" spans="1:22">
      <c r="A129" s="19"/>
      <c r="B129" s="20" t="s">
        <v>348</v>
      </c>
      <c r="C129" s="19" t="s">
        <v>26</v>
      </c>
      <c r="D129" s="21"/>
      <c r="E129" s="21"/>
      <c r="F129" s="21"/>
      <c r="G129" s="21"/>
      <c r="H129" s="21"/>
      <c r="I129" s="21"/>
      <c r="J129" s="21"/>
      <c r="Q129" s="78">
        <f t="shared" si="123"/>
        <v>0</v>
      </c>
      <c r="V129">
        <f t="shared" si="124"/>
        <v>0</v>
      </c>
    </row>
    <row r="130" spans="1:22" s="85" customFormat="1">
      <c r="A130" s="141"/>
      <c r="B130" s="142" t="s">
        <v>872</v>
      </c>
      <c r="C130" s="141" t="s">
        <v>188</v>
      </c>
      <c r="D130" s="143">
        <v>431.27</v>
      </c>
      <c r="E130" s="143">
        <f t="shared" ref="E130:E131" si="179">SUM(P130)</f>
        <v>0</v>
      </c>
      <c r="F130" s="143">
        <f t="shared" ref="F130:F131" si="180">D130*E130</f>
        <v>0</v>
      </c>
      <c r="G130" s="143">
        <f t="shared" ref="G130:G131" si="181">SUM(U130)</f>
        <v>0</v>
      </c>
      <c r="H130" s="143">
        <f t="shared" ref="H130:H131" si="182">D130*G130</f>
        <v>0</v>
      </c>
      <c r="I130" s="143">
        <f t="shared" ref="I130:I132" si="183">E130+G130</f>
        <v>0</v>
      </c>
      <c r="J130" s="143">
        <f t="shared" ref="J130:J132" si="184">F130+H130</f>
        <v>0</v>
      </c>
      <c r="K130" s="84"/>
      <c r="N130" s="144"/>
      <c r="O130" s="76">
        <f t="shared" ref="O130:O131" si="185">$O$1</f>
        <v>1.149</v>
      </c>
      <c r="P130" s="145">
        <f t="shared" ref="P130:P131" si="186">SUM(O130*N130)</f>
        <v>0</v>
      </c>
      <c r="Q130" s="78">
        <f t="shared" si="123"/>
        <v>0</v>
      </c>
      <c r="R130" s="146"/>
      <c r="S130" s="147"/>
      <c r="T130" s="80">
        <f t="shared" ref="T130:T131" si="187">$T$1</f>
        <v>1.149</v>
      </c>
      <c r="U130" s="147">
        <f t="shared" ref="U130:U131" si="188">SUM(T130*S130)</f>
        <v>0</v>
      </c>
      <c r="V130">
        <f t="shared" si="124"/>
        <v>0</v>
      </c>
    </row>
    <row r="131" spans="1:22" s="85" customFormat="1">
      <c r="A131" s="141"/>
      <c r="B131" s="142" t="s">
        <v>873</v>
      </c>
      <c r="C131" s="141" t="s">
        <v>188</v>
      </c>
      <c r="D131" s="143">
        <v>30.92</v>
      </c>
      <c r="E131" s="143">
        <f t="shared" si="179"/>
        <v>0</v>
      </c>
      <c r="F131" s="143">
        <f t="shared" si="180"/>
        <v>0</v>
      </c>
      <c r="G131" s="143">
        <f t="shared" si="181"/>
        <v>0</v>
      </c>
      <c r="H131" s="143">
        <f t="shared" si="182"/>
        <v>0</v>
      </c>
      <c r="I131" s="143">
        <f t="shared" si="183"/>
        <v>0</v>
      </c>
      <c r="J131" s="143">
        <f t="shared" si="184"/>
        <v>0</v>
      </c>
      <c r="K131" s="84"/>
      <c r="N131" s="144"/>
      <c r="O131" s="76">
        <f t="shared" si="185"/>
        <v>1.149</v>
      </c>
      <c r="P131" s="145">
        <f t="shared" si="186"/>
        <v>0</v>
      </c>
      <c r="Q131" s="78">
        <f t="shared" si="123"/>
        <v>0</v>
      </c>
      <c r="R131" s="146"/>
      <c r="S131" s="147"/>
      <c r="T131" s="80">
        <f t="shared" si="187"/>
        <v>1.149</v>
      </c>
      <c r="U131" s="147">
        <f t="shared" si="188"/>
        <v>0</v>
      </c>
      <c r="V131">
        <f t="shared" si="124"/>
        <v>0</v>
      </c>
    </row>
    <row r="132" spans="1:22" s="85" customFormat="1">
      <c r="A132" s="141"/>
      <c r="B132" s="142" t="s">
        <v>874</v>
      </c>
      <c r="C132" s="141" t="s">
        <v>188</v>
      </c>
      <c r="D132" s="143">
        <v>2.8</v>
      </c>
      <c r="E132" s="143">
        <f>SUM(P132)</f>
        <v>0</v>
      </c>
      <c r="F132" s="143">
        <f>D132*E132</f>
        <v>0</v>
      </c>
      <c r="G132" s="143">
        <f>SUM(U132)</f>
        <v>0</v>
      </c>
      <c r="H132" s="143">
        <f>D132*G132</f>
        <v>0</v>
      </c>
      <c r="I132" s="143">
        <f t="shared" si="183"/>
        <v>0</v>
      </c>
      <c r="J132" s="143">
        <f t="shared" si="184"/>
        <v>0</v>
      </c>
      <c r="K132" s="84"/>
      <c r="N132" s="144"/>
      <c r="O132" s="76">
        <f>$O$1</f>
        <v>1.149</v>
      </c>
      <c r="P132" s="145">
        <f>SUM(O132*N132)</f>
        <v>0</v>
      </c>
      <c r="Q132" s="78">
        <f t="shared" si="123"/>
        <v>0</v>
      </c>
      <c r="R132" s="146"/>
      <c r="S132" s="147"/>
      <c r="T132" s="80">
        <f>$T$1</f>
        <v>1.149</v>
      </c>
      <c r="U132" s="147">
        <f>SUM(T132*S132)</f>
        <v>0</v>
      </c>
      <c r="V132">
        <f t="shared" si="124"/>
        <v>0</v>
      </c>
    </row>
    <row r="133" spans="1:22">
      <c r="A133" s="19"/>
      <c r="B133" s="20" t="s">
        <v>875</v>
      </c>
      <c r="C133" s="19" t="s">
        <v>26</v>
      </c>
      <c r="D133" s="21"/>
      <c r="E133" s="21"/>
      <c r="F133" s="21"/>
      <c r="G133" s="21"/>
      <c r="H133" s="21"/>
      <c r="I133" s="21"/>
      <c r="J133" s="21"/>
      <c r="Q133" s="78">
        <f t="shared" si="123"/>
        <v>0</v>
      </c>
      <c r="V133">
        <f t="shared" si="124"/>
        <v>0</v>
      </c>
    </row>
    <row r="134" spans="1:22" s="85" customFormat="1" ht="21.9">
      <c r="A134" s="141"/>
      <c r="B134" s="142" t="s">
        <v>876</v>
      </c>
      <c r="C134" s="141" t="s">
        <v>188</v>
      </c>
      <c r="D134" s="143">
        <v>464.99</v>
      </c>
      <c r="E134" s="143">
        <f>SUM(P134)</f>
        <v>0</v>
      </c>
      <c r="F134" s="143">
        <f>D134*E134</f>
        <v>0</v>
      </c>
      <c r="G134" s="143">
        <f>SUM(U134)</f>
        <v>0</v>
      </c>
      <c r="H134" s="143">
        <f>D134*G134</f>
        <v>0</v>
      </c>
      <c r="I134" s="143">
        <f t="shared" ref="I134" si="189">E134+G134</f>
        <v>0</v>
      </c>
      <c r="J134" s="143">
        <f t="shared" ref="J134" si="190">F134+H134</f>
        <v>0</v>
      </c>
      <c r="K134" s="84"/>
      <c r="N134" s="144"/>
      <c r="O134" s="76">
        <f>$O$1</f>
        <v>1.149</v>
      </c>
      <c r="P134" s="145">
        <f>SUM(O134*N134)</f>
        <v>0</v>
      </c>
      <c r="Q134" s="78">
        <f t="shared" si="123"/>
        <v>0</v>
      </c>
      <c r="R134" s="146"/>
      <c r="S134" s="147"/>
      <c r="T134" s="80">
        <f>$T$1</f>
        <v>1.149</v>
      </c>
      <c r="U134" s="147">
        <f>SUM(T134*S134)</f>
        <v>0</v>
      </c>
      <c r="V134">
        <f t="shared" si="124"/>
        <v>0</v>
      </c>
    </row>
    <row r="135" spans="1:22">
      <c r="A135" s="19"/>
      <c r="B135" s="20" t="s">
        <v>877</v>
      </c>
      <c r="C135" s="19" t="s">
        <v>26</v>
      </c>
      <c r="D135" s="21"/>
      <c r="E135" s="21"/>
      <c r="F135" s="21"/>
      <c r="G135" s="21"/>
      <c r="H135" s="21"/>
      <c r="I135" s="21"/>
      <c r="J135" s="21"/>
      <c r="Q135" s="78">
        <f t="shared" si="123"/>
        <v>0</v>
      </c>
      <c r="V135">
        <f t="shared" si="124"/>
        <v>0</v>
      </c>
    </row>
    <row r="136" spans="1:22">
      <c r="A136" s="4"/>
      <c r="B136" s="5" t="s">
        <v>878</v>
      </c>
      <c r="C136" s="4" t="s">
        <v>188</v>
      </c>
      <c r="D136" s="6">
        <v>465.53</v>
      </c>
      <c r="E136" s="6">
        <f>SUM(P136)</f>
        <v>1.4937</v>
      </c>
      <c r="F136" s="6">
        <f>D136*E136</f>
        <v>695.36216100000001</v>
      </c>
      <c r="G136" s="6">
        <f>SUM(U136)</f>
        <v>17.234999999999999</v>
      </c>
      <c r="H136" s="6">
        <f>D136*G136</f>
        <v>8023.4095499999994</v>
      </c>
      <c r="I136" s="6">
        <f t="shared" ref="I136" si="191">E136+G136</f>
        <v>18.7287</v>
      </c>
      <c r="J136" s="6">
        <f t="shared" ref="J136" si="192">F136+H136</f>
        <v>8718.7717109999994</v>
      </c>
      <c r="N136" s="75">
        <v>1.3</v>
      </c>
      <c r="O136" s="76">
        <f>$O$1</f>
        <v>1.149</v>
      </c>
      <c r="P136" s="77">
        <f>SUM(O136*N136)</f>
        <v>1.4937</v>
      </c>
      <c r="Q136" s="78">
        <f t="shared" si="123"/>
        <v>605.18899999999996</v>
      </c>
      <c r="R136" s="78"/>
      <c r="S136" s="79">
        <v>15</v>
      </c>
      <c r="T136" s="80">
        <f>$T$1</f>
        <v>1.149</v>
      </c>
      <c r="U136" s="79">
        <f>SUM(T136*S136)</f>
        <v>17.234999999999999</v>
      </c>
      <c r="V136">
        <f t="shared" si="124"/>
        <v>6982.95</v>
      </c>
    </row>
    <row r="137" spans="1:22">
      <c r="A137" s="19"/>
      <c r="B137" s="20" t="s">
        <v>350</v>
      </c>
      <c r="C137" s="19" t="s">
        <v>26</v>
      </c>
      <c r="D137" s="21"/>
      <c r="E137" s="21"/>
      <c r="F137" s="21"/>
      <c r="G137" s="21"/>
      <c r="H137" s="21"/>
      <c r="I137" s="21"/>
      <c r="J137" s="21"/>
      <c r="Q137" s="78">
        <f t="shared" ref="Q137:Q166" si="193">SUM(N137*D137)</f>
        <v>0</v>
      </c>
      <c r="V137">
        <f t="shared" ref="V137:V166" si="194">SUM(S137*D137)</f>
        <v>0</v>
      </c>
    </row>
    <row r="138" spans="1:22" s="85" customFormat="1">
      <c r="A138" s="141"/>
      <c r="B138" s="142" t="s">
        <v>872</v>
      </c>
      <c r="C138" s="141" t="s">
        <v>188</v>
      </c>
      <c r="D138" s="143">
        <v>431.27</v>
      </c>
      <c r="E138" s="143">
        <f t="shared" ref="E138:E140" si="195">SUM(P138)</f>
        <v>0</v>
      </c>
      <c r="F138" s="143">
        <f t="shared" ref="F138:F140" si="196">D138*E138</f>
        <v>0</v>
      </c>
      <c r="G138" s="143">
        <f t="shared" ref="G138:G140" si="197">SUM(U138)</f>
        <v>0</v>
      </c>
      <c r="H138" s="143">
        <f t="shared" ref="H138:H140" si="198">D138*G138</f>
        <v>0</v>
      </c>
      <c r="I138" s="143">
        <f t="shared" ref="I138:I140" si="199">E138+G138</f>
        <v>0</v>
      </c>
      <c r="J138" s="143">
        <f t="shared" ref="J138:J140" si="200">F138+H138</f>
        <v>0</v>
      </c>
      <c r="K138" s="84"/>
      <c r="N138" s="144"/>
      <c r="O138" s="76">
        <f t="shared" ref="O138:O140" si="201">$O$1</f>
        <v>1.149</v>
      </c>
      <c r="P138" s="145">
        <f t="shared" ref="P138:P140" si="202">SUM(O138*N138)</f>
        <v>0</v>
      </c>
      <c r="Q138" s="78">
        <f t="shared" si="193"/>
        <v>0</v>
      </c>
      <c r="R138" s="146"/>
      <c r="S138" s="147"/>
      <c r="T138" s="80">
        <f t="shared" ref="T138:T140" si="203">$T$1</f>
        <v>1.149</v>
      </c>
      <c r="U138" s="147">
        <f t="shared" ref="U138:U140" si="204">SUM(T138*S138)</f>
        <v>0</v>
      </c>
      <c r="V138">
        <f t="shared" si="194"/>
        <v>0</v>
      </c>
    </row>
    <row r="139" spans="1:22" s="85" customFormat="1">
      <c r="A139" s="141"/>
      <c r="B139" s="142" t="s">
        <v>873</v>
      </c>
      <c r="C139" s="141" t="s">
        <v>188</v>
      </c>
      <c r="D139" s="143">
        <v>30.92</v>
      </c>
      <c r="E139" s="143">
        <f t="shared" si="195"/>
        <v>0</v>
      </c>
      <c r="F139" s="143">
        <f t="shared" si="196"/>
        <v>0</v>
      </c>
      <c r="G139" s="143">
        <f t="shared" si="197"/>
        <v>0</v>
      </c>
      <c r="H139" s="143">
        <f t="shared" si="198"/>
        <v>0</v>
      </c>
      <c r="I139" s="143">
        <f t="shared" si="199"/>
        <v>0</v>
      </c>
      <c r="J139" s="143">
        <f t="shared" si="200"/>
        <v>0</v>
      </c>
      <c r="K139" s="84"/>
      <c r="N139" s="144"/>
      <c r="O139" s="76">
        <f t="shared" si="201"/>
        <v>1.149</v>
      </c>
      <c r="P139" s="145">
        <f t="shared" si="202"/>
        <v>0</v>
      </c>
      <c r="Q139" s="78">
        <f t="shared" si="193"/>
        <v>0</v>
      </c>
      <c r="R139" s="146"/>
      <c r="S139" s="147"/>
      <c r="T139" s="80">
        <f t="shared" si="203"/>
        <v>1.149</v>
      </c>
      <c r="U139" s="147">
        <f t="shared" si="204"/>
        <v>0</v>
      </c>
      <c r="V139">
        <f t="shared" si="194"/>
        <v>0</v>
      </c>
    </row>
    <row r="140" spans="1:22" s="85" customFormat="1">
      <c r="A140" s="141"/>
      <c r="B140" s="142" t="s">
        <v>874</v>
      </c>
      <c r="C140" s="141" t="s">
        <v>188</v>
      </c>
      <c r="D140" s="143">
        <v>2.8</v>
      </c>
      <c r="E140" s="143">
        <f t="shared" si="195"/>
        <v>0</v>
      </c>
      <c r="F140" s="143">
        <f t="shared" si="196"/>
        <v>0</v>
      </c>
      <c r="G140" s="143">
        <f t="shared" si="197"/>
        <v>0</v>
      </c>
      <c r="H140" s="143">
        <f t="shared" si="198"/>
        <v>0</v>
      </c>
      <c r="I140" s="143">
        <f t="shared" si="199"/>
        <v>0</v>
      </c>
      <c r="J140" s="143">
        <f t="shared" si="200"/>
        <v>0</v>
      </c>
      <c r="K140" s="84"/>
      <c r="N140" s="144"/>
      <c r="O140" s="76">
        <f t="shared" si="201"/>
        <v>1.149</v>
      </c>
      <c r="P140" s="145">
        <f t="shared" si="202"/>
        <v>0</v>
      </c>
      <c r="Q140" s="78">
        <f t="shared" si="193"/>
        <v>0</v>
      </c>
      <c r="R140" s="146"/>
      <c r="S140" s="147"/>
      <c r="T140" s="80">
        <f t="shared" si="203"/>
        <v>1.149</v>
      </c>
      <c r="U140" s="147">
        <f t="shared" si="204"/>
        <v>0</v>
      </c>
      <c r="V140">
        <f t="shared" si="194"/>
        <v>0</v>
      </c>
    </row>
    <row r="141" spans="1:22">
      <c r="A141" s="19"/>
      <c r="B141" s="20" t="s">
        <v>879</v>
      </c>
      <c r="C141" s="19" t="s">
        <v>26</v>
      </c>
      <c r="D141" s="21"/>
      <c r="E141" s="21"/>
      <c r="F141" s="21"/>
      <c r="G141" s="21"/>
      <c r="H141" s="21"/>
      <c r="I141" s="21"/>
      <c r="J141" s="21"/>
      <c r="Q141" s="78">
        <f t="shared" si="193"/>
        <v>0</v>
      </c>
      <c r="V141">
        <f t="shared" si="194"/>
        <v>0</v>
      </c>
    </row>
    <row r="142" spans="1:22" s="85" customFormat="1">
      <c r="A142" s="141"/>
      <c r="B142" s="142" t="s">
        <v>880</v>
      </c>
      <c r="C142" s="141" t="s">
        <v>450</v>
      </c>
      <c r="D142" s="143">
        <v>96.4</v>
      </c>
      <c r="E142" s="143">
        <f>SUM(P142)</f>
        <v>0</v>
      </c>
      <c r="F142" s="143">
        <f>D142*E142</f>
        <v>0</v>
      </c>
      <c r="G142" s="143">
        <f>SUM(U142)</f>
        <v>0</v>
      </c>
      <c r="H142" s="143">
        <f>D142*G142</f>
        <v>0</v>
      </c>
      <c r="I142" s="143">
        <f t="shared" ref="I142" si="205">E142+G142</f>
        <v>0</v>
      </c>
      <c r="J142" s="143">
        <f t="shared" ref="J142" si="206">F142+H142</f>
        <v>0</v>
      </c>
      <c r="K142" s="84"/>
      <c r="N142" s="144"/>
      <c r="O142" s="76">
        <f>$O$1</f>
        <v>1.149</v>
      </c>
      <c r="P142" s="145">
        <f>SUM(O142*N142)</f>
        <v>0</v>
      </c>
      <c r="Q142" s="78">
        <f t="shared" si="193"/>
        <v>0</v>
      </c>
      <c r="R142" s="146"/>
      <c r="S142" s="147"/>
      <c r="T142" s="80">
        <f>$T$1</f>
        <v>1.149</v>
      </c>
      <c r="U142" s="147">
        <f>SUM(T142*S142)</f>
        <v>0</v>
      </c>
      <c r="V142">
        <f t="shared" si="194"/>
        <v>0</v>
      </c>
    </row>
    <row r="143" spans="1:22">
      <c r="A143" s="19"/>
      <c r="B143" s="20" t="s">
        <v>881</v>
      </c>
      <c r="C143" s="19" t="s">
        <v>26</v>
      </c>
      <c r="D143" s="21"/>
      <c r="E143" s="21"/>
      <c r="F143" s="21"/>
      <c r="G143" s="21"/>
      <c r="H143" s="21"/>
      <c r="I143" s="21"/>
      <c r="J143" s="21"/>
      <c r="Q143" s="78">
        <f t="shared" si="193"/>
        <v>0</v>
      </c>
      <c r="V143">
        <f t="shared" si="194"/>
        <v>0</v>
      </c>
    </row>
    <row r="144" spans="1:22" s="85" customFormat="1">
      <c r="A144" s="141"/>
      <c r="B144" s="142" t="s">
        <v>882</v>
      </c>
      <c r="C144" s="141" t="s">
        <v>260</v>
      </c>
      <c r="D144" s="143">
        <v>233.49</v>
      </c>
      <c r="E144" s="143">
        <f>SUM(P144)</f>
        <v>0</v>
      </c>
      <c r="F144" s="143">
        <f>D144*E144</f>
        <v>0</v>
      </c>
      <c r="G144" s="143">
        <f>SUM(U144)</f>
        <v>0</v>
      </c>
      <c r="H144" s="143">
        <f>D144*G144</f>
        <v>0</v>
      </c>
      <c r="I144" s="143">
        <f t="shared" ref="I144" si="207">E144+G144</f>
        <v>0</v>
      </c>
      <c r="J144" s="143">
        <f t="shared" ref="J144" si="208">F144+H144</f>
        <v>0</v>
      </c>
      <c r="K144" s="84"/>
      <c r="N144" s="144"/>
      <c r="O144" s="76">
        <f>$O$1</f>
        <v>1.149</v>
      </c>
      <c r="P144" s="145">
        <f>SUM(O144*N144)</f>
        <v>0</v>
      </c>
      <c r="Q144" s="78">
        <f t="shared" si="193"/>
        <v>0</v>
      </c>
      <c r="R144" s="146"/>
      <c r="S144" s="147"/>
      <c r="T144" s="80">
        <f>$T$1</f>
        <v>1.149</v>
      </c>
      <c r="U144" s="147">
        <f>SUM(T144*S144)</f>
        <v>0</v>
      </c>
      <c r="V144">
        <f t="shared" si="194"/>
        <v>0</v>
      </c>
    </row>
    <row r="145" spans="1:22">
      <c r="A145" s="19"/>
      <c r="B145" s="20" t="s">
        <v>883</v>
      </c>
      <c r="C145" s="19" t="s">
        <v>26</v>
      </c>
      <c r="D145" s="21"/>
      <c r="E145" s="21"/>
      <c r="F145" s="21"/>
      <c r="G145" s="21"/>
      <c r="H145" s="21"/>
      <c r="I145" s="21"/>
      <c r="J145" s="21"/>
      <c r="Q145" s="78">
        <f t="shared" si="193"/>
        <v>0</v>
      </c>
      <c r="V145">
        <f t="shared" si="194"/>
        <v>0</v>
      </c>
    </row>
    <row r="146" spans="1:22" s="85" customFormat="1">
      <c r="A146" s="141"/>
      <c r="B146" s="142" t="s">
        <v>884</v>
      </c>
      <c r="C146" s="141" t="s">
        <v>450</v>
      </c>
      <c r="D146" s="143">
        <v>8</v>
      </c>
      <c r="E146" s="143">
        <f t="shared" ref="E146:E148" si="209">SUM(P146)</f>
        <v>0</v>
      </c>
      <c r="F146" s="143">
        <f t="shared" ref="F146:F148" si="210">D146*E146</f>
        <v>0</v>
      </c>
      <c r="G146" s="143">
        <f t="shared" ref="G146:G148" si="211">SUM(U146)</f>
        <v>0</v>
      </c>
      <c r="H146" s="143">
        <f t="shared" ref="H146:H148" si="212">D146*G146</f>
        <v>0</v>
      </c>
      <c r="I146" s="143">
        <f t="shared" ref="I146:I148" si="213">E146+G146</f>
        <v>0</v>
      </c>
      <c r="J146" s="143">
        <f t="shared" ref="J146:J148" si="214">F146+H146</f>
        <v>0</v>
      </c>
      <c r="K146" s="84"/>
      <c r="N146" s="144"/>
      <c r="O146" s="76">
        <f t="shared" ref="O146:O148" si="215">$O$1</f>
        <v>1.149</v>
      </c>
      <c r="P146" s="145">
        <f t="shared" ref="P146:P148" si="216">SUM(O146*N146)</f>
        <v>0</v>
      </c>
      <c r="Q146" s="78">
        <f t="shared" si="193"/>
        <v>0</v>
      </c>
      <c r="R146" s="146"/>
      <c r="S146" s="147"/>
      <c r="T146" s="80">
        <f t="shared" ref="T146:T148" si="217">$T$1</f>
        <v>1.149</v>
      </c>
      <c r="U146" s="147">
        <f t="shared" ref="U146:U148" si="218">SUM(T146*S146)</f>
        <v>0</v>
      </c>
      <c r="V146">
        <f t="shared" si="194"/>
        <v>0</v>
      </c>
    </row>
    <row r="147" spans="1:22">
      <c r="A147" s="4"/>
      <c r="B147" s="5" t="s">
        <v>885</v>
      </c>
      <c r="C147" s="4" t="s">
        <v>36</v>
      </c>
      <c r="D147" s="6">
        <v>1</v>
      </c>
      <c r="E147" s="6">
        <f t="shared" si="209"/>
        <v>360.13288421052636</v>
      </c>
      <c r="F147" s="6">
        <f t="shared" si="210"/>
        <v>360.13288421052636</v>
      </c>
      <c r="G147" s="6">
        <f t="shared" si="211"/>
        <v>1034.0999999999999</v>
      </c>
      <c r="H147" s="6">
        <f t="shared" si="212"/>
        <v>1034.0999999999999</v>
      </c>
      <c r="I147" s="6">
        <f t="shared" si="213"/>
        <v>1394.2328842105262</v>
      </c>
      <c r="J147" s="6">
        <f t="shared" si="214"/>
        <v>1394.2328842105262</v>
      </c>
      <c r="K147" s="81"/>
      <c r="N147" s="75">
        <v>313.43157894736845</v>
      </c>
      <c r="O147" s="76">
        <f t="shared" si="215"/>
        <v>1.149</v>
      </c>
      <c r="P147" s="77">
        <f t="shared" si="216"/>
        <v>360.13288421052636</v>
      </c>
      <c r="Q147" s="78">
        <f t="shared" si="193"/>
        <v>313.43157894736845</v>
      </c>
      <c r="R147" s="78"/>
      <c r="S147" s="79">
        <v>900</v>
      </c>
      <c r="T147" s="80">
        <f t="shared" si="217"/>
        <v>1.149</v>
      </c>
      <c r="U147" s="79">
        <f t="shared" si="218"/>
        <v>1034.0999999999999</v>
      </c>
      <c r="V147">
        <f t="shared" si="194"/>
        <v>900</v>
      </c>
    </row>
    <row r="148" spans="1:22">
      <c r="A148" s="4"/>
      <c r="B148" s="5" t="s">
        <v>886</v>
      </c>
      <c r="C148" s="4" t="s">
        <v>36</v>
      </c>
      <c r="D148" s="6">
        <v>5</v>
      </c>
      <c r="E148" s="6">
        <f t="shared" si="209"/>
        <v>360.13288421052636</v>
      </c>
      <c r="F148" s="6">
        <f t="shared" si="210"/>
        <v>1800.6644210526317</v>
      </c>
      <c r="G148" s="6">
        <f t="shared" si="211"/>
        <v>1378.8</v>
      </c>
      <c r="H148" s="6">
        <f t="shared" si="212"/>
        <v>6894</v>
      </c>
      <c r="I148" s="6">
        <f t="shared" si="213"/>
        <v>1738.9328842105263</v>
      </c>
      <c r="J148" s="6">
        <f t="shared" si="214"/>
        <v>8694.664421052632</v>
      </c>
      <c r="K148" s="81"/>
      <c r="N148" s="75">
        <v>313.43157894736845</v>
      </c>
      <c r="O148" s="76">
        <f t="shared" si="215"/>
        <v>1.149</v>
      </c>
      <c r="P148" s="77">
        <f t="shared" si="216"/>
        <v>360.13288421052636</v>
      </c>
      <c r="Q148" s="78">
        <f t="shared" si="193"/>
        <v>1567.1578947368423</v>
      </c>
      <c r="R148" s="78"/>
      <c r="S148" s="79">
        <v>1200</v>
      </c>
      <c r="T148" s="80">
        <f t="shared" si="217"/>
        <v>1.149</v>
      </c>
      <c r="U148" s="79">
        <f t="shared" si="218"/>
        <v>1378.8</v>
      </c>
      <c r="V148">
        <f t="shared" si="194"/>
        <v>6000</v>
      </c>
    </row>
    <row r="149" spans="1:22">
      <c r="A149" s="19"/>
      <c r="B149" s="20" t="s">
        <v>887</v>
      </c>
      <c r="C149" s="19" t="s">
        <v>26</v>
      </c>
      <c r="D149" s="21"/>
      <c r="E149" s="21"/>
      <c r="F149" s="21"/>
      <c r="G149" s="21"/>
      <c r="H149" s="21"/>
      <c r="I149" s="21"/>
      <c r="J149" s="21"/>
      <c r="Q149" s="78">
        <f t="shared" si="193"/>
        <v>0</v>
      </c>
      <c r="V149">
        <f t="shared" si="194"/>
        <v>0</v>
      </c>
    </row>
    <row r="150" spans="1:22">
      <c r="A150" s="4"/>
      <c r="B150" s="5" t="s">
        <v>888</v>
      </c>
      <c r="C150" s="4" t="s">
        <v>450</v>
      </c>
      <c r="D150" s="6">
        <v>3</v>
      </c>
      <c r="E150" s="6">
        <f>SUM(P150)</f>
        <v>0</v>
      </c>
      <c r="F150" s="6">
        <f>D150*E150</f>
        <v>0</v>
      </c>
      <c r="G150" s="6">
        <f>SUM(U150)</f>
        <v>689.4</v>
      </c>
      <c r="H150" s="6">
        <f>D150*G150</f>
        <v>2068.1999999999998</v>
      </c>
      <c r="I150" s="6">
        <f t="shared" ref="I150" si="219">E150+G150</f>
        <v>689.4</v>
      </c>
      <c r="J150" s="6">
        <f t="shared" ref="J150" si="220">F150+H150</f>
        <v>2068.1999999999998</v>
      </c>
      <c r="N150" s="75"/>
      <c r="O150" s="76">
        <f>$O$1</f>
        <v>1.149</v>
      </c>
      <c r="P150" s="77">
        <f>SUM(O150*N150)</f>
        <v>0</v>
      </c>
      <c r="Q150" s="78">
        <f t="shared" si="193"/>
        <v>0</v>
      </c>
      <c r="R150" s="78"/>
      <c r="S150" s="79">
        <v>600</v>
      </c>
      <c r="T150" s="80">
        <f>$T$1</f>
        <v>1.149</v>
      </c>
      <c r="U150" s="79">
        <f>SUM(T150*S150)</f>
        <v>689.4</v>
      </c>
      <c r="V150">
        <f t="shared" si="194"/>
        <v>1800</v>
      </c>
    </row>
    <row r="151" spans="1:22">
      <c r="A151" s="19"/>
      <c r="B151" s="20" t="s">
        <v>889</v>
      </c>
      <c r="C151" s="19" t="s">
        <v>26</v>
      </c>
      <c r="D151" s="21"/>
      <c r="E151" s="21"/>
      <c r="F151" s="21"/>
      <c r="G151" s="21"/>
      <c r="H151" s="21"/>
      <c r="I151" s="21"/>
      <c r="J151" s="21"/>
      <c r="Q151" s="78">
        <f t="shared" si="193"/>
        <v>0</v>
      </c>
      <c r="V151">
        <f t="shared" si="194"/>
        <v>0</v>
      </c>
    </row>
    <row r="152" spans="1:22">
      <c r="A152" s="19"/>
      <c r="B152" s="20" t="s">
        <v>890</v>
      </c>
      <c r="C152" s="19" t="s">
        <v>26</v>
      </c>
      <c r="D152" s="21"/>
      <c r="E152" s="21"/>
      <c r="F152" s="21"/>
      <c r="G152" s="21"/>
      <c r="H152" s="21"/>
      <c r="I152" s="21"/>
      <c r="J152" s="21"/>
      <c r="Q152" s="78">
        <f t="shared" si="193"/>
        <v>0</v>
      </c>
      <c r="V152">
        <f t="shared" si="194"/>
        <v>0</v>
      </c>
    </row>
    <row r="153" spans="1:22" s="85" customFormat="1">
      <c r="A153" s="141"/>
      <c r="B153" s="142" t="s">
        <v>891</v>
      </c>
      <c r="C153" s="141" t="s">
        <v>450</v>
      </c>
      <c r="D153" s="143">
        <v>2</v>
      </c>
      <c r="E153" s="143">
        <f>SUM(P153)</f>
        <v>0</v>
      </c>
      <c r="F153" s="143">
        <f>D153*E153</f>
        <v>0</v>
      </c>
      <c r="G153" s="143">
        <f>SUM(U153)</f>
        <v>0</v>
      </c>
      <c r="H153" s="143">
        <f>D153*G153</f>
        <v>0</v>
      </c>
      <c r="I153" s="143">
        <f t="shared" ref="I153" si="221">E153+G153</f>
        <v>0</v>
      </c>
      <c r="J153" s="143">
        <f t="shared" ref="J153" si="222">F153+H153</f>
        <v>0</v>
      </c>
      <c r="K153" s="84"/>
      <c r="N153" s="144"/>
      <c r="O153" s="76">
        <f>$O$1</f>
        <v>1.149</v>
      </c>
      <c r="P153" s="145">
        <f>SUM(O153*N153)</f>
        <v>0</v>
      </c>
      <c r="Q153" s="78">
        <f t="shared" si="193"/>
        <v>0</v>
      </c>
      <c r="R153" s="146"/>
      <c r="S153" s="147"/>
      <c r="T153" s="80">
        <f>$T$1</f>
        <v>1.149</v>
      </c>
      <c r="U153" s="147">
        <f>SUM(T153*S153)</f>
        <v>0</v>
      </c>
      <c r="V153">
        <f t="shared" si="194"/>
        <v>0</v>
      </c>
    </row>
    <row r="154" spans="1:22">
      <c r="A154" s="19"/>
      <c r="B154" s="20" t="s">
        <v>892</v>
      </c>
      <c r="C154" s="19" t="s">
        <v>26</v>
      </c>
      <c r="D154" s="21"/>
      <c r="E154" s="21"/>
      <c r="F154" s="21"/>
      <c r="G154" s="21"/>
      <c r="H154" s="21"/>
      <c r="I154" s="21"/>
      <c r="J154" s="21"/>
      <c r="Q154" s="78">
        <f t="shared" si="193"/>
        <v>0</v>
      </c>
      <c r="V154">
        <f t="shared" si="194"/>
        <v>0</v>
      </c>
    </row>
    <row r="155" spans="1:22" s="85" customFormat="1">
      <c r="A155" s="141"/>
      <c r="B155" s="142" t="s">
        <v>893</v>
      </c>
      <c r="C155" s="141" t="s">
        <v>188</v>
      </c>
      <c r="D155" s="143">
        <v>10</v>
      </c>
      <c r="E155" s="143">
        <f>SUM(P155)</f>
        <v>0</v>
      </c>
      <c r="F155" s="143">
        <f>D155*E155</f>
        <v>0</v>
      </c>
      <c r="G155" s="143">
        <f>SUM(U155)</f>
        <v>0</v>
      </c>
      <c r="H155" s="143">
        <f>D155*G155</f>
        <v>0</v>
      </c>
      <c r="I155" s="143">
        <f t="shared" ref="I155:I156" si="223">E155+G155</f>
        <v>0</v>
      </c>
      <c r="J155" s="143">
        <f t="shared" ref="J155:J156" si="224">F155+H155</f>
        <v>0</v>
      </c>
      <c r="K155" s="84"/>
      <c r="N155" s="144"/>
      <c r="O155" s="76">
        <f>$O$1</f>
        <v>1.149</v>
      </c>
      <c r="P155" s="145">
        <f>SUM(O155*N155)</f>
        <v>0</v>
      </c>
      <c r="Q155" s="78">
        <f t="shared" si="193"/>
        <v>0</v>
      </c>
      <c r="R155" s="146"/>
      <c r="S155" s="147"/>
      <c r="T155" s="80">
        <f>$T$1</f>
        <v>1.149</v>
      </c>
      <c r="U155" s="147">
        <f>SUM(T155*S155)</f>
        <v>0</v>
      </c>
      <c r="V155">
        <f t="shared" si="194"/>
        <v>0</v>
      </c>
    </row>
    <row r="156" spans="1:22" s="85" customFormat="1">
      <c r="A156" s="141"/>
      <c r="B156" s="142" t="s">
        <v>894</v>
      </c>
      <c r="C156" s="141" t="s">
        <v>329</v>
      </c>
      <c r="D156" s="143">
        <v>1</v>
      </c>
      <c r="E156" s="143">
        <f>SUM(P156)</f>
        <v>0</v>
      </c>
      <c r="F156" s="143">
        <f>D156*E156</f>
        <v>0</v>
      </c>
      <c r="G156" s="143">
        <f>SUM(U156)</f>
        <v>0</v>
      </c>
      <c r="H156" s="143">
        <f>D156*G156</f>
        <v>0</v>
      </c>
      <c r="I156" s="143">
        <f t="shared" si="223"/>
        <v>0</v>
      </c>
      <c r="J156" s="143">
        <f t="shared" si="224"/>
        <v>0</v>
      </c>
      <c r="K156" s="84"/>
      <c r="N156" s="144"/>
      <c r="O156" s="76">
        <f>$O$1</f>
        <v>1.149</v>
      </c>
      <c r="P156" s="145">
        <f>SUM(O156*N156)</f>
        <v>0</v>
      </c>
      <c r="Q156" s="78">
        <f t="shared" si="193"/>
        <v>0</v>
      </c>
      <c r="R156" s="146"/>
      <c r="S156" s="147"/>
      <c r="T156" s="80">
        <f>$T$1</f>
        <v>1.149</v>
      </c>
      <c r="U156" s="147">
        <f>SUM(T156*S156)</f>
        <v>0</v>
      </c>
      <c r="V156">
        <f t="shared" si="194"/>
        <v>0</v>
      </c>
    </row>
    <row r="157" spans="1:22">
      <c r="A157" s="19"/>
      <c r="B157" s="20" t="s">
        <v>895</v>
      </c>
      <c r="C157" s="19" t="s">
        <v>26</v>
      </c>
      <c r="D157" s="21"/>
      <c r="E157" s="21"/>
      <c r="F157" s="21"/>
      <c r="G157" s="21"/>
      <c r="H157" s="21"/>
      <c r="I157" s="21"/>
      <c r="J157" s="21"/>
      <c r="Q157" s="78">
        <f t="shared" si="193"/>
        <v>0</v>
      </c>
      <c r="V157">
        <f t="shared" si="194"/>
        <v>0</v>
      </c>
    </row>
    <row r="158" spans="1:22">
      <c r="A158" s="4"/>
      <c r="B158" s="5" t="s">
        <v>896</v>
      </c>
      <c r="C158" s="4" t="s">
        <v>36</v>
      </c>
      <c r="D158" s="6">
        <v>5</v>
      </c>
      <c r="E158" s="6">
        <f>SUM(P158)</f>
        <v>0</v>
      </c>
      <c r="F158" s="6">
        <f>D158*E158</f>
        <v>0</v>
      </c>
      <c r="G158" s="6">
        <f>SUM(U158)</f>
        <v>0</v>
      </c>
      <c r="H158" s="6">
        <f>D158*G158</f>
        <v>0</v>
      </c>
      <c r="I158" s="6">
        <f t="shared" ref="I158" si="225">E158+G158</f>
        <v>0</v>
      </c>
      <c r="J158" s="6">
        <f t="shared" ref="J158" si="226">F158+H158</f>
        <v>0</v>
      </c>
      <c r="N158" s="75"/>
      <c r="O158" s="76">
        <f>$O$1</f>
        <v>1.149</v>
      </c>
      <c r="P158" s="77">
        <f>SUM(O158*N158)</f>
        <v>0</v>
      </c>
      <c r="Q158" s="78">
        <f t="shared" si="193"/>
        <v>0</v>
      </c>
      <c r="R158" s="78"/>
      <c r="S158" s="79"/>
      <c r="T158" s="80">
        <f>$T$1</f>
        <v>1.149</v>
      </c>
      <c r="U158" s="79">
        <f>SUM(T158*S158)</f>
        <v>0</v>
      </c>
      <c r="V158">
        <f t="shared" si="194"/>
        <v>0</v>
      </c>
    </row>
    <row r="159" spans="1:22">
      <c r="A159" s="19"/>
      <c r="B159" s="20" t="s">
        <v>897</v>
      </c>
      <c r="C159" s="19" t="s">
        <v>26</v>
      </c>
      <c r="D159" s="21"/>
      <c r="E159" s="21"/>
      <c r="F159" s="21"/>
      <c r="G159" s="21"/>
      <c r="H159" s="21"/>
      <c r="I159" s="21"/>
      <c r="J159" s="21"/>
      <c r="Q159" s="78">
        <f t="shared" si="193"/>
        <v>0</v>
      </c>
      <c r="V159">
        <f t="shared" si="194"/>
        <v>0</v>
      </c>
    </row>
    <row r="160" spans="1:22" s="85" customFormat="1">
      <c r="A160" s="141"/>
      <c r="B160" s="142" t="s">
        <v>898</v>
      </c>
      <c r="C160" s="141" t="s">
        <v>450</v>
      </c>
      <c r="D160" s="143">
        <v>1</v>
      </c>
      <c r="E160" s="143">
        <f>SUM(P160)</f>
        <v>0</v>
      </c>
      <c r="F160" s="143">
        <f>D160*E160</f>
        <v>0</v>
      </c>
      <c r="G160" s="143">
        <f>SUM(U160)</f>
        <v>0</v>
      </c>
      <c r="H160" s="143">
        <f>D160*G160</f>
        <v>0</v>
      </c>
      <c r="I160" s="143">
        <f t="shared" ref="I160" si="227">E160+G160</f>
        <v>0</v>
      </c>
      <c r="J160" s="143">
        <f t="shared" ref="J160" si="228">F160+H160</f>
        <v>0</v>
      </c>
      <c r="K160" s="84"/>
      <c r="N160" s="144"/>
      <c r="O160" s="76">
        <f>$O$1</f>
        <v>1.149</v>
      </c>
      <c r="P160" s="145">
        <f>SUM(O160*N160)</f>
        <v>0</v>
      </c>
      <c r="Q160" s="78">
        <f t="shared" si="193"/>
        <v>0</v>
      </c>
      <c r="R160" s="146"/>
      <c r="S160" s="147"/>
      <c r="T160" s="80">
        <f>$T$1</f>
        <v>1.149</v>
      </c>
      <c r="U160" s="147">
        <f>SUM(T160*S160)</f>
        <v>0</v>
      </c>
      <c r="V160">
        <f t="shared" si="194"/>
        <v>0</v>
      </c>
    </row>
    <row r="161" spans="1:22">
      <c r="A161" s="19"/>
      <c r="B161" s="20" t="s">
        <v>899</v>
      </c>
      <c r="C161" s="19" t="s">
        <v>26</v>
      </c>
      <c r="D161" s="21"/>
      <c r="E161" s="21"/>
      <c r="F161" s="21"/>
      <c r="G161" s="21"/>
      <c r="H161" s="21"/>
      <c r="I161" s="21"/>
      <c r="J161" s="21"/>
      <c r="Q161" s="78">
        <f t="shared" si="193"/>
        <v>0</v>
      </c>
      <c r="V161">
        <f t="shared" si="194"/>
        <v>0</v>
      </c>
    </row>
    <row r="162" spans="1:22">
      <c r="A162" s="4"/>
      <c r="B162" s="5" t="s">
        <v>900</v>
      </c>
      <c r="C162" s="4" t="s">
        <v>36</v>
      </c>
      <c r="D162" s="6">
        <v>10</v>
      </c>
      <c r="E162" s="6">
        <f>SUM(P162)</f>
        <v>0</v>
      </c>
      <c r="F162" s="6">
        <f>D162*E162</f>
        <v>0</v>
      </c>
      <c r="G162" s="6">
        <f>SUM(U162)</f>
        <v>0</v>
      </c>
      <c r="H162" s="6">
        <f>D162*G162</f>
        <v>0</v>
      </c>
      <c r="I162" s="6">
        <f t="shared" ref="I162" si="229">E162+G162</f>
        <v>0</v>
      </c>
      <c r="J162" s="6">
        <f t="shared" ref="J162" si="230">F162+H162</f>
        <v>0</v>
      </c>
      <c r="N162" s="75"/>
      <c r="O162" s="76">
        <f>$O$1</f>
        <v>1.149</v>
      </c>
      <c r="P162" s="77">
        <f>SUM(O162*N162)</f>
        <v>0</v>
      </c>
      <c r="Q162" s="78">
        <f t="shared" si="193"/>
        <v>0</v>
      </c>
      <c r="R162" s="78"/>
      <c r="S162" s="79"/>
      <c r="T162" s="80">
        <f>$T$1</f>
        <v>1.149</v>
      </c>
      <c r="U162" s="79">
        <f>SUM(T162*S162)</f>
        <v>0</v>
      </c>
      <c r="V162">
        <f t="shared" si="194"/>
        <v>0</v>
      </c>
    </row>
    <row r="163" spans="1:22">
      <c r="A163" s="7"/>
      <c r="B163" s="8" t="s">
        <v>352</v>
      </c>
      <c r="C163" s="7" t="s">
        <v>26</v>
      </c>
      <c r="D163" s="9"/>
      <c r="E163" s="9"/>
      <c r="F163" s="9">
        <f>SUM(F123:F162)</f>
        <v>2856.1594662631578</v>
      </c>
      <c r="G163" s="9"/>
      <c r="H163" s="9">
        <f>SUM(H123:H162)</f>
        <v>18019.70955</v>
      </c>
      <c r="I163" s="9"/>
      <c r="J163" s="9">
        <f>SUM(J123:J162)</f>
        <v>20875.869016263157</v>
      </c>
      <c r="Q163" s="78">
        <f t="shared" si="193"/>
        <v>0</v>
      </c>
      <c r="V163">
        <f t="shared" si="194"/>
        <v>0</v>
      </c>
    </row>
    <row r="164" spans="1:22">
      <c r="Q164" s="78">
        <f t="shared" si="193"/>
        <v>0</v>
      </c>
      <c r="V164">
        <f t="shared" si="194"/>
        <v>0</v>
      </c>
    </row>
    <row r="165" spans="1:22">
      <c r="B165" s="20" t="s">
        <v>901</v>
      </c>
      <c r="C165" s="19"/>
      <c r="D165" s="21"/>
      <c r="E165" s="21"/>
      <c r="F165" s="21"/>
      <c r="G165" s="21"/>
      <c r="H165" s="21"/>
      <c r="I165" s="21"/>
      <c r="J165" s="21">
        <v>0</v>
      </c>
      <c r="Q165" s="78">
        <f t="shared" si="193"/>
        <v>0</v>
      </c>
      <c r="V165">
        <f t="shared" si="194"/>
        <v>0</v>
      </c>
    </row>
    <row r="166" spans="1:22">
      <c r="B166" s="20" t="s">
        <v>902</v>
      </c>
      <c r="C166" s="19"/>
      <c r="D166" s="21"/>
      <c r="E166" s="21"/>
      <c r="F166" s="21"/>
      <c r="G166" s="21"/>
      <c r="H166" s="21"/>
      <c r="I166" s="21"/>
      <c r="J166" s="21">
        <v>0</v>
      </c>
      <c r="Q166" s="78">
        <f t="shared" si="193"/>
        <v>0</v>
      </c>
      <c r="V166">
        <f t="shared" si="194"/>
        <v>0</v>
      </c>
    </row>
    <row r="168" spans="1:22">
      <c r="B168" s="36" t="s">
        <v>356</v>
      </c>
      <c r="C168" s="37"/>
      <c r="D168" s="38"/>
      <c r="E168" s="38"/>
      <c r="F168" s="38"/>
      <c r="G168" s="38"/>
      <c r="H168" s="38">
        <f>H120+H163+H165+H166</f>
        <v>203966.79635399996</v>
      </c>
      <c r="I168" s="38"/>
      <c r="J168" s="38">
        <f>J120+J163+J165+J166</f>
        <v>529694.11352131586</v>
      </c>
      <c r="O168" t="s">
        <v>354</v>
      </c>
      <c r="Q168" s="168">
        <f>SUM(Q8:Q166)</f>
        <v>283487.6563684211</v>
      </c>
      <c r="T168" t="s">
        <v>355</v>
      </c>
      <c r="V168" s="168">
        <f>SUM(V8:V166)</f>
        <v>179831.546</v>
      </c>
    </row>
    <row r="170" spans="1:22">
      <c r="O170" t="s">
        <v>801</v>
      </c>
      <c r="Q170" s="282">
        <f>SUM(V168,Q168)</f>
        <v>463319.20236842113</v>
      </c>
      <c r="R170" s="279"/>
      <c r="S170" s="279"/>
      <c r="V170" s="161">
        <f>SUM(1-(Q170/J168))</f>
        <v>0.12530800221970695</v>
      </c>
    </row>
    <row r="172" spans="1:22" ht="17.149999999999999">
      <c r="L172" s="169">
        <f>SUM(L2:L166)</f>
        <v>70310.871856315789</v>
      </c>
      <c r="M172" s="169"/>
      <c r="R172" s="170">
        <f>SUM(J168-Q170)</f>
        <v>66374.911152894725</v>
      </c>
      <c r="V172" s="171">
        <f>SUM(R172,L172)</f>
        <v>136685.78300921051</v>
      </c>
    </row>
    <row r="173" spans="1:22">
      <c r="L173" s="167" t="s">
        <v>802</v>
      </c>
      <c r="M173" s="167"/>
      <c r="N173" s="167"/>
      <c r="R173" s="167" t="s">
        <v>357</v>
      </c>
    </row>
  </sheetData>
  <mergeCells count="1">
    <mergeCell ref="Q170:S170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S114"/>
  <sheetViews>
    <sheetView tabSelected="1" zoomScaleNormal="100" workbookViewId="0">
      <pane ySplit="1" topLeftCell="A2" activePane="bottomLeft" state="frozen"/>
      <selection pane="bottomLeft" activeCell="G124" sqref="G124"/>
    </sheetView>
  </sheetViews>
  <sheetFormatPr defaultRowHeight="14.6"/>
  <cols>
    <col min="1" max="1" width="6" style="25" customWidth="1"/>
    <col min="2" max="2" width="38.84375" style="26" customWidth="1"/>
    <col min="3" max="3" width="4.3046875" style="25" bestFit="1" customWidth="1"/>
    <col min="4" max="4" width="5.69140625" style="27" bestFit="1" customWidth="1"/>
    <col min="5" max="5" width="8.69140625" style="27" bestFit="1" customWidth="1"/>
    <col min="6" max="6" width="11.3046875" style="27" bestFit="1" customWidth="1"/>
    <col min="7" max="7" width="7.84375" style="27" bestFit="1" customWidth="1"/>
    <col min="8" max="8" width="11.3046875" style="27" bestFit="1" customWidth="1"/>
    <col min="9" max="9" width="8.69140625" style="27" bestFit="1" customWidth="1"/>
    <col min="10" max="10" width="15.3046875" style="27" customWidth="1"/>
  </cols>
  <sheetData>
    <row r="1" spans="1:19">
      <c r="A1" s="1"/>
      <c r="B1" s="2" t="s">
        <v>16</v>
      </c>
      <c r="C1" s="1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L1" s="73"/>
      <c r="M1" s="74">
        <v>1.19</v>
      </c>
      <c r="N1" s="73"/>
      <c r="O1" s="73"/>
      <c r="P1" s="73"/>
      <c r="Q1" s="73"/>
      <c r="R1" s="74">
        <v>1.24</v>
      </c>
      <c r="S1" s="73"/>
    </row>
    <row r="2" spans="1:19">
      <c r="A2" s="7"/>
      <c r="B2" s="8" t="s">
        <v>32</v>
      </c>
      <c r="C2" s="7" t="s">
        <v>26</v>
      </c>
      <c r="D2" s="32"/>
      <c r="E2" s="32"/>
      <c r="F2" s="32"/>
      <c r="G2" s="32"/>
      <c r="H2" s="32"/>
      <c r="I2" s="32"/>
      <c r="J2" s="32"/>
      <c r="L2" s="73" t="s">
        <v>27</v>
      </c>
      <c r="M2" s="73" t="s">
        <v>28</v>
      </c>
      <c r="N2" s="73" t="s">
        <v>29</v>
      </c>
      <c r="O2" s="73"/>
      <c r="P2" s="73"/>
      <c r="Q2" s="73" t="s">
        <v>30</v>
      </c>
      <c r="R2" s="73" t="s">
        <v>28</v>
      </c>
      <c r="S2" s="73" t="s">
        <v>31</v>
      </c>
    </row>
    <row r="3" spans="1:19">
      <c r="A3" s="4"/>
      <c r="B3" s="5" t="s">
        <v>26</v>
      </c>
      <c r="C3" s="4" t="s">
        <v>26</v>
      </c>
      <c r="D3" s="23"/>
      <c r="E3" s="23"/>
      <c r="F3" s="23"/>
      <c r="G3" s="23"/>
      <c r="H3" s="23"/>
      <c r="I3" s="23"/>
      <c r="J3" s="23"/>
    </row>
    <row r="4" spans="1:19">
      <c r="A4" s="10"/>
      <c r="B4" s="68" t="s">
        <v>903</v>
      </c>
      <c r="C4" s="69" t="s">
        <v>26</v>
      </c>
      <c r="D4" s="70"/>
      <c r="E4" s="70"/>
      <c r="F4" s="70"/>
      <c r="G4" s="70"/>
      <c r="H4" s="70"/>
      <c r="I4" s="70"/>
      <c r="J4" s="70"/>
    </row>
    <row r="5" spans="1:19">
      <c r="A5" s="4"/>
      <c r="B5" s="63" t="s">
        <v>904</v>
      </c>
      <c r="C5" s="62" t="s">
        <v>36</v>
      </c>
      <c r="D5" s="64">
        <v>1</v>
      </c>
      <c r="E5" s="64">
        <f>SUM(N5)</f>
        <v>0</v>
      </c>
      <c r="F5" s="64">
        <f>D5*E5</f>
        <v>0</v>
      </c>
      <c r="G5" s="64">
        <f>SUM(S5)</f>
        <v>0</v>
      </c>
      <c r="H5" s="64">
        <f>D5*G5</f>
        <v>0</v>
      </c>
      <c r="I5" s="64">
        <f t="shared" ref="I5:J5" si="0">E5+G5</f>
        <v>0</v>
      </c>
      <c r="J5" s="64">
        <f t="shared" si="0"/>
        <v>0</v>
      </c>
      <c r="L5" s="75"/>
      <c r="M5" s="76">
        <f>$M$1</f>
        <v>1.19</v>
      </c>
      <c r="N5" s="77">
        <f>SUM(M5*L5)</f>
        <v>0</v>
      </c>
      <c r="O5" s="78"/>
      <c r="P5" s="78"/>
      <c r="Q5" s="79"/>
      <c r="R5" s="80">
        <f>$R$1</f>
        <v>1.24</v>
      </c>
      <c r="S5" s="79">
        <f>SUM(R5*Q5)</f>
        <v>0</v>
      </c>
    </row>
    <row r="6" spans="1:19">
      <c r="A6" s="4"/>
      <c r="B6" s="63" t="s">
        <v>905</v>
      </c>
      <c r="C6" s="62" t="s">
        <v>329</v>
      </c>
      <c r="D6" s="64">
        <v>1</v>
      </c>
      <c r="E6" s="64">
        <f t="shared" ref="E6:E7" si="1">SUM(N6)</f>
        <v>0</v>
      </c>
      <c r="F6" s="64">
        <f t="shared" ref="F6:F7" si="2">D6*E6</f>
        <v>0</v>
      </c>
      <c r="G6" s="64">
        <f t="shared" ref="G6:G7" si="3">SUM(S6)</f>
        <v>0</v>
      </c>
      <c r="H6" s="64">
        <f t="shared" ref="H6:H7" si="4">D6*G6</f>
        <v>0</v>
      </c>
      <c r="I6" s="64">
        <f t="shared" ref="I6:I7" si="5">E6+G6</f>
        <v>0</v>
      </c>
      <c r="J6" s="64">
        <f t="shared" ref="J6:J7" si="6">F6+H6</f>
        <v>0</v>
      </c>
      <c r="L6" s="75"/>
      <c r="M6" s="76">
        <f t="shared" ref="M6:M7" si="7">$M$1</f>
        <v>1.19</v>
      </c>
      <c r="N6" s="77">
        <f t="shared" ref="N6:N7" si="8">SUM(M6*L6)</f>
        <v>0</v>
      </c>
      <c r="O6" s="78"/>
      <c r="P6" s="78"/>
      <c r="Q6" s="79"/>
      <c r="R6" s="80">
        <f t="shared" ref="R6:R7" si="9">$R$1</f>
        <v>1.24</v>
      </c>
      <c r="S6" s="79">
        <f t="shared" ref="S6:S7" si="10">SUM(R6*Q6)</f>
        <v>0</v>
      </c>
    </row>
    <row r="7" spans="1:19">
      <c r="A7" s="4"/>
      <c r="B7" s="63" t="s">
        <v>906</v>
      </c>
      <c r="C7" s="62" t="s">
        <v>329</v>
      </c>
      <c r="D7" s="64">
        <v>1</v>
      </c>
      <c r="E7" s="64">
        <f t="shared" si="1"/>
        <v>0</v>
      </c>
      <c r="F7" s="64">
        <f t="shared" si="2"/>
        <v>0</v>
      </c>
      <c r="G7" s="64">
        <f t="shared" si="3"/>
        <v>0</v>
      </c>
      <c r="H7" s="64">
        <f t="shared" si="4"/>
        <v>0</v>
      </c>
      <c r="I7" s="64">
        <f t="shared" si="5"/>
        <v>0</v>
      </c>
      <c r="J7" s="64">
        <f t="shared" si="6"/>
        <v>0</v>
      </c>
      <c r="L7" s="75"/>
      <c r="M7" s="76">
        <f t="shared" si="7"/>
        <v>1.19</v>
      </c>
      <c r="N7" s="77">
        <f t="shared" si="8"/>
        <v>0</v>
      </c>
      <c r="O7" s="78"/>
      <c r="P7" s="78"/>
      <c r="Q7" s="79"/>
      <c r="R7" s="80">
        <f t="shared" si="9"/>
        <v>1.24</v>
      </c>
      <c r="S7" s="79">
        <f t="shared" si="10"/>
        <v>0</v>
      </c>
    </row>
    <row r="8" spans="1:19">
      <c r="A8" s="10"/>
      <c r="B8" s="68" t="s">
        <v>907</v>
      </c>
      <c r="C8" s="69" t="s">
        <v>26</v>
      </c>
      <c r="D8" s="70"/>
      <c r="E8" s="70"/>
      <c r="F8" s="71">
        <f>SUM(F5:F7)</f>
        <v>0</v>
      </c>
      <c r="G8" s="70"/>
      <c r="H8" s="71">
        <f>SUM(H5:H7)</f>
        <v>0</v>
      </c>
      <c r="I8" s="70"/>
      <c r="J8" s="71">
        <f>SUM(J5:J7)</f>
        <v>0</v>
      </c>
    </row>
    <row r="9" spans="1:19">
      <c r="A9" s="4"/>
      <c r="B9" s="5" t="s">
        <v>26</v>
      </c>
      <c r="C9" s="4" t="s">
        <v>26</v>
      </c>
      <c r="D9" s="23"/>
      <c r="E9" s="23"/>
      <c r="F9" s="23"/>
      <c r="G9" s="23"/>
      <c r="H9" s="23"/>
      <c r="I9" s="23"/>
      <c r="J9" s="23"/>
    </row>
    <row r="10" spans="1:19">
      <c r="A10" s="7"/>
      <c r="B10" s="8" t="s">
        <v>49</v>
      </c>
      <c r="C10" s="7" t="s">
        <v>26</v>
      </c>
      <c r="D10" s="32"/>
      <c r="E10" s="32"/>
      <c r="F10" s="9">
        <f>SUM(F3,F5:F7,F9:F9)</f>
        <v>0</v>
      </c>
      <c r="G10" s="32"/>
      <c r="H10" s="9">
        <f>SUM(H3,H5:H7,H9:H9)</f>
        <v>0</v>
      </c>
      <c r="I10" s="32"/>
      <c r="J10" s="9">
        <f>SUM(J3,J5:J7,J9:J9)</f>
        <v>0</v>
      </c>
    </row>
    <row r="11" spans="1:19">
      <c r="A11" s="4"/>
      <c r="B11" s="5" t="s">
        <v>26</v>
      </c>
      <c r="C11" s="4" t="s">
        <v>26</v>
      </c>
      <c r="D11" s="23"/>
      <c r="E11" s="23"/>
      <c r="F11" s="23"/>
      <c r="G11" s="23"/>
      <c r="H11" s="23"/>
      <c r="I11" s="23"/>
      <c r="J11" s="23"/>
    </row>
    <row r="12" spans="1:19">
      <c r="A12" s="7"/>
      <c r="B12" s="8" t="s">
        <v>50</v>
      </c>
      <c r="C12" s="7" t="s">
        <v>26</v>
      </c>
      <c r="D12" s="9"/>
      <c r="E12" s="9"/>
      <c r="F12" s="9"/>
      <c r="G12" s="9"/>
      <c r="H12" s="9"/>
      <c r="I12" s="9"/>
      <c r="J12" s="9"/>
    </row>
    <row r="13" spans="1:19">
      <c r="A13" s="4"/>
      <c r="B13" s="5" t="s">
        <v>26</v>
      </c>
      <c r="C13" s="4" t="s">
        <v>26</v>
      </c>
      <c r="D13" s="6"/>
      <c r="E13" s="6"/>
      <c r="F13" s="6"/>
      <c r="G13" s="6"/>
      <c r="H13" s="6"/>
      <c r="I13" s="6"/>
      <c r="J13" s="6"/>
    </row>
    <row r="14" spans="1:19" ht="24">
      <c r="A14" s="16"/>
      <c r="B14" s="17" t="s">
        <v>908</v>
      </c>
      <c r="C14" s="16" t="s">
        <v>26</v>
      </c>
      <c r="D14" s="18"/>
      <c r="E14" s="18"/>
      <c r="F14" s="18"/>
      <c r="G14" s="18"/>
      <c r="H14" s="18"/>
      <c r="I14" s="18"/>
      <c r="J14" s="18"/>
    </row>
    <row r="15" spans="1:19">
      <c r="A15" s="4"/>
      <c r="B15" s="5" t="s">
        <v>26</v>
      </c>
      <c r="C15" s="4" t="s">
        <v>26</v>
      </c>
      <c r="D15" s="6"/>
      <c r="E15" s="6"/>
      <c r="F15" s="6"/>
      <c r="G15" s="6"/>
      <c r="H15" s="6"/>
      <c r="I15" s="6"/>
      <c r="J15" s="6"/>
    </row>
    <row r="16" spans="1:19">
      <c r="A16" s="13"/>
      <c r="B16" s="14" t="s">
        <v>909</v>
      </c>
      <c r="C16" s="13" t="s">
        <v>26</v>
      </c>
      <c r="D16" s="15"/>
      <c r="E16" s="15"/>
      <c r="F16" s="15"/>
      <c r="G16" s="15"/>
      <c r="H16" s="15"/>
      <c r="I16" s="15"/>
      <c r="J16" s="15"/>
    </row>
    <row r="17" spans="1:19">
      <c r="A17" s="19"/>
      <c r="B17" s="20" t="s">
        <v>910</v>
      </c>
      <c r="C17" s="19" t="s">
        <v>26</v>
      </c>
      <c r="D17" s="21"/>
      <c r="E17" s="21"/>
      <c r="F17" s="21"/>
      <c r="G17" s="21"/>
      <c r="H17" s="21"/>
      <c r="I17" s="21"/>
      <c r="J17" s="21"/>
    </row>
    <row r="18" spans="1:19">
      <c r="A18" s="4"/>
      <c r="B18" s="5" t="s">
        <v>911</v>
      </c>
      <c r="C18" s="4" t="s">
        <v>188</v>
      </c>
      <c r="D18" s="6">
        <v>420</v>
      </c>
      <c r="E18" s="6">
        <f>SUM(N18)</f>
        <v>0</v>
      </c>
      <c r="F18" s="6">
        <f>D18*E18</f>
        <v>0</v>
      </c>
      <c r="G18" s="6">
        <f>SUM(S18)</f>
        <v>0</v>
      </c>
      <c r="H18" s="6">
        <f>D18*G18</f>
        <v>0</v>
      </c>
      <c r="I18" s="6">
        <f t="shared" ref="I18:J18" si="11">E18+G18</f>
        <v>0</v>
      </c>
      <c r="J18" s="6">
        <f t="shared" si="11"/>
        <v>0</v>
      </c>
      <c r="L18" s="75"/>
      <c r="M18" s="76">
        <f t="shared" ref="M18:M23" si="12">$M$1</f>
        <v>1.19</v>
      </c>
      <c r="N18" s="77">
        <f t="shared" ref="N18" si="13">SUM(M18*L18)</f>
        <v>0</v>
      </c>
      <c r="O18" s="78"/>
      <c r="P18" s="78"/>
      <c r="Q18" s="79"/>
      <c r="R18" s="80">
        <f t="shared" ref="R18:R23" si="14">$R$1</f>
        <v>1.24</v>
      </c>
      <c r="S18" s="79">
        <f t="shared" ref="S18" si="15">SUM(R18*Q18)</f>
        <v>0</v>
      </c>
    </row>
    <row r="19" spans="1:19">
      <c r="A19" s="4"/>
      <c r="B19" s="5" t="s">
        <v>912</v>
      </c>
      <c r="C19" s="4" t="s">
        <v>188</v>
      </c>
      <c r="D19" s="6">
        <v>130</v>
      </c>
      <c r="E19" s="6">
        <f t="shared" ref="E19:E21" si="16">SUM(N19)</f>
        <v>0</v>
      </c>
      <c r="F19" s="6">
        <f t="shared" ref="F19:F21" si="17">D19*E19</f>
        <v>0</v>
      </c>
      <c r="G19" s="6">
        <f t="shared" ref="G19:G21" si="18">SUM(S19)</f>
        <v>0</v>
      </c>
      <c r="H19" s="6">
        <f t="shared" ref="H19:H21" si="19">D19*G19</f>
        <v>0</v>
      </c>
      <c r="I19" s="6">
        <f t="shared" ref="I19:I21" si="20">E19+G19</f>
        <v>0</v>
      </c>
      <c r="J19" s="6">
        <f t="shared" ref="J19:J21" si="21">F19+H19</f>
        <v>0</v>
      </c>
      <c r="L19" s="75"/>
      <c r="M19" s="76">
        <f t="shared" si="12"/>
        <v>1.19</v>
      </c>
      <c r="N19" s="77">
        <f t="shared" ref="N19:N21" si="22">SUM(M19*L19)</f>
        <v>0</v>
      </c>
      <c r="O19" s="78"/>
      <c r="P19" s="78"/>
      <c r="Q19" s="79"/>
      <c r="R19" s="80">
        <f t="shared" si="14"/>
        <v>1.24</v>
      </c>
      <c r="S19" s="79">
        <f t="shared" ref="S19:S21" si="23">SUM(R19*Q19)</f>
        <v>0</v>
      </c>
    </row>
    <row r="20" spans="1:19">
      <c r="A20" s="4"/>
      <c r="B20" s="5" t="s">
        <v>913</v>
      </c>
      <c r="C20" s="4" t="s">
        <v>188</v>
      </c>
      <c r="D20" s="6">
        <v>15</v>
      </c>
      <c r="E20" s="6">
        <f t="shared" si="16"/>
        <v>0</v>
      </c>
      <c r="F20" s="6">
        <f t="shared" si="17"/>
        <v>0</v>
      </c>
      <c r="G20" s="6">
        <f t="shared" si="18"/>
        <v>0</v>
      </c>
      <c r="H20" s="6">
        <f t="shared" si="19"/>
        <v>0</v>
      </c>
      <c r="I20" s="6">
        <f t="shared" si="20"/>
        <v>0</v>
      </c>
      <c r="J20" s="6">
        <f t="shared" si="21"/>
        <v>0</v>
      </c>
      <c r="L20" s="75"/>
      <c r="M20" s="76">
        <f t="shared" si="12"/>
        <v>1.19</v>
      </c>
      <c r="N20" s="77">
        <f t="shared" si="22"/>
        <v>0</v>
      </c>
      <c r="O20" s="78"/>
      <c r="P20" s="78"/>
      <c r="Q20" s="79"/>
      <c r="R20" s="80">
        <f t="shared" si="14"/>
        <v>1.24</v>
      </c>
      <c r="S20" s="79">
        <f t="shared" si="23"/>
        <v>0</v>
      </c>
    </row>
    <row r="21" spans="1:19" ht="21.9">
      <c r="A21" s="4"/>
      <c r="B21" s="5" t="s">
        <v>914</v>
      </c>
      <c r="C21" s="4" t="s">
        <v>188</v>
      </c>
      <c r="D21" s="6">
        <v>18</v>
      </c>
      <c r="E21" s="6">
        <f t="shared" si="16"/>
        <v>0</v>
      </c>
      <c r="F21" s="6">
        <f t="shared" si="17"/>
        <v>0</v>
      </c>
      <c r="G21" s="6">
        <f t="shared" si="18"/>
        <v>0</v>
      </c>
      <c r="H21" s="6">
        <f t="shared" si="19"/>
        <v>0</v>
      </c>
      <c r="I21" s="6">
        <f t="shared" si="20"/>
        <v>0</v>
      </c>
      <c r="J21" s="6">
        <f t="shared" si="21"/>
        <v>0</v>
      </c>
      <c r="L21" s="75"/>
      <c r="M21" s="76">
        <f t="shared" si="12"/>
        <v>1.19</v>
      </c>
      <c r="N21" s="77">
        <f t="shared" si="22"/>
        <v>0</v>
      </c>
      <c r="O21" s="78"/>
      <c r="P21" s="78"/>
      <c r="Q21" s="79"/>
      <c r="R21" s="80">
        <f t="shared" si="14"/>
        <v>1.24</v>
      </c>
      <c r="S21" s="79">
        <f t="shared" si="23"/>
        <v>0</v>
      </c>
    </row>
    <row r="22" spans="1:19">
      <c r="A22" s="19"/>
      <c r="B22" s="20" t="s">
        <v>915</v>
      </c>
      <c r="C22" s="19" t="s">
        <v>26</v>
      </c>
      <c r="D22" s="21"/>
      <c r="E22" s="21"/>
      <c r="F22" s="21"/>
      <c r="G22" s="21"/>
      <c r="H22" s="21"/>
      <c r="I22" s="21"/>
      <c r="J22" s="21"/>
    </row>
    <row r="23" spans="1:19">
      <c r="A23" s="4"/>
      <c r="B23" s="5" t="s">
        <v>916</v>
      </c>
      <c r="C23" s="4" t="s">
        <v>36</v>
      </c>
      <c r="D23" s="6">
        <v>1</v>
      </c>
      <c r="E23" s="6">
        <f>SUM(N23)</f>
        <v>0</v>
      </c>
      <c r="F23" s="6">
        <f>D23*E23</f>
        <v>0</v>
      </c>
      <c r="G23" s="6">
        <f>SUM(S23)</f>
        <v>0</v>
      </c>
      <c r="H23" s="6">
        <f>D23*G23</f>
        <v>0</v>
      </c>
      <c r="I23" s="6">
        <f t="shared" ref="I23" si="24">E23+G23</f>
        <v>0</v>
      </c>
      <c r="J23" s="6">
        <f t="shared" ref="J23" si="25">F23+H23</f>
        <v>0</v>
      </c>
      <c r="L23" s="75"/>
      <c r="M23" s="76">
        <f t="shared" si="12"/>
        <v>1.19</v>
      </c>
      <c r="N23" s="77">
        <f t="shared" ref="N23" si="26">SUM(M23*L23)</f>
        <v>0</v>
      </c>
      <c r="O23" s="78"/>
      <c r="P23" s="78"/>
      <c r="Q23" s="79"/>
      <c r="R23" s="80">
        <f t="shared" si="14"/>
        <v>1.24</v>
      </c>
      <c r="S23" s="79">
        <f t="shared" ref="S23" si="27">SUM(R23*Q23)</f>
        <v>0</v>
      </c>
    </row>
    <row r="24" spans="1:19">
      <c r="A24" s="19"/>
      <c r="B24" s="20" t="s">
        <v>917</v>
      </c>
      <c r="C24" s="19" t="s">
        <v>26</v>
      </c>
      <c r="D24" s="21"/>
      <c r="E24" s="21"/>
      <c r="F24" s="21"/>
      <c r="G24" s="21"/>
      <c r="H24" s="21"/>
      <c r="I24" s="21"/>
      <c r="J24" s="21"/>
    </row>
    <row r="25" spans="1:19">
      <c r="A25" s="19"/>
      <c r="B25" s="20" t="s">
        <v>918</v>
      </c>
      <c r="C25" s="19" t="s">
        <v>26</v>
      </c>
      <c r="D25" s="21"/>
      <c r="E25" s="21"/>
      <c r="F25" s="21"/>
      <c r="G25" s="21"/>
      <c r="H25" s="21"/>
      <c r="I25" s="21"/>
      <c r="J25" s="21"/>
    </row>
    <row r="26" spans="1:19">
      <c r="A26" s="19"/>
      <c r="B26" s="20" t="s">
        <v>919</v>
      </c>
      <c r="C26" s="19" t="s">
        <v>26</v>
      </c>
      <c r="D26" s="21"/>
      <c r="E26" s="21"/>
      <c r="F26" s="21"/>
      <c r="G26" s="21"/>
      <c r="H26" s="21"/>
      <c r="I26" s="21"/>
      <c r="J26" s="21"/>
    </row>
    <row r="27" spans="1:19">
      <c r="A27" s="4"/>
      <c r="B27" s="5" t="s">
        <v>920</v>
      </c>
      <c r="C27" s="4" t="s">
        <v>36</v>
      </c>
      <c r="D27" s="6">
        <v>1</v>
      </c>
      <c r="E27" s="6">
        <f>SUM(N27)</f>
        <v>0</v>
      </c>
      <c r="F27" s="6">
        <f>D27*E27</f>
        <v>0</v>
      </c>
      <c r="G27" s="6">
        <f>SUM(S27)</f>
        <v>0</v>
      </c>
      <c r="H27" s="6">
        <f>D27*G27</f>
        <v>0</v>
      </c>
      <c r="I27" s="6">
        <f t="shared" ref="I27" si="28">E27+G27</f>
        <v>0</v>
      </c>
      <c r="J27" s="6">
        <f t="shared" ref="J27" si="29">F27+H27</f>
        <v>0</v>
      </c>
      <c r="L27" s="75"/>
      <c r="M27" s="76">
        <f t="shared" ref="M27" si="30">$M$1</f>
        <v>1.19</v>
      </c>
      <c r="N27" s="77">
        <f t="shared" ref="N27" si="31">SUM(M27*L27)</f>
        <v>0</v>
      </c>
      <c r="O27" s="78"/>
      <c r="P27" s="78"/>
      <c r="Q27" s="79"/>
      <c r="R27" s="80">
        <f t="shared" ref="R27" si="32">$R$1</f>
        <v>1.24</v>
      </c>
      <c r="S27" s="79">
        <f t="shared" ref="S27" si="33">SUM(R27*Q27)</f>
        <v>0</v>
      </c>
    </row>
    <row r="28" spans="1:19">
      <c r="A28" s="19"/>
      <c r="B28" s="20" t="s">
        <v>921</v>
      </c>
      <c r="C28" s="19" t="s">
        <v>26</v>
      </c>
      <c r="D28" s="21"/>
      <c r="E28" s="21"/>
      <c r="F28" s="21"/>
      <c r="G28" s="21"/>
      <c r="H28" s="21"/>
      <c r="I28" s="21"/>
      <c r="J28" s="21"/>
    </row>
    <row r="29" spans="1:19">
      <c r="A29" s="4"/>
      <c r="B29" s="5" t="s">
        <v>922</v>
      </c>
      <c r="C29" s="4" t="s">
        <v>36</v>
      </c>
      <c r="D29" s="6">
        <v>6</v>
      </c>
      <c r="E29" s="6">
        <f t="shared" ref="E29:E31" si="34">SUM(N29)</f>
        <v>0</v>
      </c>
      <c r="F29" s="6">
        <f t="shared" ref="F29:F31" si="35">D29*E29</f>
        <v>0</v>
      </c>
      <c r="G29" s="6">
        <f t="shared" ref="G29:G31" si="36">SUM(S29)</f>
        <v>0</v>
      </c>
      <c r="H29" s="6">
        <f t="shared" ref="H29:H31" si="37">D29*G29</f>
        <v>0</v>
      </c>
      <c r="I29" s="6">
        <f t="shared" ref="I29:I31" si="38">E29+G29</f>
        <v>0</v>
      </c>
      <c r="J29" s="6">
        <f t="shared" ref="J29:J31" si="39">F29+H29</f>
        <v>0</v>
      </c>
      <c r="L29" s="75"/>
      <c r="M29" s="76">
        <f t="shared" ref="M29:M31" si="40">$M$1</f>
        <v>1.19</v>
      </c>
      <c r="N29" s="77">
        <f t="shared" ref="N29:N31" si="41">SUM(M29*L29)</f>
        <v>0</v>
      </c>
      <c r="O29" s="78"/>
      <c r="P29" s="78"/>
      <c r="Q29" s="79"/>
      <c r="R29" s="80">
        <f t="shared" ref="R29:R31" si="42">$R$1</f>
        <v>1.24</v>
      </c>
      <c r="S29" s="79">
        <f t="shared" ref="S29:S31" si="43">SUM(R29*Q29)</f>
        <v>0</v>
      </c>
    </row>
    <row r="30" spans="1:19">
      <c r="A30" s="4"/>
      <c r="B30" s="5" t="s">
        <v>923</v>
      </c>
      <c r="C30" s="4" t="s">
        <v>36</v>
      </c>
      <c r="D30" s="6">
        <v>10</v>
      </c>
      <c r="E30" s="6">
        <f t="shared" si="34"/>
        <v>0</v>
      </c>
      <c r="F30" s="6">
        <f t="shared" si="35"/>
        <v>0</v>
      </c>
      <c r="G30" s="6">
        <f t="shared" si="36"/>
        <v>0</v>
      </c>
      <c r="H30" s="6">
        <f t="shared" si="37"/>
        <v>0</v>
      </c>
      <c r="I30" s="6">
        <f t="shared" si="38"/>
        <v>0</v>
      </c>
      <c r="J30" s="6">
        <f t="shared" si="39"/>
        <v>0</v>
      </c>
      <c r="L30" s="75"/>
      <c r="M30" s="76">
        <f t="shared" si="40"/>
        <v>1.19</v>
      </c>
      <c r="N30" s="77">
        <f t="shared" si="41"/>
        <v>0</v>
      </c>
      <c r="O30" s="78"/>
      <c r="P30" s="78"/>
      <c r="Q30" s="79"/>
      <c r="R30" s="80">
        <f t="shared" si="42"/>
        <v>1.24</v>
      </c>
      <c r="S30" s="79">
        <f t="shared" si="43"/>
        <v>0</v>
      </c>
    </row>
    <row r="31" spans="1:19" ht="21.9">
      <c r="A31" s="4"/>
      <c r="B31" s="5" t="s">
        <v>924</v>
      </c>
      <c r="C31" s="4" t="s">
        <v>36</v>
      </c>
      <c r="D31" s="6">
        <v>3</v>
      </c>
      <c r="E31" s="6">
        <f t="shared" si="34"/>
        <v>0</v>
      </c>
      <c r="F31" s="6">
        <f t="shared" si="35"/>
        <v>0</v>
      </c>
      <c r="G31" s="6">
        <f t="shared" si="36"/>
        <v>0</v>
      </c>
      <c r="H31" s="6">
        <f t="shared" si="37"/>
        <v>0</v>
      </c>
      <c r="I31" s="6">
        <f t="shared" si="38"/>
        <v>0</v>
      </c>
      <c r="J31" s="6">
        <f t="shared" si="39"/>
        <v>0</v>
      </c>
      <c r="L31" s="75"/>
      <c r="M31" s="76">
        <f t="shared" si="40"/>
        <v>1.19</v>
      </c>
      <c r="N31" s="77">
        <f t="shared" si="41"/>
        <v>0</v>
      </c>
      <c r="O31" s="78"/>
      <c r="P31" s="78"/>
      <c r="Q31" s="79"/>
      <c r="R31" s="80">
        <f t="shared" si="42"/>
        <v>1.24</v>
      </c>
      <c r="S31" s="79">
        <f t="shared" si="43"/>
        <v>0</v>
      </c>
    </row>
    <row r="32" spans="1:19">
      <c r="A32" s="19"/>
      <c r="B32" s="20" t="s">
        <v>327</v>
      </c>
      <c r="C32" s="19" t="s">
        <v>26</v>
      </c>
      <c r="D32" s="21"/>
      <c r="E32" s="21"/>
      <c r="F32" s="21"/>
      <c r="G32" s="21"/>
      <c r="H32" s="21"/>
      <c r="I32" s="21"/>
      <c r="J32" s="21"/>
    </row>
    <row r="33" spans="1:19">
      <c r="A33" s="4"/>
      <c r="B33" s="5" t="s">
        <v>925</v>
      </c>
      <c r="C33" s="4" t="s">
        <v>329</v>
      </c>
      <c r="D33" s="6">
        <v>1</v>
      </c>
      <c r="E33" s="6">
        <f t="shared" ref="E33:E37" si="44">SUM(N33)</f>
        <v>0</v>
      </c>
      <c r="F33" s="6">
        <f t="shared" ref="F33:F37" si="45">D33*E33</f>
        <v>0</v>
      </c>
      <c r="G33" s="6">
        <f t="shared" ref="G33:G37" si="46">SUM(S33)</f>
        <v>0</v>
      </c>
      <c r="H33" s="6">
        <f t="shared" ref="H33:H37" si="47">D33*G33</f>
        <v>0</v>
      </c>
      <c r="I33" s="6">
        <f t="shared" ref="I33:I37" si="48">E33+G33</f>
        <v>0</v>
      </c>
      <c r="J33" s="6">
        <f t="shared" ref="J33:J37" si="49">F33+H33</f>
        <v>0</v>
      </c>
      <c r="L33" s="75"/>
      <c r="M33" s="76">
        <f t="shared" ref="M33:M37" si="50">$M$1</f>
        <v>1.19</v>
      </c>
      <c r="N33" s="77">
        <f t="shared" ref="N33:N37" si="51">SUM(M33*L33)</f>
        <v>0</v>
      </c>
      <c r="O33" s="78"/>
      <c r="P33" s="78"/>
      <c r="Q33" s="79"/>
      <c r="R33" s="80">
        <f t="shared" ref="R33:R37" si="52">$R$1</f>
        <v>1.24</v>
      </c>
      <c r="S33" s="79">
        <f t="shared" ref="S33:S37" si="53">SUM(R33*Q33)</f>
        <v>0</v>
      </c>
    </row>
    <row r="34" spans="1:19">
      <c r="A34" s="4"/>
      <c r="B34" s="5" t="s">
        <v>862</v>
      </c>
      <c r="C34" s="4" t="s">
        <v>323</v>
      </c>
      <c r="D34" s="6">
        <v>6</v>
      </c>
      <c r="E34" s="6">
        <f t="shared" si="44"/>
        <v>0</v>
      </c>
      <c r="F34" s="6">
        <f t="shared" si="45"/>
        <v>0</v>
      </c>
      <c r="G34" s="6">
        <f t="shared" si="46"/>
        <v>0</v>
      </c>
      <c r="H34" s="6">
        <f t="shared" si="47"/>
        <v>0</v>
      </c>
      <c r="I34" s="6">
        <f t="shared" si="48"/>
        <v>0</v>
      </c>
      <c r="J34" s="6">
        <f t="shared" si="49"/>
        <v>0</v>
      </c>
      <c r="L34" s="75"/>
      <c r="M34" s="76">
        <f t="shared" si="50"/>
        <v>1.19</v>
      </c>
      <c r="N34" s="77">
        <f t="shared" si="51"/>
        <v>0</v>
      </c>
      <c r="O34" s="78"/>
      <c r="P34" s="78"/>
      <c r="Q34" s="79"/>
      <c r="R34" s="80">
        <f t="shared" si="52"/>
        <v>1.24</v>
      </c>
      <c r="S34" s="79">
        <f t="shared" si="53"/>
        <v>0</v>
      </c>
    </row>
    <row r="35" spans="1:19">
      <c r="A35" s="4"/>
      <c r="B35" s="5" t="s">
        <v>926</v>
      </c>
      <c r="C35" s="4" t="s">
        <v>323</v>
      </c>
      <c r="D35" s="6">
        <v>6</v>
      </c>
      <c r="E35" s="6">
        <f t="shared" si="44"/>
        <v>0</v>
      </c>
      <c r="F35" s="6">
        <f t="shared" si="45"/>
        <v>0</v>
      </c>
      <c r="G35" s="6">
        <f t="shared" si="46"/>
        <v>0</v>
      </c>
      <c r="H35" s="6">
        <f t="shared" si="47"/>
        <v>0</v>
      </c>
      <c r="I35" s="6">
        <f t="shared" si="48"/>
        <v>0</v>
      </c>
      <c r="J35" s="6">
        <f t="shared" si="49"/>
        <v>0</v>
      </c>
      <c r="L35" s="75"/>
      <c r="M35" s="76">
        <f t="shared" si="50"/>
        <v>1.19</v>
      </c>
      <c r="N35" s="77">
        <f t="shared" si="51"/>
        <v>0</v>
      </c>
      <c r="O35" s="78"/>
      <c r="P35" s="78"/>
      <c r="Q35" s="79"/>
      <c r="R35" s="80">
        <f t="shared" si="52"/>
        <v>1.24</v>
      </c>
      <c r="S35" s="79">
        <f t="shared" si="53"/>
        <v>0</v>
      </c>
    </row>
    <row r="36" spans="1:19">
      <c r="A36" s="4"/>
      <c r="B36" s="5" t="s">
        <v>864</v>
      </c>
      <c r="C36" s="4" t="s">
        <v>323</v>
      </c>
      <c r="D36" s="6">
        <v>12</v>
      </c>
      <c r="E36" s="6">
        <f t="shared" si="44"/>
        <v>0</v>
      </c>
      <c r="F36" s="6">
        <f t="shared" si="45"/>
        <v>0</v>
      </c>
      <c r="G36" s="6">
        <f t="shared" si="46"/>
        <v>0</v>
      </c>
      <c r="H36" s="6">
        <f t="shared" si="47"/>
        <v>0</v>
      </c>
      <c r="I36" s="6">
        <f t="shared" si="48"/>
        <v>0</v>
      </c>
      <c r="J36" s="6">
        <f t="shared" si="49"/>
        <v>0</v>
      </c>
      <c r="L36" s="75"/>
      <c r="M36" s="76">
        <f t="shared" si="50"/>
        <v>1.19</v>
      </c>
      <c r="N36" s="77">
        <f t="shared" si="51"/>
        <v>0</v>
      </c>
      <c r="O36" s="78"/>
      <c r="P36" s="78"/>
      <c r="Q36" s="79"/>
      <c r="R36" s="80">
        <f t="shared" si="52"/>
        <v>1.24</v>
      </c>
      <c r="S36" s="79">
        <f t="shared" si="53"/>
        <v>0</v>
      </c>
    </row>
    <row r="37" spans="1:19">
      <c r="A37" s="4"/>
      <c r="B37" s="5" t="s">
        <v>927</v>
      </c>
      <c r="C37" s="4" t="s">
        <v>36</v>
      </c>
      <c r="D37" s="6">
        <v>6</v>
      </c>
      <c r="E37" s="6">
        <f t="shared" si="44"/>
        <v>0</v>
      </c>
      <c r="F37" s="6">
        <f t="shared" si="45"/>
        <v>0</v>
      </c>
      <c r="G37" s="6">
        <f t="shared" si="46"/>
        <v>0</v>
      </c>
      <c r="H37" s="6">
        <f t="shared" si="47"/>
        <v>0</v>
      </c>
      <c r="I37" s="6">
        <f t="shared" si="48"/>
        <v>0</v>
      </c>
      <c r="J37" s="6">
        <f t="shared" si="49"/>
        <v>0</v>
      </c>
      <c r="L37" s="75"/>
      <c r="M37" s="76">
        <f t="shared" si="50"/>
        <v>1.19</v>
      </c>
      <c r="N37" s="77">
        <f t="shared" si="51"/>
        <v>0</v>
      </c>
      <c r="O37" s="78"/>
      <c r="P37" s="78"/>
      <c r="Q37" s="79"/>
      <c r="R37" s="80">
        <f t="shared" si="52"/>
        <v>1.24</v>
      </c>
      <c r="S37" s="79">
        <f t="shared" si="53"/>
        <v>0</v>
      </c>
    </row>
    <row r="38" spans="1:19">
      <c r="A38" s="19"/>
      <c r="B38" s="20" t="s">
        <v>928</v>
      </c>
      <c r="C38" s="19" t="s">
        <v>26</v>
      </c>
      <c r="D38" s="21"/>
      <c r="E38" s="21"/>
      <c r="F38" s="21"/>
      <c r="G38" s="21"/>
      <c r="H38" s="21"/>
      <c r="I38" s="21"/>
      <c r="J38" s="21"/>
    </row>
    <row r="39" spans="1:19">
      <c r="A39" s="4"/>
      <c r="B39" s="5" t="s">
        <v>929</v>
      </c>
      <c r="C39" s="4" t="s">
        <v>323</v>
      </c>
      <c r="D39" s="6">
        <v>10</v>
      </c>
      <c r="E39" s="6">
        <f>SUM(N39)</f>
        <v>0</v>
      </c>
      <c r="F39" s="6">
        <f>D39*E39</f>
        <v>0</v>
      </c>
      <c r="G39" s="6">
        <f>SUM(S39)</f>
        <v>0</v>
      </c>
      <c r="H39" s="6">
        <f>D39*G39</f>
        <v>0</v>
      </c>
      <c r="I39" s="6">
        <f t="shared" ref="I39" si="54">E39+G39</f>
        <v>0</v>
      </c>
      <c r="J39" s="6">
        <f t="shared" ref="J39" si="55">F39+H39</f>
        <v>0</v>
      </c>
      <c r="L39" s="75"/>
      <c r="M39" s="76">
        <f t="shared" ref="M39" si="56">$M$1</f>
        <v>1.19</v>
      </c>
      <c r="N39" s="77">
        <f t="shared" ref="N39" si="57">SUM(M39*L39)</f>
        <v>0</v>
      </c>
      <c r="O39" s="78"/>
      <c r="P39" s="78"/>
      <c r="Q39" s="79"/>
      <c r="R39" s="80">
        <f t="shared" ref="R39" si="58">$R$1</f>
        <v>1.24</v>
      </c>
      <c r="S39" s="79">
        <f t="shared" ref="S39" si="59">SUM(R39*Q39)</f>
        <v>0</v>
      </c>
    </row>
    <row r="40" spans="1:19">
      <c r="A40" s="19"/>
      <c r="B40" s="20" t="s">
        <v>930</v>
      </c>
      <c r="C40" s="19" t="s">
        <v>26</v>
      </c>
      <c r="D40" s="21"/>
      <c r="E40" s="21"/>
      <c r="F40" s="21"/>
      <c r="G40" s="21"/>
      <c r="H40" s="21"/>
      <c r="I40" s="21"/>
      <c r="J40" s="21"/>
    </row>
    <row r="41" spans="1:19">
      <c r="A41" s="19"/>
      <c r="B41" s="20" t="s">
        <v>321</v>
      </c>
      <c r="C41" s="19" t="s">
        <v>26</v>
      </c>
      <c r="D41" s="21"/>
      <c r="E41" s="21"/>
      <c r="F41" s="21"/>
      <c r="G41" s="21"/>
      <c r="H41" s="21"/>
      <c r="I41" s="21"/>
      <c r="J41" s="21"/>
    </row>
    <row r="42" spans="1:19">
      <c r="A42" s="4"/>
      <c r="B42" s="5" t="s">
        <v>931</v>
      </c>
      <c r="C42" s="4" t="s">
        <v>329</v>
      </c>
      <c r="D42" s="6">
        <v>1</v>
      </c>
      <c r="E42" s="6">
        <f>SUM(N42)</f>
        <v>0</v>
      </c>
      <c r="F42" s="6">
        <f>D42*E42</f>
        <v>0</v>
      </c>
      <c r="G42" s="6">
        <f>SUM(S42)</f>
        <v>0</v>
      </c>
      <c r="H42" s="6">
        <f>D42*G42</f>
        <v>0</v>
      </c>
      <c r="I42" s="6">
        <f t="shared" ref="I42" si="60">E42+G42</f>
        <v>0</v>
      </c>
      <c r="J42" s="6">
        <f t="shared" ref="J42" si="61">F42+H42</f>
        <v>0</v>
      </c>
      <c r="L42" s="75"/>
      <c r="M42" s="76">
        <f t="shared" ref="M42" si="62">$M$1</f>
        <v>1.19</v>
      </c>
      <c r="N42" s="77">
        <f t="shared" ref="N42" si="63">SUM(M42*L42)</f>
        <v>0</v>
      </c>
      <c r="O42" s="78"/>
      <c r="P42" s="78"/>
      <c r="Q42" s="79"/>
      <c r="R42" s="80">
        <f t="shared" ref="R42" si="64">$R$1</f>
        <v>1.24</v>
      </c>
      <c r="S42" s="79">
        <f t="shared" ref="S42" si="65">SUM(R42*Q42)</f>
        <v>0</v>
      </c>
    </row>
    <row r="43" spans="1:19">
      <c r="A43" s="13"/>
      <c r="B43" s="14" t="s">
        <v>932</v>
      </c>
      <c r="C43" s="13" t="s">
        <v>26</v>
      </c>
      <c r="D43" s="15"/>
      <c r="E43" s="15"/>
      <c r="F43" s="15">
        <f>SUM(F17:F42)</f>
        <v>0</v>
      </c>
      <c r="G43" s="15"/>
      <c r="H43" s="15">
        <f>SUM(H17:H42)</f>
        <v>0</v>
      </c>
      <c r="I43" s="15"/>
      <c r="J43" s="15">
        <f>SUM(J17:J42)</f>
        <v>0</v>
      </c>
    </row>
    <row r="44" spans="1:19">
      <c r="A44" s="4"/>
      <c r="B44" s="5" t="s">
        <v>26</v>
      </c>
      <c r="C44" s="4" t="s">
        <v>26</v>
      </c>
      <c r="D44" s="6"/>
      <c r="E44" s="6"/>
      <c r="F44" s="6"/>
      <c r="G44" s="6"/>
      <c r="H44" s="6"/>
      <c r="I44" s="6"/>
      <c r="J44" s="6"/>
    </row>
    <row r="45" spans="1:19">
      <c r="A45" s="13"/>
      <c r="B45" s="14" t="s">
        <v>933</v>
      </c>
      <c r="C45" s="13" t="s">
        <v>26</v>
      </c>
      <c r="D45" s="15"/>
      <c r="E45" s="15"/>
      <c r="F45" s="15"/>
      <c r="G45" s="15"/>
      <c r="H45" s="15"/>
      <c r="I45" s="15"/>
      <c r="J45" s="15"/>
    </row>
    <row r="46" spans="1:19" ht="21.9">
      <c r="A46" s="4"/>
      <c r="B46" s="5" t="s">
        <v>934</v>
      </c>
      <c r="C46" s="4" t="s">
        <v>96</v>
      </c>
      <c r="D46" s="6">
        <v>1</v>
      </c>
      <c r="E46" s="6">
        <f t="shared" ref="E46:E47" si="66">SUM(N46)</f>
        <v>0</v>
      </c>
      <c r="F46" s="6">
        <f t="shared" ref="F46:F47" si="67">D46*E46</f>
        <v>0</v>
      </c>
      <c r="G46" s="6">
        <f t="shared" ref="G46:G47" si="68">SUM(S46)</f>
        <v>0</v>
      </c>
      <c r="H46" s="6">
        <f t="shared" ref="H46:H47" si="69">D46*G46</f>
        <v>0</v>
      </c>
      <c r="I46" s="6">
        <f t="shared" ref="I46:I47" si="70">E46+G46</f>
        <v>0</v>
      </c>
      <c r="J46" s="6">
        <f t="shared" ref="J46:J47" si="71">F46+H46</f>
        <v>0</v>
      </c>
      <c r="L46" s="75"/>
      <c r="M46" s="76">
        <f t="shared" ref="M46:M47" si="72">$M$1</f>
        <v>1.19</v>
      </c>
      <c r="N46" s="77">
        <f t="shared" ref="N46:N47" si="73">SUM(M46*L46)</f>
        <v>0</v>
      </c>
      <c r="O46" s="78"/>
      <c r="P46" s="78"/>
      <c r="Q46" s="79"/>
      <c r="R46" s="80">
        <f t="shared" ref="R46:R47" si="74">$R$1</f>
        <v>1.24</v>
      </c>
      <c r="S46" s="79">
        <f t="shared" ref="S46:S47" si="75">SUM(R46*Q46)</f>
        <v>0</v>
      </c>
    </row>
    <row r="47" spans="1:19">
      <c r="A47" s="4"/>
      <c r="B47" s="5" t="s">
        <v>935</v>
      </c>
      <c r="C47" s="4" t="s">
        <v>329</v>
      </c>
      <c r="D47" s="6">
        <v>1</v>
      </c>
      <c r="E47" s="6">
        <f t="shared" si="66"/>
        <v>0</v>
      </c>
      <c r="F47" s="6">
        <f t="shared" si="67"/>
        <v>0</v>
      </c>
      <c r="G47" s="6">
        <f t="shared" si="68"/>
        <v>0</v>
      </c>
      <c r="H47" s="6">
        <f t="shared" si="69"/>
        <v>0</v>
      </c>
      <c r="I47" s="6">
        <f t="shared" si="70"/>
        <v>0</v>
      </c>
      <c r="J47" s="6">
        <f t="shared" si="71"/>
        <v>0</v>
      </c>
      <c r="L47" s="75"/>
      <c r="M47" s="76">
        <f t="shared" si="72"/>
        <v>1.19</v>
      </c>
      <c r="N47" s="77">
        <f t="shared" si="73"/>
        <v>0</v>
      </c>
      <c r="O47" s="78"/>
      <c r="P47" s="78"/>
      <c r="Q47" s="79"/>
      <c r="R47" s="80">
        <f t="shared" si="74"/>
        <v>1.24</v>
      </c>
      <c r="S47" s="79">
        <f t="shared" si="75"/>
        <v>0</v>
      </c>
    </row>
    <row r="48" spans="1:19">
      <c r="A48" s="13"/>
      <c r="B48" s="14" t="s">
        <v>936</v>
      </c>
      <c r="C48" s="13" t="s">
        <v>26</v>
      </c>
      <c r="D48" s="15"/>
      <c r="E48" s="15"/>
      <c r="F48" s="15">
        <f>SUM(F46:F47)</f>
        <v>0</v>
      </c>
      <c r="G48" s="15"/>
      <c r="H48" s="15">
        <f>SUM(H46:H47)</f>
        <v>0</v>
      </c>
      <c r="I48" s="15"/>
      <c r="J48" s="15">
        <f>SUM(J46:J47)</f>
        <v>0</v>
      </c>
    </row>
    <row r="49" spans="1:19">
      <c r="A49" s="4"/>
      <c r="B49" s="5" t="s">
        <v>26</v>
      </c>
      <c r="C49" s="4" t="s">
        <v>26</v>
      </c>
      <c r="D49" s="6"/>
      <c r="E49" s="6"/>
      <c r="F49" s="6"/>
      <c r="G49" s="6"/>
      <c r="H49" s="6"/>
      <c r="I49" s="6"/>
      <c r="J49" s="6"/>
    </row>
    <row r="50" spans="1:19">
      <c r="A50" s="13"/>
      <c r="B50" s="14" t="s">
        <v>326</v>
      </c>
      <c r="C50" s="13" t="s">
        <v>26</v>
      </c>
      <c r="D50" s="15"/>
      <c r="E50" s="15"/>
      <c r="F50" s="15"/>
      <c r="G50" s="15"/>
      <c r="H50" s="15"/>
      <c r="I50" s="15"/>
      <c r="J50" s="15"/>
    </row>
    <row r="51" spans="1:19">
      <c r="A51" s="19"/>
      <c r="B51" s="20" t="s">
        <v>327</v>
      </c>
      <c r="C51" s="19" t="s">
        <v>26</v>
      </c>
      <c r="D51" s="21"/>
      <c r="E51" s="21"/>
      <c r="F51" s="21"/>
      <c r="G51" s="21"/>
      <c r="H51" s="21"/>
      <c r="I51" s="21"/>
      <c r="J51" s="21"/>
    </row>
    <row r="52" spans="1:19">
      <c r="A52" s="4"/>
      <c r="B52" s="5" t="s">
        <v>937</v>
      </c>
      <c r="C52" s="4" t="s">
        <v>447</v>
      </c>
      <c r="D52" s="6">
        <v>0.19</v>
      </c>
      <c r="E52" s="6">
        <f>SUM(N52)</f>
        <v>0</v>
      </c>
      <c r="F52" s="6">
        <f>D52*E52</f>
        <v>0</v>
      </c>
      <c r="G52" s="6">
        <f>SUM(S52)</f>
        <v>0</v>
      </c>
      <c r="H52" s="6">
        <f>D52*G52</f>
        <v>0</v>
      </c>
      <c r="I52" s="6">
        <f t="shared" ref="I52" si="76">E52+G52</f>
        <v>0</v>
      </c>
      <c r="J52" s="6">
        <f t="shared" ref="J52" si="77">F52+H52</f>
        <v>0</v>
      </c>
      <c r="L52" s="75"/>
      <c r="M52" s="76">
        <f t="shared" ref="M52" si="78">$M$1</f>
        <v>1.19</v>
      </c>
      <c r="N52" s="77">
        <f t="shared" ref="N52" si="79">SUM(M52*L52)</f>
        <v>0</v>
      </c>
      <c r="O52" s="78"/>
      <c r="P52" s="78"/>
      <c r="Q52" s="79"/>
      <c r="R52" s="80">
        <f t="shared" ref="R52" si="80">$R$1</f>
        <v>1.24</v>
      </c>
      <c r="S52" s="79">
        <f t="shared" ref="S52" si="81">SUM(R52*Q52)</f>
        <v>0</v>
      </c>
    </row>
    <row r="53" spans="1:19">
      <c r="A53" s="4"/>
      <c r="B53" s="63" t="s">
        <v>857</v>
      </c>
      <c r="C53" s="62" t="s">
        <v>858</v>
      </c>
      <c r="D53" s="64">
        <v>15</v>
      </c>
      <c r="E53" s="64"/>
      <c r="F53" s="64">
        <f t="shared" ref="F53:F61" si="82">D53*E53</f>
        <v>0</v>
      </c>
      <c r="G53" s="64"/>
      <c r="H53" s="64">
        <f t="shared" ref="H53:H61" si="83">D53*G53</f>
        <v>0</v>
      </c>
      <c r="I53" s="64">
        <f t="shared" ref="I53:J61" si="84">E53+G53</f>
        <v>0</v>
      </c>
      <c r="J53" s="64">
        <f t="shared" si="84"/>
        <v>0</v>
      </c>
    </row>
    <row r="54" spans="1:19">
      <c r="A54" s="4"/>
      <c r="B54" s="5" t="s">
        <v>938</v>
      </c>
      <c r="C54" s="4" t="s">
        <v>36</v>
      </c>
      <c r="D54" s="6">
        <v>2</v>
      </c>
      <c r="E54" s="6">
        <f t="shared" ref="E54:E61" si="85">SUM(N54)</f>
        <v>0</v>
      </c>
      <c r="F54" s="6">
        <f t="shared" si="82"/>
        <v>0</v>
      </c>
      <c r="G54" s="6">
        <f t="shared" ref="G54:G61" si="86">SUM(S54)</f>
        <v>0</v>
      </c>
      <c r="H54" s="6">
        <f t="shared" si="83"/>
        <v>0</v>
      </c>
      <c r="I54" s="6">
        <f t="shared" si="84"/>
        <v>0</v>
      </c>
      <c r="J54" s="6">
        <f t="shared" si="84"/>
        <v>0</v>
      </c>
      <c r="L54" s="75"/>
      <c r="M54" s="76">
        <f t="shared" ref="M54:M61" si="87">$M$1</f>
        <v>1.19</v>
      </c>
      <c r="N54" s="77">
        <f t="shared" ref="N54:N61" si="88">SUM(M54*L54)</f>
        <v>0</v>
      </c>
      <c r="O54" s="78"/>
      <c r="P54" s="78"/>
      <c r="Q54" s="79"/>
      <c r="R54" s="80">
        <f t="shared" ref="R54:R61" si="89">$R$1</f>
        <v>1.24</v>
      </c>
      <c r="S54" s="79">
        <f t="shared" ref="S54:S61" si="90">SUM(R54*Q54)</f>
        <v>0</v>
      </c>
    </row>
    <row r="55" spans="1:19">
      <c r="A55" s="4"/>
      <c r="B55" s="5" t="s">
        <v>862</v>
      </c>
      <c r="C55" s="4" t="s">
        <v>323</v>
      </c>
      <c r="D55" s="6">
        <v>6</v>
      </c>
      <c r="E55" s="6">
        <f t="shared" si="85"/>
        <v>0</v>
      </c>
      <c r="F55" s="6">
        <f t="shared" si="82"/>
        <v>0</v>
      </c>
      <c r="G55" s="6">
        <f t="shared" si="86"/>
        <v>0</v>
      </c>
      <c r="H55" s="6">
        <f t="shared" si="83"/>
        <v>0</v>
      </c>
      <c r="I55" s="6">
        <f t="shared" si="84"/>
        <v>0</v>
      </c>
      <c r="J55" s="6">
        <f t="shared" si="84"/>
        <v>0</v>
      </c>
      <c r="L55" s="75"/>
      <c r="M55" s="76">
        <f t="shared" si="87"/>
        <v>1.19</v>
      </c>
      <c r="N55" s="77">
        <f t="shared" si="88"/>
        <v>0</v>
      </c>
      <c r="O55" s="78"/>
      <c r="P55" s="78"/>
      <c r="Q55" s="79"/>
      <c r="R55" s="80">
        <f t="shared" si="89"/>
        <v>1.24</v>
      </c>
      <c r="S55" s="79">
        <f t="shared" si="90"/>
        <v>0</v>
      </c>
    </row>
    <row r="56" spans="1:19">
      <c r="A56" s="4"/>
      <c r="B56" s="5" t="s">
        <v>863</v>
      </c>
      <c r="C56" s="4" t="s">
        <v>323</v>
      </c>
      <c r="D56" s="6">
        <v>6</v>
      </c>
      <c r="E56" s="6">
        <f t="shared" si="85"/>
        <v>0</v>
      </c>
      <c r="F56" s="6">
        <f t="shared" si="82"/>
        <v>0</v>
      </c>
      <c r="G56" s="6">
        <f t="shared" si="86"/>
        <v>0</v>
      </c>
      <c r="H56" s="6">
        <f t="shared" si="83"/>
        <v>0</v>
      </c>
      <c r="I56" s="6">
        <f t="shared" si="84"/>
        <v>0</v>
      </c>
      <c r="J56" s="6">
        <f t="shared" si="84"/>
        <v>0</v>
      </c>
      <c r="L56" s="75"/>
      <c r="M56" s="76">
        <f t="shared" si="87"/>
        <v>1.19</v>
      </c>
      <c r="N56" s="77">
        <f t="shared" si="88"/>
        <v>0</v>
      </c>
      <c r="O56" s="78"/>
      <c r="P56" s="78"/>
      <c r="Q56" s="79"/>
      <c r="R56" s="80">
        <f t="shared" si="89"/>
        <v>1.24</v>
      </c>
      <c r="S56" s="79">
        <f t="shared" si="90"/>
        <v>0</v>
      </c>
    </row>
    <row r="57" spans="1:19">
      <c r="A57" s="4"/>
      <c r="B57" s="5" t="s">
        <v>864</v>
      </c>
      <c r="C57" s="4" t="s">
        <v>323</v>
      </c>
      <c r="D57" s="6">
        <v>12</v>
      </c>
      <c r="E57" s="6">
        <f t="shared" si="85"/>
        <v>0</v>
      </c>
      <c r="F57" s="6">
        <f t="shared" si="82"/>
        <v>0</v>
      </c>
      <c r="G57" s="6">
        <f t="shared" si="86"/>
        <v>0</v>
      </c>
      <c r="H57" s="6">
        <f t="shared" si="83"/>
        <v>0</v>
      </c>
      <c r="I57" s="6">
        <f t="shared" si="84"/>
        <v>0</v>
      </c>
      <c r="J57" s="6">
        <f t="shared" si="84"/>
        <v>0</v>
      </c>
      <c r="L57" s="75"/>
      <c r="M57" s="76">
        <f t="shared" si="87"/>
        <v>1.19</v>
      </c>
      <c r="N57" s="77">
        <f t="shared" si="88"/>
        <v>0</v>
      </c>
      <c r="O57" s="78"/>
      <c r="P57" s="78"/>
      <c r="Q57" s="79"/>
      <c r="R57" s="80">
        <f t="shared" si="89"/>
        <v>1.24</v>
      </c>
      <c r="S57" s="79">
        <f t="shared" si="90"/>
        <v>0</v>
      </c>
    </row>
    <row r="58" spans="1:19">
      <c r="A58" s="4"/>
      <c r="B58" s="5" t="s">
        <v>939</v>
      </c>
      <c r="C58" s="4" t="s">
        <v>323</v>
      </c>
      <c r="D58" s="6">
        <v>5</v>
      </c>
      <c r="E58" s="6">
        <f t="shared" si="85"/>
        <v>0</v>
      </c>
      <c r="F58" s="6">
        <f t="shared" si="82"/>
        <v>0</v>
      </c>
      <c r="G58" s="6">
        <f t="shared" si="86"/>
        <v>0</v>
      </c>
      <c r="H58" s="6">
        <f t="shared" si="83"/>
        <v>0</v>
      </c>
      <c r="I58" s="6">
        <f t="shared" si="84"/>
        <v>0</v>
      </c>
      <c r="J58" s="6">
        <f t="shared" si="84"/>
        <v>0</v>
      </c>
      <c r="L58" s="75"/>
      <c r="M58" s="76">
        <f t="shared" si="87"/>
        <v>1.19</v>
      </c>
      <c r="N58" s="77">
        <f t="shared" si="88"/>
        <v>0</v>
      </c>
      <c r="O58" s="78"/>
      <c r="P58" s="78"/>
      <c r="Q58" s="79"/>
      <c r="R58" s="80">
        <f t="shared" si="89"/>
        <v>1.24</v>
      </c>
      <c r="S58" s="79">
        <f t="shared" si="90"/>
        <v>0</v>
      </c>
    </row>
    <row r="59" spans="1:19">
      <c r="A59" s="4"/>
      <c r="B59" s="5" t="s">
        <v>940</v>
      </c>
      <c r="C59" s="4" t="s">
        <v>329</v>
      </c>
      <c r="D59" s="6">
        <v>1</v>
      </c>
      <c r="E59" s="6">
        <f t="shared" si="85"/>
        <v>0</v>
      </c>
      <c r="F59" s="6">
        <f t="shared" si="82"/>
        <v>0</v>
      </c>
      <c r="G59" s="6">
        <f t="shared" si="86"/>
        <v>0</v>
      </c>
      <c r="H59" s="6">
        <f t="shared" si="83"/>
        <v>0</v>
      </c>
      <c r="I59" s="6">
        <f t="shared" si="84"/>
        <v>0</v>
      </c>
      <c r="J59" s="6">
        <f t="shared" si="84"/>
        <v>0</v>
      </c>
      <c r="L59" s="75"/>
      <c r="M59" s="76">
        <f t="shared" si="87"/>
        <v>1.19</v>
      </c>
      <c r="N59" s="77">
        <f t="shared" si="88"/>
        <v>0</v>
      </c>
      <c r="O59" s="78"/>
      <c r="P59" s="78"/>
      <c r="Q59" s="79"/>
      <c r="R59" s="80">
        <f t="shared" si="89"/>
        <v>1.24</v>
      </c>
      <c r="S59" s="79">
        <f t="shared" si="90"/>
        <v>0</v>
      </c>
    </row>
    <row r="60" spans="1:19">
      <c r="A60" s="4"/>
      <c r="B60" s="5" t="s">
        <v>941</v>
      </c>
      <c r="C60" s="4" t="s">
        <v>329</v>
      </c>
      <c r="D60" s="6">
        <v>1</v>
      </c>
      <c r="E60" s="6">
        <f t="shared" si="85"/>
        <v>0</v>
      </c>
      <c r="F60" s="6">
        <f t="shared" si="82"/>
        <v>0</v>
      </c>
      <c r="G60" s="6">
        <f t="shared" si="86"/>
        <v>0</v>
      </c>
      <c r="H60" s="6">
        <f t="shared" si="83"/>
        <v>0</v>
      </c>
      <c r="I60" s="6">
        <f t="shared" si="84"/>
        <v>0</v>
      </c>
      <c r="J60" s="6">
        <f t="shared" si="84"/>
        <v>0</v>
      </c>
      <c r="L60" s="75"/>
      <c r="M60" s="76">
        <f t="shared" si="87"/>
        <v>1.19</v>
      </c>
      <c r="N60" s="77">
        <f t="shared" si="88"/>
        <v>0</v>
      </c>
      <c r="O60" s="78"/>
      <c r="P60" s="78"/>
      <c r="Q60" s="79"/>
      <c r="R60" s="80">
        <f t="shared" si="89"/>
        <v>1.24</v>
      </c>
      <c r="S60" s="79">
        <f t="shared" si="90"/>
        <v>0</v>
      </c>
    </row>
    <row r="61" spans="1:19" ht="21.9">
      <c r="A61" s="4"/>
      <c r="B61" s="5" t="s">
        <v>942</v>
      </c>
      <c r="C61" s="4" t="s">
        <v>329</v>
      </c>
      <c r="D61" s="6">
        <v>1</v>
      </c>
      <c r="E61" s="6">
        <f t="shared" si="85"/>
        <v>0</v>
      </c>
      <c r="F61" s="6">
        <f t="shared" si="82"/>
        <v>0</v>
      </c>
      <c r="G61" s="6">
        <f t="shared" si="86"/>
        <v>0</v>
      </c>
      <c r="H61" s="6">
        <f t="shared" si="83"/>
        <v>0</v>
      </c>
      <c r="I61" s="6">
        <f t="shared" si="84"/>
        <v>0</v>
      </c>
      <c r="J61" s="6">
        <f t="shared" si="84"/>
        <v>0</v>
      </c>
      <c r="L61" s="75"/>
      <c r="M61" s="76">
        <f t="shared" si="87"/>
        <v>1.19</v>
      </c>
      <c r="N61" s="77">
        <f t="shared" si="88"/>
        <v>0</v>
      </c>
      <c r="O61" s="78"/>
      <c r="P61" s="78"/>
      <c r="Q61" s="79"/>
      <c r="R61" s="80">
        <f t="shared" si="89"/>
        <v>1.24</v>
      </c>
      <c r="S61" s="79">
        <f t="shared" si="90"/>
        <v>0</v>
      </c>
    </row>
    <row r="62" spans="1:19">
      <c r="A62" s="19"/>
      <c r="B62" s="20" t="s">
        <v>928</v>
      </c>
      <c r="C62" s="19" t="s">
        <v>26</v>
      </c>
      <c r="D62" s="21"/>
      <c r="E62" s="21"/>
      <c r="F62" s="21"/>
      <c r="G62" s="21"/>
      <c r="H62" s="21"/>
      <c r="I62" s="21"/>
      <c r="J62" s="21"/>
    </row>
    <row r="63" spans="1:19">
      <c r="A63" s="4"/>
      <c r="B63" s="5" t="s">
        <v>929</v>
      </c>
      <c r="C63" s="4" t="s">
        <v>323</v>
      </c>
      <c r="D63" s="6">
        <v>10</v>
      </c>
      <c r="E63" s="6">
        <f>SUM(N63)</f>
        <v>0</v>
      </c>
      <c r="F63" s="6">
        <f>D63*E63</f>
        <v>0</v>
      </c>
      <c r="G63" s="6">
        <f>SUM(S63)</f>
        <v>0</v>
      </c>
      <c r="H63" s="6">
        <f>D63*G63</f>
        <v>0</v>
      </c>
      <c r="I63" s="6">
        <f t="shared" ref="I63" si="91">E63+G63</f>
        <v>0</v>
      </c>
      <c r="J63" s="6">
        <f t="shared" ref="J63" si="92">F63+H63</f>
        <v>0</v>
      </c>
      <c r="L63" s="75"/>
      <c r="M63" s="76">
        <f t="shared" ref="M63" si="93">$M$1</f>
        <v>1.19</v>
      </c>
      <c r="N63" s="77">
        <f t="shared" ref="N63" si="94">SUM(M63*L63)</f>
        <v>0</v>
      </c>
      <c r="O63" s="78"/>
      <c r="P63" s="78"/>
      <c r="Q63" s="79"/>
      <c r="R63" s="80">
        <f t="shared" ref="R63" si="95">$R$1</f>
        <v>1.24</v>
      </c>
      <c r="S63" s="79">
        <f t="shared" ref="S63" si="96">SUM(R63*Q63)</f>
        <v>0</v>
      </c>
    </row>
    <row r="64" spans="1:19">
      <c r="A64" s="19"/>
      <c r="B64" s="20" t="s">
        <v>320</v>
      </c>
      <c r="C64" s="19" t="s">
        <v>26</v>
      </c>
      <c r="D64" s="21"/>
      <c r="E64" s="21"/>
      <c r="F64" s="21"/>
      <c r="G64" s="21"/>
      <c r="H64" s="21"/>
      <c r="I64" s="21"/>
      <c r="J64" s="21"/>
    </row>
    <row r="65" spans="1:19">
      <c r="A65" s="19"/>
      <c r="B65" s="20" t="s">
        <v>321</v>
      </c>
      <c r="C65" s="19" t="s">
        <v>26</v>
      </c>
      <c r="D65" s="21"/>
      <c r="E65" s="21"/>
      <c r="F65" s="21"/>
      <c r="G65" s="21"/>
      <c r="H65" s="21"/>
      <c r="I65" s="21"/>
      <c r="J65" s="21"/>
    </row>
    <row r="66" spans="1:19">
      <c r="A66" s="4"/>
      <c r="B66" s="5" t="s">
        <v>322</v>
      </c>
      <c r="C66" s="4" t="s">
        <v>323</v>
      </c>
      <c r="D66" s="6">
        <v>30</v>
      </c>
      <c r="E66" s="6">
        <f>SUM(N66)</f>
        <v>0</v>
      </c>
      <c r="F66" s="6">
        <f>D66*E66</f>
        <v>0</v>
      </c>
      <c r="G66" s="6">
        <f>SUM(S66)</f>
        <v>0</v>
      </c>
      <c r="H66" s="6">
        <f>D66*G66</f>
        <v>0</v>
      </c>
      <c r="I66" s="6">
        <f t="shared" ref="I66:I67" si="97">E66+G66</f>
        <v>0</v>
      </c>
      <c r="J66" s="6">
        <f t="shared" ref="J66:J67" si="98">F66+H66</f>
        <v>0</v>
      </c>
      <c r="L66" s="75"/>
      <c r="M66" s="76">
        <f t="shared" ref="M66:M67" si="99">$M$1</f>
        <v>1.19</v>
      </c>
      <c r="N66" s="77">
        <f t="shared" ref="N66:N67" si="100">SUM(M66*L66)</f>
        <v>0</v>
      </c>
      <c r="O66" s="78"/>
      <c r="P66" s="78"/>
      <c r="Q66" s="79"/>
      <c r="R66" s="80">
        <f t="shared" ref="R66:R67" si="101">$R$1</f>
        <v>1.24</v>
      </c>
      <c r="S66" s="79">
        <f t="shared" ref="S66:S67" si="102">SUM(R66*Q66)</f>
        <v>0</v>
      </c>
    </row>
    <row r="67" spans="1:19">
      <c r="A67" s="4"/>
      <c r="B67" s="5" t="s">
        <v>324</v>
      </c>
      <c r="C67" s="4" t="s">
        <v>323</v>
      </c>
      <c r="D67" s="6">
        <v>1</v>
      </c>
      <c r="E67" s="6">
        <f>SUM(N67)</f>
        <v>0</v>
      </c>
      <c r="F67" s="6">
        <f>D67*E67</f>
        <v>0</v>
      </c>
      <c r="G67" s="6">
        <f>SUM(S67)</f>
        <v>0</v>
      </c>
      <c r="H67" s="6">
        <f>D67*G67</f>
        <v>0</v>
      </c>
      <c r="I67" s="6">
        <f t="shared" si="97"/>
        <v>0</v>
      </c>
      <c r="J67" s="6">
        <f t="shared" si="98"/>
        <v>0</v>
      </c>
      <c r="L67" s="75"/>
      <c r="M67" s="76">
        <f t="shared" si="99"/>
        <v>1.19</v>
      </c>
      <c r="N67" s="77">
        <f t="shared" si="100"/>
        <v>0</v>
      </c>
      <c r="O67" s="78"/>
      <c r="P67" s="78"/>
      <c r="Q67" s="79"/>
      <c r="R67" s="80">
        <f t="shared" si="101"/>
        <v>1.24</v>
      </c>
      <c r="S67" s="79">
        <f t="shared" si="102"/>
        <v>0</v>
      </c>
    </row>
    <row r="68" spans="1:19">
      <c r="A68" s="13"/>
      <c r="B68" s="14" t="s">
        <v>342</v>
      </c>
      <c r="C68" s="13" t="s">
        <v>26</v>
      </c>
      <c r="D68" s="15"/>
      <c r="E68" s="15"/>
      <c r="F68" s="15">
        <f>SUM(F51:F67)</f>
        <v>0</v>
      </c>
      <c r="G68" s="15"/>
      <c r="H68" s="15">
        <f>SUM(H51:H67)</f>
        <v>0</v>
      </c>
      <c r="I68" s="15"/>
      <c r="J68" s="15">
        <f>SUM(J51:J67)</f>
        <v>0</v>
      </c>
    </row>
    <row r="69" spans="1:19">
      <c r="A69" s="4"/>
      <c r="B69" s="5" t="s">
        <v>26</v>
      </c>
      <c r="C69" s="4" t="s">
        <v>26</v>
      </c>
      <c r="D69" s="23"/>
      <c r="E69" s="23"/>
      <c r="F69" s="23"/>
      <c r="G69" s="23"/>
      <c r="H69" s="23"/>
      <c r="I69" s="23"/>
      <c r="J69" s="23"/>
    </row>
    <row r="70" spans="1:19" ht="24">
      <c r="A70" s="16"/>
      <c r="B70" s="17" t="s">
        <v>943</v>
      </c>
      <c r="C70" s="16" t="s">
        <v>26</v>
      </c>
      <c r="D70" s="18"/>
      <c r="E70" s="18"/>
      <c r="F70" s="18">
        <f>SUM(F15,F17:F42,F44,F46:F47,F49,F51:F67,F69:F69)</f>
        <v>0</v>
      </c>
      <c r="G70" s="18"/>
      <c r="H70" s="18">
        <f>SUM(H15,H17:H42,H44,H46:H47,H49,H51:H67,H69:H69)</f>
        <v>0</v>
      </c>
      <c r="I70" s="18"/>
      <c r="J70" s="18">
        <f>SUM(J15,J17:J42,J44,J46:J47,J49,J51:J67,J69:J69)</f>
        <v>0</v>
      </c>
    </row>
    <row r="71" spans="1:19">
      <c r="A71" s="4"/>
      <c r="B71" s="5" t="s">
        <v>26</v>
      </c>
      <c r="C71" s="4" t="s">
        <v>26</v>
      </c>
      <c r="D71" s="6"/>
      <c r="E71" s="6"/>
      <c r="F71" s="6"/>
      <c r="G71" s="6"/>
      <c r="H71" s="6"/>
      <c r="I71" s="6"/>
      <c r="J71" s="6"/>
    </row>
    <row r="72" spans="1:19">
      <c r="A72" s="4"/>
      <c r="B72" s="5" t="s">
        <v>344</v>
      </c>
      <c r="C72" s="4" t="s">
        <v>26</v>
      </c>
      <c r="D72" s="6"/>
      <c r="E72" s="6"/>
      <c r="F72" s="6">
        <f>[4]Parametry!B33/100*F18+[4]Parametry!B33/100*F21+[4]Parametry!B33/100*F27+[4]Parametry!B33/100*F29+[4]Parametry!B33/100*F33+[4]Parametry!B33/100*F34+[4]Parametry!B33/100*F35+[4]Parametry!B33/100*F36+[4]Parametry!B33/100*F37+[4]Parametry!B33/100*F39+[4]Parametry!B33/100*F42+[4]Parametry!B33/100*F55+[4]Parametry!B33/100*F56+[4]Parametry!B33/100*F57+[4]Parametry!B33/100*F58+[4]Parametry!B33/100*F63+[4]Parametry!B33/100*F66+[4]Parametry!B33/100*F67</f>
        <v>0</v>
      </c>
      <c r="G72" s="6"/>
      <c r="H72" s="6"/>
      <c r="I72" s="6">
        <f>E72+G72</f>
        <v>0</v>
      </c>
      <c r="J72" s="6">
        <f>F72+H72</f>
        <v>0</v>
      </c>
    </row>
    <row r="73" spans="1:19">
      <c r="A73" s="7"/>
      <c r="B73" s="8" t="s">
        <v>345</v>
      </c>
      <c r="C73" s="7" t="s">
        <v>26</v>
      </c>
      <c r="D73" s="9"/>
      <c r="E73" s="9"/>
      <c r="F73" s="9">
        <f>SUM(F13,F15,F17:F42,F44,F46:F47,F49,F51:F67,F69,F71:F72)</f>
        <v>0</v>
      </c>
      <c r="G73" s="9"/>
      <c r="H73" s="9">
        <f>SUM(H13,H15,H17:H42,H44,H46:H47,H49,H51:H67,H69,H71:H72)</f>
        <v>0</v>
      </c>
      <c r="I73" s="9"/>
      <c r="J73" s="9">
        <f>SUM(J13,J15,J17:J42,J44,J46:J47,J49,J51:J67,J69,J71:J72)</f>
        <v>0</v>
      </c>
    </row>
    <row r="74" spans="1:19">
      <c r="A74" s="4"/>
      <c r="B74" s="5" t="s">
        <v>26</v>
      </c>
      <c r="C74" s="4" t="s">
        <v>26</v>
      </c>
      <c r="D74" s="6"/>
      <c r="E74" s="6"/>
      <c r="F74" s="6"/>
      <c r="G74" s="6"/>
      <c r="H74" s="6"/>
      <c r="I74" s="6"/>
      <c r="J74" s="6"/>
    </row>
    <row r="75" spans="1:19">
      <c r="A75" s="7"/>
      <c r="B75" s="8" t="s">
        <v>346</v>
      </c>
      <c r="C75" s="7" t="s">
        <v>26</v>
      </c>
      <c r="D75" s="9"/>
      <c r="E75" s="9"/>
      <c r="F75" s="9"/>
      <c r="G75" s="9"/>
      <c r="H75" s="9"/>
      <c r="I75" s="9"/>
      <c r="J75" s="9"/>
    </row>
    <row r="76" spans="1:19">
      <c r="A76" s="4"/>
      <c r="B76" s="5" t="s">
        <v>26</v>
      </c>
      <c r="C76" s="4" t="s">
        <v>26</v>
      </c>
      <c r="D76" s="6"/>
      <c r="E76" s="6"/>
      <c r="F76" s="6"/>
      <c r="G76" s="6"/>
      <c r="H76" s="6"/>
      <c r="I76" s="6"/>
      <c r="J76" s="6"/>
    </row>
    <row r="77" spans="1:19">
      <c r="A77" s="16"/>
      <c r="B77" s="17" t="s">
        <v>903</v>
      </c>
      <c r="C77" s="16" t="s">
        <v>26</v>
      </c>
      <c r="D77" s="18"/>
      <c r="E77" s="18"/>
      <c r="F77" s="18"/>
      <c r="G77" s="18"/>
      <c r="H77" s="18"/>
      <c r="I77" s="18"/>
      <c r="J77" s="18"/>
    </row>
    <row r="78" spans="1:19" ht="32.15">
      <c r="A78" s="4"/>
      <c r="B78" s="5" t="s">
        <v>944</v>
      </c>
      <c r="C78" s="4" t="s">
        <v>36</v>
      </c>
      <c r="D78" s="6">
        <v>1</v>
      </c>
      <c r="E78" s="6">
        <f t="shared" ref="E78:E79" si="103">SUM(N78)</f>
        <v>0</v>
      </c>
      <c r="F78" s="6">
        <f t="shared" ref="F78:F79" si="104">D78*E78</f>
        <v>0</v>
      </c>
      <c r="G78" s="6">
        <f t="shared" ref="G78:G79" si="105">SUM(S78)</f>
        <v>0</v>
      </c>
      <c r="H78" s="6">
        <f t="shared" ref="H78:H79" si="106">D78*G78</f>
        <v>0</v>
      </c>
      <c r="I78" s="6">
        <f t="shared" ref="I78:I79" si="107">E78+G78</f>
        <v>0</v>
      </c>
      <c r="J78" s="6">
        <f t="shared" ref="J78:J79" si="108">F78+H78</f>
        <v>0</v>
      </c>
      <c r="L78" s="75"/>
      <c r="M78" s="76">
        <f t="shared" ref="M78:M79" si="109">$M$1</f>
        <v>1.19</v>
      </c>
      <c r="N78" s="77">
        <f t="shared" ref="N78:N79" si="110">SUM(M78*L78)</f>
        <v>0</v>
      </c>
      <c r="O78" s="78"/>
      <c r="P78" s="78"/>
      <c r="Q78" s="79"/>
      <c r="R78" s="80">
        <f t="shared" ref="R78:R79" si="111">$R$1</f>
        <v>1.24</v>
      </c>
      <c r="S78" s="79">
        <f t="shared" ref="S78:S79" si="112">SUM(R78*Q78)</f>
        <v>0</v>
      </c>
    </row>
    <row r="79" spans="1:19" ht="32.15">
      <c r="A79" s="4"/>
      <c r="B79" s="5" t="s">
        <v>945</v>
      </c>
      <c r="C79" s="4" t="s">
        <v>36</v>
      </c>
      <c r="D79" s="6">
        <v>1</v>
      </c>
      <c r="E79" s="6">
        <f t="shared" si="103"/>
        <v>0</v>
      </c>
      <c r="F79" s="6">
        <f t="shared" si="104"/>
        <v>0</v>
      </c>
      <c r="G79" s="6">
        <f t="shared" si="105"/>
        <v>0</v>
      </c>
      <c r="H79" s="6">
        <f t="shared" si="106"/>
        <v>0</v>
      </c>
      <c r="I79" s="6">
        <f t="shared" si="107"/>
        <v>0</v>
      </c>
      <c r="J79" s="6">
        <f t="shared" si="108"/>
        <v>0</v>
      </c>
      <c r="L79" s="75"/>
      <c r="M79" s="76">
        <f t="shared" si="109"/>
        <v>1.19</v>
      </c>
      <c r="N79" s="77">
        <f t="shared" si="110"/>
        <v>0</v>
      </c>
      <c r="O79" s="78"/>
      <c r="P79" s="78"/>
      <c r="Q79" s="79"/>
      <c r="R79" s="80">
        <f t="shared" si="111"/>
        <v>1.24</v>
      </c>
      <c r="S79" s="79">
        <f t="shared" si="112"/>
        <v>0</v>
      </c>
    </row>
    <row r="80" spans="1:19">
      <c r="A80" s="16"/>
      <c r="B80" s="17" t="s">
        <v>907</v>
      </c>
      <c r="C80" s="16" t="s">
        <v>26</v>
      </c>
      <c r="D80" s="18"/>
      <c r="E80" s="18"/>
      <c r="F80" s="18">
        <f>SUM(F78:F79)</f>
        <v>0</v>
      </c>
      <c r="G80" s="18"/>
      <c r="H80" s="18">
        <f>SUM(H78:H79)</f>
        <v>0</v>
      </c>
      <c r="I80" s="18"/>
      <c r="J80" s="18">
        <f>SUM(J78:J79)</f>
        <v>0</v>
      </c>
    </row>
    <row r="81" spans="1:19">
      <c r="A81" s="4"/>
      <c r="B81" s="5" t="s">
        <v>26</v>
      </c>
      <c r="C81" s="4" t="s">
        <v>26</v>
      </c>
      <c r="D81" s="6"/>
      <c r="E81" s="6"/>
      <c r="F81" s="6"/>
      <c r="G81" s="6"/>
      <c r="H81" s="6"/>
      <c r="I81" s="6"/>
      <c r="J81" s="6"/>
    </row>
    <row r="82" spans="1:19">
      <c r="A82" s="16"/>
      <c r="B82" s="17" t="s">
        <v>909</v>
      </c>
      <c r="C82" s="16" t="s">
        <v>26</v>
      </c>
      <c r="D82" s="18"/>
      <c r="E82" s="18"/>
      <c r="F82" s="18"/>
      <c r="G82" s="18"/>
      <c r="H82" s="18"/>
      <c r="I82" s="18"/>
      <c r="J82" s="18"/>
    </row>
    <row r="83" spans="1:19" ht="32.15">
      <c r="A83" s="4"/>
      <c r="B83" s="5" t="s">
        <v>946</v>
      </c>
      <c r="C83" s="4" t="s">
        <v>188</v>
      </c>
      <c r="D83" s="6">
        <v>20</v>
      </c>
      <c r="E83" s="6">
        <f t="shared" ref="E83:E84" si="113">SUM(N83)</f>
        <v>0</v>
      </c>
      <c r="F83" s="6">
        <f t="shared" ref="F83:F84" si="114">D83*E83</f>
        <v>0</v>
      </c>
      <c r="G83" s="6">
        <f t="shared" ref="G83:G84" si="115">SUM(S83)</f>
        <v>0</v>
      </c>
      <c r="H83" s="6">
        <f t="shared" ref="H83:H84" si="116">D83*G83</f>
        <v>0</v>
      </c>
      <c r="I83" s="6">
        <f t="shared" ref="I83:I84" si="117">E83+G83</f>
        <v>0</v>
      </c>
      <c r="J83" s="6">
        <f t="shared" ref="J83:J84" si="118">F83+H83</f>
        <v>0</v>
      </c>
      <c r="L83" s="75"/>
      <c r="M83" s="76">
        <f t="shared" ref="M83:M84" si="119">$M$1</f>
        <v>1.19</v>
      </c>
      <c r="N83" s="77">
        <f t="shared" ref="N83:N84" si="120">SUM(M83*L83)</f>
        <v>0</v>
      </c>
      <c r="O83" s="78"/>
      <c r="P83" s="78"/>
      <c r="Q83" s="79"/>
      <c r="R83" s="80">
        <f t="shared" ref="R83:R84" si="121">$R$1</f>
        <v>1.24</v>
      </c>
      <c r="S83" s="79">
        <f t="shared" ref="S83:S84" si="122">SUM(R83*Q83)</f>
        <v>0</v>
      </c>
    </row>
    <row r="84" spans="1:19" ht="21.9">
      <c r="A84" s="4"/>
      <c r="B84" s="5" t="s">
        <v>947</v>
      </c>
      <c r="C84" s="4" t="s">
        <v>332</v>
      </c>
      <c r="D84" s="6">
        <v>1</v>
      </c>
      <c r="E84" s="6">
        <f t="shared" si="113"/>
        <v>0</v>
      </c>
      <c r="F84" s="6">
        <f t="shared" si="114"/>
        <v>0</v>
      </c>
      <c r="G84" s="6">
        <f t="shared" si="115"/>
        <v>0</v>
      </c>
      <c r="H84" s="6">
        <f t="shared" si="116"/>
        <v>0</v>
      </c>
      <c r="I84" s="6">
        <f t="shared" si="117"/>
        <v>0</v>
      </c>
      <c r="J84" s="6">
        <f t="shared" si="118"/>
        <v>0</v>
      </c>
      <c r="L84" s="75"/>
      <c r="M84" s="76">
        <f t="shared" si="119"/>
        <v>1.19</v>
      </c>
      <c r="N84" s="77">
        <f t="shared" si="120"/>
        <v>0</v>
      </c>
      <c r="O84" s="78"/>
      <c r="P84" s="78"/>
      <c r="Q84" s="79"/>
      <c r="R84" s="80">
        <f t="shared" si="121"/>
        <v>1.24</v>
      </c>
      <c r="S84" s="79">
        <f t="shared" si="122"/>
        <v>0</v>
      </c>
    </row>
    <row r="85" spans="1:19">
      <c r="A85" s="19"/>
      <c r="B85" s="20" t="s">
        <v>868</v>
      </c>
      <c r="C85" s="19" t="s">
        <v>26</v>
      </c>
      <c r="D85" s="22"/>
      <c r="E85" s="22"/>
      <c r="F85" s="22"/>
      <c r="G85" s="22"/>
      <c r="H85" s="22"/>
      <c r="I85" s="22"/>
      <c r="J85" s="22"/>
    </row>
    <row r="86" spans="1:19">
      <c r="A86" s="4"/>
      <c r="B86" s="5" t="s">
        <v>869</v>
      </c>
      <c r="C86" s="4" t="s">
        <v>450</v>
      </c>
      <c r="D86" s="6">
        <v>8.94</v>
      </c>
      <c r="E86" s="6">
        <f>SUM(N86)</f>
        <v>0</v>
      </c>
      <c r="F86" s="6">
        <f>D86*E86</f>
        <v>0</v>
      </c>
      <c r="G86" s="6">
        <f>SUM(S86)</f>
        <v>0</v>
      </c>
      <c r="H86" s="6">
        <f>D86*G86</f>
        <v>0</v>
      </c>
      <c r="I86" s="6">
        <f t="shared" ref="I86" si="123">E86+G86</f>
        <v>0</v>
      </c>
      <c r="J86" s="6">
        <f t="shared" ref="J86" si="124">F86+H86</f>
        <v>0</v>
      </c>
      <c r="L86" s="75"/>
      <c r="M86" s="76">
        <f t="shared" ref="M86" si="125">$M$1</f>
        <v>1.19</v>
      </c>
      <c r="N86" s="77">
        <f t="shared" ref="N86" si="126">SUM(M86*L86)</f>
        <v>0</v>
      </c>
      <c r="O86" s="78"/>
      <c r="P86" s="78"/>
      <c r="Q86" s="79"/>
      <c r="R86" s="80">
        <f t="shared" ref="R86" si="127">$R$1</f>
        <v>1.24</v>
      </c>
      <c r="S86" s="79">
        <f t="shared" ref="S86" si="128">SUM(R86*Q86)</f>
        <v>0</v>
      </c>
    </row>
    <row r="87" spans="1:19">
      <c r="A87" s="19"/>
      <c r="B87" s="20" t="s">
        <v>870</v>
      </c>
      <c r="C87" s="19" t="s">
        <v>26</v>
      </c>
      <c r="D87" s="22"/>
      <c r="E87" s="22"/>
      <c r="F87" s="22"/>
      <c r="G87" s="22"/>
      <c r="H87" s="22"/>
      <c r="I87" s="22"/>
      <c r="J87" s="22"/>
    </row>
    <row r="88" spans="1:19">
      <c r="A88" s="4"/>
      <c r="B88" s="5" t="s">
        <v>871</v>
      </c>
      <c r="C88" s="4" t="s">
        <v>260</v>
      </c>
      <c r="D88" s="6">
        <v>62.87</v>
      </c>
      <c r="E88" s="6">
        <f>SUM(N88)</f>
        <v>0</v>
      </c>
      <c r="F88" s="6">
        <f>D88*E88</f>
        <v>0</v>
      </c>
      <c r="G88" s="6">
        <f>SUM(S88)</f>
        <v>0</v>
      </c>
      <c r="H88" s="6">
        <f>D88*G88</f>
        <v>0</v>
      </c>
      <c r="I88" s="6">
        <f t="shared" ref="I88" si="129">E88+G88</f>
        <v>0</v>
      </c>
      <c r="J88" s="6">
        <f t="shared" ref="J88" si="130">F88+H88</f>
        <v>0</v>
      </c>
      <c r="L88" s="75"/>
      <c r="M88" s="76">
        <f t="shared" ref="M88" si="131">$M$1</f>
        <v>1.19</v>
      </c>
      <c r="N88" s="77">
        <f t="shared" ref="N88" si="132">SUM(M88*L88)</f>
        <v>0</v>
      </c>
      <c r="O88" s="78"/>
      <c r="P88" s="78"/>
      <c r="Q88" s="79"/>
      <c r="R88" s="80">
        <f t="shared" ref="R88" si="133">$R$1</f>
        <v>1.24</v>
      </c>
      <c r="S88" s="79">
        <f t="shared" ref="S88" si="134">SUM(R88*Q88)</f>
        <v>0</v>
      </c>
    </row>
    <row r="89" spans="1:19">
      <c r="A89" s="19"/>
      <c r="B89" s="20" t="s">
        <v>348</v>
      </c>
      <c r="C89" s="19" t="s">
        <v>26</v>
      </c>
      <c r="D89" s="22"/>
      <c r="E89" s="22"/>
      <c r="F89" s="22"/>
      <c r="G89" s="22"/>
      <c r="H89" s="22"/>
      <c r="I89" s="22"/>
      <c r="J89" s="22"/>
    </row>
    <row r="90" spans="1:19">
      <c r="A90" s="4"/>
      <c r="B90" s="5" t="s">
        <v>873</v>
      </c>
      <c r="C90" s="4" t="s">
        <v>188</v>
      </c>
      <c r="D90" s="6">
        <v>120.75</v>
      </c>
      <c r="E90" s="6">
        <f>SUM(N90)</f>
        <v>0</v>
      </c>
      <c r="F90" s="6">
        <f>D90*E90</f>
        <v>0</v>
      </c>
      <c r="G90" s="6">
        <f>SUM(S90)</f>
        <v>0</v>
      </c>
      <c r="H90" s="6">
        <f>D90*G90</f>
        <v>0</v>
      </c>
      <c r="I90" s="6">
        <f t="shared" ref="I90" si="135">E90+G90</f>
        <v>0</v>
      </c>
      <c r="J90" s="6">
        <f t="shared" ref="J90" si="136">F90+H90</f>
        <v>0</v>
      </c>
      <c r="L90" s="75"/>
      <c r="M90" s="76">
        <f t="shared" ref="M90" si="137">$M$1</f>
        <v>1.19</v>
      </c>
      <c r="N90" s="77">
        <f t="shared" ref="N90" si="138">SUM(M90*L90)</f>
        <v>0</v>
      </c>
      <c r="O90" s="78"/>
      <c r="P90" s="78"/>
      <c r="Q90" s="79"/>
      <c r="R90" s="80">
        <f t="shared" ref="R90" si="139">$R$1</f>
        <v>1.24</v>
      </c>
      <c r="S90" s="79">
        <f t="shared" ref="S90" si="140">SUM(R90*Q90)</f>
        <v>0</v>
      </c>
    </row>
    <row r="91" spans="1:19">
      <c r="A91" s="19"/>
      <c r="B91" s="20" t="s">
        <v>875</v>
      </c>
      <c r="C91" s="19" t="s">
        <v>26</v>
      </c>
      <c r="D91" s="22"/>
      <c r="E91" s="22"/>
      <c r="F91" s="22"/>
      <c r="G91" s="22"/>
      <c r="H91" s="22"/>
      <c r="I91" s="22"/>
      <c r="J91" s="22"/>
    </row>
    <row r="92" spans="1:19" ht="21.9">
      <c r="A92" s="4"/>
      <c r="B92" s="5" t="s">
        <v>948</v>
      </c>
      <c r="C92" s="4" t="s">
        <v>188</v>
      </c>
      <c r="D92" s="6">
        <v>120.75</v>
      </c>
      <c r="E92" s="6">
        <f>SUM(N92)</f>
        <v>0</v>
      </c>
      <c r="F92" s="6">
        <f>D92*E92</f>
        <v>0</v>
      </c>
      <c r="G92" s="6">
        <f>SUM(S92)</f>
        <v>0</v>
      </c>
      <c r="H92" s="6">
        <f>D92*G92</f>
        <v>0</v>
      </c>
      <c r="I92" s="6">
        <f t="shared" ref="I92" si="141">E92+G92</f>
        <v>0</v>
      </c>
      <c r="J92" s="6">
        <f t="shared" ref="J92" si="142">F92+H92</f>
        <v>0</v>
      </c>
      <c r="L92" s="75"/>
      <c r="M92" s="76">
        <f t="shared" ref="M92" si="143">$M$1</f>
        <v>1.19</v>
      </c>
      <c r="N92" s="77">
        <f t="shared" ref="N92" si="144">SUM(M92*L92)</f>
        <v>0</v>
      </c>
      <c r="O92" s="78"/>
      <c r="P92" s="78"/>
      <c r="Q92" s="79"/>
      <c r="R92" s="80">
        <f t="shared" ref="R92" si="145">$R$1</f>
        <v>1.24</v>
      </c>
      <c r="S92" s="79">
        <f t="shared" ref="S92" si="146">SUM(R92*Q92)</f>
        <v>0</v>
      </c>
    </row>
    <row r="93" spans="1:19">
      <c r="A93" s="19"/>
      <c r="B93" s="20" t="s">
        <v>949</v>
      </c>
      <c r="C93" s="19" t="s">
        <v>26</v>
      </c>
      <c r="D93" s="22"/>
      <c r="E93" s="22"/>
      <c r="F93" s="22"/>
      <c r="G93" s="22"/>
      <c r="H93" s="22"/>
      <c r="I93" s="22"/>
      <c r="J93" s="22"/>
    </row>
    <row r="94" spans="1:19">
      <c r="A94" s="4"/>
      <c r="B94" s="5" t="s">
        <v>950</v>
      </c>
      <c r="C94" s="4" t="s">
        <v>188</v>
      </c>
      <c r="D94" s="6">
        <v>120.75</v>
      </c>
      <c r="E94" s="6">
        <f>SUM(N94)</f>
        <v>0</v>
      </c>
      <c r="F94" s="6">
        <f>D94*E94</f>
        <v>0</v>
      </c>
      <c r="G94" s="6">
        <f>SUM(S94)</f>
        <v>0</v>
      </c>
      <c r="H94" s="6">
        <f>D94*G94</f>
        <v>0</v>
      </c>
      <c r="I94" s="6">
        <f t="shared" ref="I94" si="147">E94+G94</f>
        <v>0</v>
      </c>
      <c r="J94" s="6">
        <f t="shared" ref="J94" si="148">F94+H94</f>
        <v>0</v>
      </c>
      <c r="L94" s="75"/>
      <c r="M94" s="76">
        <f t="shared" ref="M94" si="149">$M$1</f>
        <v>1.19</v>
      </c>
      <c r="N94" s="77">
        <f t="shared" ref="N94" si="150">SUM(M94*L94)</f>
        <v>0</v>
      </c>
      <c r="O94" s="78"/>
      <c r="P94" s="78"/>
      <c r="Q94" s="79"/>
      <c r="R94" s="80">
        <f t="shared" ref="R94" si="151">$R$1</f>
        <v>1.24</v>
      </c>
      <c r="S94" s="79">
        <f t="shared" ref="S94" si="152">SUM(R94*Q94)</f>
        <v>0</v>
      </c>
    </row>
    <row r="95" spans="1:19">
      <c r="A95" s="19"/>
      <c r="B95" s="20" t="s">
        <v>877</v>
      </c>
      <c r="C95" s="19" t="s">
        <v>26</v>
      </c>
      <c r="D95" s="22"/>
      <c r="E95" s="22"/>
      <c r="F95" s="22"/>
      <c r="G95" s="22"/>
      <c r="H95" s="22"/>
      <c r="I95" s="22"/>
      <c r="J95" s="22"/>
    </row>
    <row r="96" spans="1:19">
      <c r="A96" s="4"/>
      <c r="B96" s="5" t="s">
        <v>878</v>
      </c>
      <c r="C96" s="4" t="s">
        <v>188</v>
      </c>
      <c r="D96" s="6">
        <v>120.75</v>
      </c>
      <c r="E96" s="6">
        <f>SUM(N96)</f>
        <v>0</v>
      </c>
      <c r="F96" s="6">
        <f>D96*E96</f>
        <v>0</v>
      </c>
      <c r="G96" s="6">
        <f>SUM(S96)</f>
        <v>0</v>
      </c>
      <c r="H96" s="6">
        <f>D96*G96</f>
        <v>0</v>
      </c>
      <c r="I96" s="6">
        <f t="shared" ref="I96" si="153">E96+G96</f>
        <v>0</v>
      </c>
      <c r="J96" s="6">
        <f t="shared" ref="J96" si="154">F96+H96</f>
        <v>0</v>
      </c>
      <c r="L96" s="75"/>
      <c r="M96" s="76">
        <f t="shared" ref="M96" si="155">$M$1</f>
        <v>1.19</v>
      </c>
      <c r="N96" s="77">
        <f t="shared" ref="N96" si="156">SUM(M96*L96)</f>
        <v>0</v>
      </c>
      <c r="O96" s="78"/>
      <c r="P96" s="78"/>
      <c r="Q96" s="79"/>
      <c r="R96" s="80">
        <f t="shared" ref="R96" si="157">$R$1</f>
        <v>1.24</v>
      </c>
      <c r="S96" s="79">
        <f t="shared" ref="S96" si="158">SUM(R96*Q96)</f>
        <v>0</v>
      </c>
    </row>
    <row r="97" spans="1:19">
      <c r="A97" s="19"/>
      <c r="B97" s="20" t="s">
        <v>350</v>
      </c>
      <c r="C97" s="19" t="s">
        <v>26</v>
      </c>
      <c r="D97" s="22"/>
      <c r="E97" s="22"/>
      <c r="F97" s="22"/>
      <c r="G97" s="22"/>
      <c r="H97" s="22"/>
      <c r="I97" s="22"/>
      <c r="J97" s="22"/>
    </row>
    <row r="98" spans="1:19">
      <c r="A98" s="4"/>
      <c r="B98" s="5" t="s">
        <v>873</v>
      </c>
      <c r="C98" s="4" t="s">
        <v>188</v>
      </c>
      <c r="D98" s="6">
        <v>120.75</v>
      </c>
      <c r="E98" s="6">
        <f>SUM(N98)</f>
        <v>0</v>
      </c>
      <c r="F98" s="6">
        <f>D98*E98</f>
        <v>0</v>
      </c>
      <c r="G98" s="6">
        <f>SUM(S98)</f>
        <v>0</v>
      </c>
      <c r="H98" s="6">
        <f>D98*G98</f>
        <v>0</v>
      </c>
      <c r="I98" s="6">
        <f t="shared" ref="I98" si="159">E98+G98</f>
        <v>0</v>
      </c>
      <c r="J98" s="6">
        <f t="shared" ref="J98" si="160">F98+H98</f>
        <v>0</v>
      </c>
      <c r="L98" s="75"/>
      <c r="M98" s="76">
        <f t="shared" ref="M98" si="161">$M$1</f>
        <v>1.19</v>
      </c>
      <c r="N98" s="77">
        <f t="shared" ref="N98" si="162">SUM(M98*L98)</f>
        <v>0</v>
      </c>
      <c r="O98" s="78"/>
      <c r="P98" s="78"/>
      <c r="Q98" s="79"/>
      <c r="R98" s="80">
        <f t="shared" ref="R98" si="163">$R$1</f>
        <v>1.24</v>
      </c>
      <c r="S98" s="79">
        <f t="shared" ref="S98" si="164">SUM(R98*Q98)</f>
        <v>0</v>
      </c>
    </row>
    <row r="99" spans="1:19">
      <c r="A99" s="19"/>
      <c r="B99" s="20" t="s">
        <v>879</v>
      </c>
      <c r="C99" s="19" t="s">
        <v>26</v>
      </c>
      <c r="D99" s="22"/>
      <c r="E99" s="22"/>
      <c r="F99" s="22"/>
      <c r="G99" s="22"/>
      <c r="H99" s="22"/>
      <c r="I99" s="22"/>
      <c r="J99" s="22"/>
    </row>
    <row r="100" spans="1:19">
      <c r="A100" s="4"/>
      <c r="B100" s="5" t="s">
        <v>880</v>
      </c>
      <c r="C100" s="4" t="s">
        <v>450</v>
      </c>
      <c r="D100" s="6">
        <v>41.73</v>
      </c>
      <c r="E100" s="6">
        <f>SUM(N100)</f>
        <v>0</v>
      </c>
      <c r="F100" s="6">
        <f>D100*E100</f>
        <v>0</v>
      </c>
      <c r="G100" s="6">
        <f>SUM(S100)</f>
        <v>0</v>
      </c>
      <c r="H100" s="6">
        <f>D100*G100</f>
        <v>0</v>
      </c>
      <c r="I100" s="6">
        <f t="shared" ref="I100" si="165">E100+G100</f>
        <v>0</v>
      </c>
      <c r="J100" s="6">
        <f t="shared" ref="J100" si="166">F100+H100</f>
        <v>0</v>
      </c>
      <c r="L100" s="75"/>
      <c r="M100" s="76">
        <f t="shared" ref="M100" si="167">$M$1</f>
        <v>1.19</v>
      </c>
      <c r="N100" s="77">
        <f t="shared" ref="N100" si="168">SUM(M100*L100)</f>
        <v>0</v>
      </c>
      <c r="O100" s="78"/>
      <c r="P100" s="78"/>
      <c r="Q100" s="79"/>
      <c r="R100" s="80">
        <f t="shared" ref="R100" si="169">$R$1</f>
        <v>1.24</v>
      </c>
      <c r="S100" s="79">
        <f t="shared" ref="S100" si="170">SUM(R100*Q100)</f>
        <v>0</v>
      </c>
    </row>
    <row r="101" spans="1:19">
      <c r="A101" s="19"/>
      <c r="B101" s="20" t="s">
        <v>881</v>
      </c>
      <c r="C101" s="19" t="s">
        <v>26</v>
      </c>
      <c r="D101" s="22"/>
      <c r="E101" s="22"/>
      <c r="F101" s="22"/>
      <c r="G101" s="22"/>
      <c r="H101" s="22"/>
      <c r="I101" s="22"/>
      <c r="J101" s="22"/>
    </row>
    <row r="102" spans="1:19">
      <c r="A102" s="4"/>
      <c r="B102" s="5" t="s">
        <v>882</v>
      </c>
      <c r="C102" s="4" t="s">
        <v>260</v>
      </c>
      <c r="D102" s="6">
        <v>62.87</v>
      </c>
      <c r="E102" s="6">
        <f>SUM(N102)</f>
        <v>0</v>
      </c>
      <c r="F102" s="6">
        <f>D102*E102</f>
        <v>0</v>
      </c>
      <c r="G102" s="6">
        <f>SUM(S102)</f>
        <v>0</v>
      </c>
      <c r="H102" s="6">
        <f>D102*G102</f>
        <v>0</v>
      </c>
      <c r="I102" s="6">
        <f t="shared" ref="I102" si="171">E102+G102</f>
        <v>0</v>
      </c>
      <c r="J102" s="6">
        <f t="shared" ref="J102" si="172">F102+H102</f>
        <v>0</v>
      </c>
      <c r="L102" s="75"/>
      <c r="M102" s="76">
        <f t="shared" ref="M102" si="173">$M$1</f>
        <v>1.19</v>
      </c>
      <c r="N102" s="77">
        <f t="shared" ref="N102" si="174">SUM(M102*L102)</f>
        <v>0</v>
      </c>
      <c r="O102" s="78"/>
      <c r="P102" s="78"/>
      <c r="Q102" s="79"/>
      <c r="R102" s="80">
        <f t="shared" ref="R102" si="175">$R$1</f>
        <v>1.24</v>
      </c>
      <c r="S102" s="79">
        <f t="shared" ref="S102" si="176">SUM(R102*Q102)</f>
        <v>0</v>
      </c>
    </row>
    <row r="103" spans="1:19">
      <c r="A103" s="19"/>
      <c r="B103" s="20" t="s">
        <v>895</v>
      </c>
      <c r="C103" s="19" t="s">
        <v>26</v>
      </c>
      <c r="D103" s="21"/>
      <c r="E103" s="21"/>
      <c r="F103" s="21"/>
      <c r="G103" s="21"/>
      <c r="H103" s="21"/>
      <c r="I103" s="21"/>
      <c r="J103" s="21"/>
    </row>
    <row r="104" spans="1:19">
      <c r="A104" s="4"/>
      <c r="B104" s="5" t="s">
        <v>896</v>
      </c>
      <c r="C104" s="4" t="s">
        <v>36</v>
      </c>
      <c r="D104" s="6">
        <v>5</v>
      </c>
      <c r="E104" s="6">
        <f>SUM(N104)</f>
        <v>0</v>
      </c>
      <c r="F104" s="6">
        <f>D104*E104</f>
        <v>0</v>
      </c>
      <c r="G104" s="6">
        <f>SUM(S104)</f>
        <v>0</v>
      </c>
      <c r="H104" s="6">
        <f>D104*G104</f>
        <v>0</v>
      </c>
      <c r="I104" s="6">
        <f t="shared" ref="I104" si="177">E104+G104</f>
        <v>0</v>
      </c>
      <c r="J104" s="6">
        <f t="shared" ref="J104" si="178">F104+H104</f>
        <v>0</v>
      </c>
      <c r="L104" s="75"/>
      <c r="M104" s="76">
        <f t="shared" ref="M104" si="179">$M$1</f>
        <v>1.19</v>
      </c>
      <c r="N104" s="77">
        <f t="shared" ref="N104" si="180">SUM(M104*L104)</f>
        <v>0</v>
      </c>
      <c r="O104" s="78"/>
      <c r="P104" s="78"/>
      <c r="Q104" s="79"/>
      <c r="R104" s="80">
        <f t="shared" ref="R104" si="181">$R$1</f>
        <v>1.24</v>
      </c>
      <c r="S104" s="79">
        <f t="shared" ref="S104" si="182">SUM(R104*Q104)</f>
        <v>0</v>
      </c>
    </row>
    <row r="105" spans="1:19">
      <c r="A105" s="16"/>
      <c r="B105" s="17" t="s">
        <v>932</v>
      </c>
      <c r="C105" s="16" t="s">
        <v>26</v>
      </c>
      <c r="D105" s="18"/>
      <c r="E105" s="18"/>
      <c r="F105" s="18">
        <f>SUM(F83:F104)</f>
        <v>0</v>
      </c>
      <c r="G105" s="18"/>
      <c r="H105" s="18">
        <f>SUM(H83:H104)</f>
        <v>0</v>
      </c>
      <c r="I105" s="18"/>
      <c r="J105" s="18">
        <f>SUM(J83:J104)</f>
        <v>0</v>
      </c>
    </row>
    <row r="106" spans="1:19">
      <c r="A106" s="4"/>
      <c r="B106" s="5" t="s">
        <v>26</v>
      </c>
      <c r="C106" s="4" t="s">
        <v>26</v>
      </c>
      <c r="D106" s="6"/>
      <c r="E106" s="6"/>
      <c r="F106" s="6"/>
      <c r="G106" s="6"/>
      <c r="H106" s="6"/>
      <c r="I106" s="6"/>
      <c r="J106" s="6"/>
    </row>
    <row r="107" spans="1:19">
      <c r="A107" s="7"/>
      <c r="B107" s="8" t="s">
        <v>352</v>
      </c>
      <c r="C107" s="7" t="s">
        <v>26</v>
      </c>
      <c r="D107" s="9"/>
      <c r="E107" s="9"/>
      <c r="F107" s="9">
        <f>SUM(F76,F78:F79,F81,F83:F104,F106:F106)</f>
        <v>0</v>
      </c>
      <c r="G107" s="9"/>
      <c r="H107" s="9">
        <f>SUM(H76,H78:H79,H81,H83:H104,H106:H106)</f>
        <v>0</v>
      </c>
      <c r="I107" s="9"/>
      <c r="J107" s="9">
        <f>SUM(J76,J78:J79,J81,J83:J104,J106:J106)</f>
        <v>0</v>
      </c>
    </row>
    <row r="108" spans="1:19">
      <c r="A108" s="4"/>
      <c r="B108" s="5" t="s">
        <v>26</v>
      </c>
      <c r="C108" s="4" t="s">
        <v>26</v>
      </c>
      <c r="D108" s="6"/>
      <c r="E108" s="6"/>
      <c r="F108" s="6"/>
      <c r="G108" s="6"/>
      <c r="H108" s="6"/>
      <c r="I108" s="6"/>
      <c r="J108" s="6"/>
    </row>
    <row r="109" spans="1:19">
      <c r="A109" s="19"/>
      <c r="B109" s="20" t="s">
        <v>353</v>
      </c>
      <c r="C109" s="19"/>
      <c r="D109" s="22"/>
      <c r="E109" s="22"/>
      <c r="F109" s="22"/>
      <c r="G109" s="22"/>
      <c r="H109" s="22"/>
      <c r="I109" s="22"/>
      <c r="J109" s="39">
        <v>0</v>
      </c>
    </row>
    <row r="110" spans="1:19">
      <c r="A110" s="19"/>
      <c r="B110" s="20" t="s">
        <v>902</v>
      </c>
      <c r="C110" s="19"/>
      <c r="D110" s="22"/>
      <c r="E110" s="22"/>
      <c r="F110" s="22"/>
      <c r="G110" s="22"/>
      <c r="H110" s="22"/>
      <c r="I110" s="22"/>
      <c r="J110" s="39">
        <v>0</v>
      </c>
    </row>
    <row r="111" spans="1:19">
      <c r="A111" s="19"/>
      <c r="B111" s="20" t="s">
        <v>901</v>
      </c>
      <c r="C111" s="19"/>
      <c r="D111" s="22"/>
      <c r="E111" s="22"/>
      <c r="F111" s="22"/>
      <c r="G111" s="22"/>
      <c r="H111" s="22"/>
      <c r="I111" s="22"/>
      <c r="J111" s="39">
        <v>0</v>
      </c>
    </row>
    <row r="113" spans="1:10" ht="15.45">
      <c r="A113" s="40"/>
      <c r="B113" s="41"/>
      <c r="C113" s="40"/>
      <c r="D113" s="42"/>
      <c r="E113" s="42"/>
      <c r="F113" s="42"/>
      <c r="G113" s="42"/>
      <c r="H113" s="42"/>
      <c r="I113" s="42"/>
      <c r="J113" s="42"/>
    </row>
    <row r="114" spans="1:10" ht="15.45">
      <c r="A114" s="40"/>
      <c r="B114" s="41" t="s">
        <v>356</v>
      </c>
      <c r="C114" s="40"/>
      <c r="D114" s="42"/>
      <c r="E114" s="42"/>
      <c r="F114" s="42"/>
      <c r="G114" s="42"/>
      <c r="H114" s="42"/>
      <c r="I114" s="42"/>
      <c r="J114" s="42">
        <f>J10+J73+J107+J109+J110+J111</f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87"/>
  <sheetViews>
    <sheetView zoomScaleNormal="100" workbookViewId="0">
      <selection activeCell="I31" sqref="I31"/>
    </sheetView>
  </sheetViews>
  <sheetFormatPr defaultRowHeight="14.6" outlineLevelCol="1"/>
  <cols>
    <col min="1" max="1" width="4.69140625" customWidth="1"/>
    <col min="2" max="2" width="15.3046875" customWidth="1"/>
    <col min="3" max="3" width="43.84375" customWidth="1"/>
    <col min="4" max="4" width="7.3046875" customWidth="1"/>
    <col min="5" max="5" width="6.3046875" customWidth="1"/>
    <col min="6" max="7" width="15.3046875" style="127" customWidth="1"/>
    <col min="8" max="8" width="18.3046875" customWidth="1"/>
    <col min="9" max="9" width="12.3046875" bestFit="1" customWidth="1"/>
    <col min="10" max="10" width="12.3046875" customWidth="1" outlineLevel="1"/>
    <col min="11" max="11" width="14" bestFit="1" customWidth="1" outlineLevel="1"/>
    <col min="12" max="12" width="8.84375" customWidth="1" outlineLevel="1"/>
    <col min="13" max="13" width="13.84375" customWidth="1" outlineLevel="1"/>
    <col min="14" max="14" width="15.53515625" bestFit="1" customWidth="1"/>
    <col min="17" max="17" width="13.84375" bestFit="1" customWidth="1"/>
  </cols>
  <sheetData>
    <row r="1" spans="1:17" ht="15.45">
      <c r="A1" s="109"/>
      <c r="B1" s="28"/>
      <c r="C1" s="28"/>
      <c r="D1" s="28"/>
      <c r="E1" s="28"/>
      <c r="F1" s="126"/>
      <c r="G1" s="132"/>
      <c r="J1" s="89"/>
      <c r="K1" s="74">
        <v>1.19</v>
      </c>
      <c r="L1" s="89"/>
      <c r="M1" s="90"/>
      <c r="N1" s="89"/>
      <c r="O1" s="91">
        <f>SUM(K1)</f>
        <v>1.19</v>
      </c>
      <c r="P1" s="89"/>
    </row>
    <row r="2" spans="1:17" ht="15.45">
      <c r="C2" s="110" t="s">
        <v>361</v>
      </c>
      <c r="J2" s="92" t="s">
        <v>27</v>
      </c>
      <c r="K2" s="93" t="s">
        <v>28</v>
      </c>
      <c r="L2" s="92" t="s">
        <v>29</v>
      </c>
      <c r="M2" s="90"/>
      <c r="N2" s="94" t="s">
        <v>30</v>
      </c>
      <c r="O2" s="95" t="s">
        <v>28</v>
      </c>
      <c r="P2" s="94" t="s">
        <v>31</v>
      </c>
    </row>
    <row r="3" spans="1:17">
      <c r="A3" s="111" t="s">
        <v>362</v>
      </c>
      <c r="B3" s="111" t="s">
        <v>363</v>
      </c>
      <c r="C3" s="111" t="s">
        <v>364</v>
      </c>
      <c r="D3" s="111"/>
      <c r="E3" s="96" t="s">
        <v>18</v>
      </c>
      <c r="F3" s="128" t="s">
        <v>365</v>
      </c>
      <c r="G3" s="128" t="s">
        <v>366</v>
      </c>
      <c r="H3" s="270" t="s">
        <v>1100</v>
      </c>
      <c r="J3" s="93"/>
      <c r="K3" s="93"/>
      <c r="L3" s="93"/>
      <c r="N3" s="95"/>
      <c r="O3" s="95"/>
      <c r="P3" s="95"/>
    </row>
    <row r="4" spans="1:17">
      <c r="A4" s="112">
        <v>1</v>
      </c>
      <c r="B4" s="112" t="s">
        <v>367</v>
      </c>
      <c r="C4" s="112" t="s">
        <v>368</v>
      </c>
      <c r="D4" s="97">
        <v>5</v>
      </c>
      <c r="E4" s="97" t="s">
        <v>36</v>
      </c>
      <c r="F4" s="129">
        <f t="shared" ref="F4:F45" si="0">L4+P4</f>
        <v>66.521000000000001</v>
      </c>
      <c r="G4" s="129">
        <f t="shared" ref="G4:G45" si="1">D4*F4</f>
        <v>332.60500000000002</v>
      </c>
      <c r="J4" s="98">
        <v>10.9</v>
      </c>
      <c r="K4" s="93">
        <f t="shared" ref="K4:K45" si="2">$K$1</f>
        <v>1.19</v>
      </c>
      <c r="L4" s="93">
        <f t="shared" ref="L4:L45" si="3">K4*J4</f>
        <v>12.971</v>
      </c>
      <c r="M4" s="172">
        <f>SUM(J4*D4)</f>
        <v>54.5</v>
      </c>
      <c r="N4" s="99">
        <v>45</v>
      </c>
      <c r="O4" s="95">
        <f t="shared" ref="O4:O45" si="4">$O$1</f>
        <v>1.19</v>
      </c>
      <c r="P4" s="95">
        <f t="shared" ref="P4:P45" si="5">O4*N4</f>
        <v>53.55</v>
      </c>
      <c r="Q4" s="172">
        <f>SUM(N4*D4)</f>
        <v>225</v>
      </c>
    </row>
    <row r="5" spans="1:17">
      <c r="A5" s="112">
        <v>2</v>
      </c>
      <c r="B5" s="112" t="s">
        <v>369</v>
      </c>
      <c r="C5" s="112" t="s">
        <v>370</v>
      </c>
      <c r="D5" s="97">
        <v>5</v>
      </c>
      <c r="E5" s="97" t="s">
        <v>36</v>
      </c>
      <c r="F5" s="129">
        <f t="shared" si="0"/>
        <v>178.5</v>
      </c>
      <c r="G5" s="129">
        <f t="shared" si="1"/>
        <v>892.5</v>
      </c>
      <c r="J5" s="98"/>
      <c r="K5" s="93">
        <f t="shared" si="2"/>
        <v>1.19</v>
      </c>
      <c r="L5" s="93">
        <f t="shared" si="3"/>
        <v>0</v>
      </c>
      <c r="M5" s="172">
        <f t="shared" ref="M5:M68" si="6">SUM(J5*D5)</f>
        <v>0</v>
      </c>
      <c r="N5" s="99">
        <v>150</v>
      </c>
      <c r="O5" s="95">
        <f t="shared" si="4"/>
        <v>1.19</v>
      </c>
      <c r="P5" s="95">
        <f t="shared" si="5"/>
        <v>178.5</v>
      </c>
      <c r="Q5" s="172">
        <f t="shared" ref="Q5:Q68" si="7">SUM(N5*D5)</f>
        <v>750</v>
      </c>
    </row>
    <row r="6" spans="1:17">
      <c r="A6" s="112">
        <v>3</v>
      </c>
      <c r="B6" s="112" t="s">
        <v>371</v>
      </c>
      <c r="C6" s="112" t="s">
        <v>372</v>
      </c>
      <c r="D6" s="97">
        <v>245</v>
      </c>
      <c r="E6" s="97" t="s">
        <v>188</v>
      </c>
      <c r="F6" s="129">
        <f t="shared" si="0"/>
        <v>19.634999999999998</v>
      </c>
      <c r="G6" s="129">
        <f t="shared" si="1"/>
        <v>4810.5749999999998</v>
      </c>
      <c r="J6" s="98">
        <v>16.5</v>
      </c>
      <c r="K6" s="93">
        <f t="shared" si="2"/>
        <v>1.19</v>
      </c>
      <c r="L6" s="93">
        <f t="shared" si="3"/>
        <v>19.634999999999998</v>
      </c>
      <c r="M6" s="172">
        <f t="shared" si="6"/>
        <v>4042.5</v>
      </c>
      <c r="N6" s="100"/>
      <c r="O6" s="95">
        <f t="shared" si="4"/>
        <v>1.19</v>
      </c>
      <c r="P6" s="95">
        <f t="shared" si="5"/>
        <v>0</v>
      </c>
      <c r="Q6" s="172">
        <f t="shared" si="7"/>
        <v>0</v>
      </c>
    </row>
    <row r="7" spans="1:17">
      <c r="A7" s="112">
        <v>4</v>
      </c>
      <c r="B7" s="112" t="s">
        <v>373</v>
      </c>
      <c r="C7" s="112" t="s">
        <v>374</v>
      </c>
      <c r="D7" s="97">
        <v>245</v>
      </c>
      <c r="E7" s="97" t="s">
        <v>188</v>
      </c>
      <c r="F7" s="129">
        <f t="shared" si="0"/>
        <v>21.419999999999998</v>
      </c>
      <c r="G7" s="129">
        <f t="shared" si="1"/>
        <v>5247.9</v>
      </c>
      <c r="J7" s="101">
        <v>18</v>
      </c>
      <c r="K7" s="93">
        <f t="shared" si="2"/>
        <v>1.19</v>
      </c>
      <c r="L7" s="93">
        <f t="shared" si="3"/>
        <v>21.419999999999998</v>
      </c>
      <c r="M7" s="172">
        <f t="shared" si="6"/>
        <v>4410</v>
      </c>
      <c r="N7" s="95"/>
      <c r="O7" s="95">
        <f t="shared" si="4"/>
        <v>1.19</v>
      </c>
      <c r="P7" s="95">
        <f t="shared" si="5"/>
        <v>0</v>
      </c>
      <c r="Q7" s="172">
        <f t="shared" si="7"/>
        <v>0</v>
      </c>
    </row>
    <row r="8" spans="1:17">
      <c r="A8" s="112">
        <v>5</v>
      </c>
      <c r="B8" s="112" t="s">
        <v>375</v>
      </c>
      <c r="C8" s="112" t="s">
        <v>376</v>
      </c>
      <c r="D8" s="97">
        <v>124</v>
      </c>
      <c r="E8" s="97" t="s">
        <v>36</v>
      </c>
      <c r="F8" s="129">
        <f t="shared" si="0"/>
        <v>5.6524999999999999</v>
      </c>
      <c r="G8" s="129">
        <f t="shared" si="1"/>
        <v>700.91</v>
      </c>
      <c r="H8" t="s">
        <v>377</v>
      </c>
      <c r="J8" s="102">
        <v>4.75</v>
      </c>
      <c r="K8" s="93">
        <f t="shared" si="2"/>
        <v>1.19</v>
      </c>
      <c r="L8" s="93">
        <f t="shared" si="3"/>
        <v>5.6524999999999999</v>
      </c>
      <c r="M8" s="172">
        <f t="shared" si="6"/>
        <v>589</v>
      </c>
      <c r="N8" s="95"/>
      <c r="O8" s="95">
        <f t="shared" si="4"/>
        <v>1.19</v>
      </c>
      <c r="P8" s="95">
        <f t="shared" si="5"/>
        <v>0</v>
      </c>
      <c r="Q8" s="172">
        <f t="shared" si="7"/>
        <v>0</v>
      </c>
    </row>
    <row r="9" spans="1:17">
      <c r="A9" s="112">
        <v>6</v>
      </c>
      <c r="B9" s="112" t="s">
        <v>378</v>
      </c>
      <c r="C9" s="112" t="s">
        <v>379</v>
      </c>
      <c r="D9" s="97">
        <v>62</v>
      </c>
      <c r="E9" s="97" t="s">
        <v>36</v>
      </c>
      <c r="F9" s="129">
        <f t="shared" si="0"/>
        <v>28.500499999999999</v>
      </c>
      <c r="G9" s="129">
        <f t="shared" si="1"/>
        <v>1767.0309999999999</v>
      </c>
      <c r="J9" s="102">
        <v>23.95</v>
      </c>
      <c r="K9" s="93">
        <f t="shared" si="2"/>
        <v>1.19</v>
      </c>
      <c r="L9" s="93">
        <f t="shared" si="3"/>
        <v>28.500499999999999</v>
      </c>
      <c r="M9" s="172">
        <f t="shared" si="6"/>
        <v>1484.8999999999999</v>
      </c>
      <c r="N9" s="95"/>
      <c r="O9" s="95">
        <f t="shared" si="4"/>
        <v>1.19</v>
      </c>
      <c r="P9" s="95">
        <f t="shared" si="5"/>
        <v>0</v>
      </c>
      <c r="Q9" s="172">
        <f t="shared" si="7"/>
        <v>0</v>
      </c>
    </row>
    <row r="10" spans="1:17">
      <c r="A10" s="112">
        <v>7</v>
      </c>
      <c r="B10" s="112" t="s">
        <v>380</v>
      </c>
      <c r="C10" s="112" t="s">
        <v>381</v>
      </c>
      <c r="D10" s="97">
        <v>8</v>
      </c>
      <c r="E10" s="97" t="s">
        <v>36</v>
      </c>
      <c r="F10" s="129">
        <f t="shared" si="0"/>
        <v>101.983</v>
      </c>
      <c r="G10" s="129">
        <f t="shared" si="1"/>
        <v>815.86400000000003</v>
      </c>
      <c r="J10" s="102">
        <v>85.7</v>
      </c>
      <c r="K10" s="93">
        <f t="shared" si="2"/>
        <v>1.19</v>
      </c>
      <c r="L10" s="93">
        <f t="shared" si="3"/>
        <v>101.983</v>
      </c>
      <c r="M10" s="172">
        <f t="shared" si="6"/>
        <v>685.6</v>
      </c>
      <c r="N10" s="95"/>
      <c r="O10" s="95">
        <f t="shared" si="4"/>
        <v>1.19</v>
      </c>
      <c r="P10" s="95">
        <f t="shared" si="5"/>
        <v>0</v>
      </c>
      <c r="Q10" s="172">
        <f t="shared" si="7"/>
        <v>0</v>
      </c>
    </row>
    <row r="11" spans="1:17">
      <c r="A11" s="112">
        <v>8</v>
      </c>
      <c r="B11" s="112" t="s">
        <v>382</v>
      </c>
      <c r="C11" s="112" t="s">
        <v>383</v>
      </c>
      <c r="D11" s="97">
        <v>8</v>
      </c>
      <c r="E11" s="97" t="s">
        <v>36</v>
      </c>
      <c r="F11" s="129">
        <f t="shared" si="0"/>
        <v>314.39799999999997</v>
      </c>
      <c r="G11" s="129">
        <f t="shared" si="1"/>
        <v>2515.1839999999997</v>
      </c>
      <c r="J11" s="103">
        <v>264.2</v>
      </c>
      <c r="K11" s="93">
        <f t="shared" si="2"/>
        <v>1.19</v>
      </c>
      <c r="L11" s="93">
        <f t="shared" si="3"/>
        <v>314.39799999999997</v>
      </c>
      <c r="M11" s="172">
        <f t="shared" si="6"/>
        <v>2113.6</v>
      </c>
      <c r="N11" s="95"/>
      <c r="O11" s="95">
        <f t="shared" si="4"/>
        <v>1.19</v>
      </c>
      <c r="P11" s="95">
        <f t="shared" si="5"/>
        <v>0</v>
      </c>
      <c r="Q11" s="172">
        <f t="shared" si="7"/>
        <v>0</v>
      </c>
    </row>
    <row r="12" spans="1:17">
      <c r="A12" s="112">
        <v>9</v>
      </c>
      <c r="B12" s="112" t="s">
        <v>384</v>
      </c>
      <c r="C12" s="112" t="s">
        <v>385</v>
      </c>
      <c r="D12" s="97">
        <v>44</v>
      </c>
      <c r="E12" s="97" t="s">
        <v>36</v>
      </c>
      <c r="F12" s="129">
        <f t="shared" si="0"/>
        <v>104.26779999999999</v>
      </c>
      <c r="G12" s="129">
        <f t="shared" si="1"/>
        <v>4587.7831999999999</v>
      </c>
      <c r="J12" s="104">
        <v>42.62</v>
      </c>
      <c r="K12" s="93">
        <f t="shared" si="2"/>
        <v>1.19</v>
      </c>
      <c r="L12" s="93">
        <f t="shared" si="3"/>
        <v>50.717799999999997</v>
      </c>
      <c r="M12" s="172">
        <f t="shared" si="6"/>
        <v>1875.28</v>
      </c>
      <c r="N12" s="100">
        <v>45</v>
      </c>
      <c r="O12" s="95">
        <f t="shared" si="4"/>
        <v>1.19</v>
      </c>
      <c r="P12" s="95">
        <f t="shared" si="5"/>
        <v>53.55</v>
      </c>
      <c r="Q12" s="172">
        <f t="shared" si="7"/>
        <v>1980</v>
      </c>
    </row>
    <row r="13" spans="1:17">
      <c r="A13" s="112">
        <v>10</v>
      </c>
      <c r="B13" s="112" t="s">
        <v>386</v>
      </c>
      <c r="C13" s="112" t="s">
        <v>387</v>
      </c>
      <c r="D13" s="97">
        <v>202</v>
      </c>
      <c r="E13" s="97" t="s">
        <v>36</v>
      </c>
      <c r="F13" s="129">
        <f t="shared" si="0"/>
        <v>10.709999999999999</v>
      </c>
      <c r="G13" s="129">
        <f t="shared" si="1"/>
        <v>2163.4199999999996</v>
      </c>
      <c r="J13" s="104"/>
      <c r="K13" s="93">
        <f t="shared" si="2"/>
        <v>1.19</v>
      </c>
      <c r="L13" s="93">
        <f t="shared" si="3"/>
        <v>0</v>
      </c>
      <c r="M13" s="172">
        <f t="shared" si="6"/>
        <v>0</v>
      </c>
      <c r="N13" s="100">
        <v>9</v>
      </c>
      <c r="O13" s="95">
        <f t="shared" si="4"/>
        <v>1.19</v>
      </c>
      <c r="P13" s="95">
        <f t="shared" si="5"/>
        <v>10.709999999999999</v>
      </c>
      <c r="Q13" s="172">
        <f t="shared" si="7"/>
        <v>1818</v>
      </c>
    </row>
    <row r="14" spans="1:17">
      <c r="A14" s="112">
        <v>11</v>
      </c>
      <c r="B14" s="112" t="s">
        <v>388</v>
      </c>
      <c r="C14" s="112" t="s">
        <v>389</v>
      </c>
      <c r="D14" s="97">
        <v>186</v>
      </c>
      <c r="E14" s="97" t="s">
        <v>36</v>
      </c>
      <c r="F14" s="129">
        <f t="shared" si="0"/>
        <v>4.76</v>
      </c>
      <c r="G14" s="129">
        <f t="shared" si="1"/>
        <v>885.36</v>
      </c>
      <c r="J14" s="104"/>
      <c r="K14" s="93">
        <f t="shared" si="2"/>
        <v>1.19</v>
      </c>
      <c r="L14" s="93">
        <f t="shared" si="3"/>
        <v>0</v>
      </c>
      <c r="M14" s="172">
        <f t="shared" si="6"/>
        <v>0</v>
      </c>
      <c r="N14" s="100">
        <v>4</v>
      </c>
      <c r="O14" s="95">
        <f t="shared" si="4"/>
        <v>1.19</v>
      </c>
      <c r="P14" s="95">
        <f t="shared" si="5"/>
        <v>4.76</v>
      </c>
      <c r="Q14" s="172">
        <f t="shared" si="7"/>
        <v>744</v>
      </c>
    </row>
    <row r="15" spans="1:17">
      <c r="A15" s="112">
        <v>12</v>
      </c>
      <c r="B15" s="112" t="s">
        <v>390</v>
      </c>
      <c r="C15" s="112" t="s">
        <v>391</v>
      </c>
      <c r="D15" s="97">
        <v>8</v>
      </c>
      <c r="E15" s="97" t="s">
        <v>36</v>
      </c>
      <c r="F15" s="129">
        <f t="shared" si="0"/>
        <v>4.76</v>
      </c>
      <c r="G15" s="129">
        <f t="shared" si="1"/>
        <v>38.08</v>
      </c>
      <c r="J15" s="104"/>
      <c r="K15" s="93">
        <f t="shared" si="2"/>
        <v>1.19</v>
      </c>
      <c r="L15" s="93">
        <f t="shared" si="3"/>
        <v>0</v>
      </c>
      <c r="M15" s="172">
        <f t="shared" si="6"/>
        <v>0</v>
      </c>
      <c r="N15" s="100">
        <v>4</v>
      </c>
      <c r="O15" s="95">
        <f t="shared" si="4"/>
        <v>1.19</v>
      </c>
      <c r="P15" s="95">
        <f t="shared" si="5"/>
        <v>4.76</v>
      </c>
      <c r="Q15" s="172">
        <f t="shared" si="7"/>
        <v>32</v>
      </c>
    </row>
    <row r="16" spans="1:17">
      <c r="A16" s="112">
        <v>13</v>
      </c>
      <c r="B16" s="112" t="s">
        <v>392</v>
      </c>
      <c r="C16" s="112" t="s">
        <v>393</v>
      </c>
      <c r="D16" s="97">
        <v>186</v>
      </c>
      <c r="E16" s="97" t="s">
        <v>188</v>
      </c>
      <c r="F16" s="129">
        <f t="shared" si="0"/>
        <v>29.416799999999999</v>
      </c>
      <c r="G16" s="129">
        <f t="shared" si="1"/>
        <v>5471.5248000000001</v>
      </c>
      <c r="J16" s="104">
        <v>5.72</v>
      </c>
      <c r="K16" s="93">
        <f t="shared" si="2"/>
        <v>1.19</v>
      </c>
      <c r="L16" s="93">
        <f t="shared" si="3"/>
        <v>6.8067999999999991</v>
      </c>
      <c r="M16" s="172">
        <f t="shared" si="6"/>
        <v>1063.9199999999998</v>
      </c>
      <c r="N16" s="95">
        <v>19</v>
      </c>
      <c r="O16" s="95">
        <f t="shared" si="4"/>
        <v>1.19</v>
      </c>
      <c r="P16" s="95">
        <f t="shared" si="5"/>
        <v>22.61</v>
      </c>
      <c r="Q16" s="172">
        <f t="shared" si="7"/>
        <v>3534</v>
      </c>
    </row>
    <row r="17" spans="1:17">
      <c r="A17" s="112">
        <v>15</v>
      </c>
      <c r="B17" s="112" t="s">
        <v>394</v>
      </c>
      <c r="C17" s="112" t="s">
        <v>395</v>
      </c>
      <c r="D17" s="97">
        <v>82</v>
      </c>
      <c r="E17" s="97" t="s">
        <v>188</v>
      </c>
      <c r="F17" s="129">
        <f t="shared" si="0"/>
        <v>41.709499999999998</v>
      </c>
      <c r="G17" s="129">
        <f t="shared" si="1"/>
        <v>3420.1790000000001</v>
      </c>
      <c r="J17" s="104">
        <v>16.05</v>
      </c>
      <c r="K17" s="93">
        <f t="shared" si="2"/>
        <v>1.19</v>
      </c>
      <c r="L17" s="93">
        <f t="shared" si="3"/>
        <v>19.099499999999999</v>
      </c>
      <c r="M17" s="172">
        <f t="shared" si="6"/>
        <v>1316.1000000000001</v>
      </c>
      <c r="N17" s="95">
        <v>19</v>
      </c>
      <c r="O17" s="95">
        <f t="shared" si="4"/>
        <v>1.19</v>
      </c>
      <c r="P17" s="95">
        <f t="shared" si="5"/>
        <v>22.61</v>
      </c>
      <c r="Q17" s="172">
        <f t="shared" si="7"/>
        <v>1558</v>
      </c>
    </row>
    <row r="18" spans="1:17">
      <c r="A18" s="112">
        <v>16</v>
      </c>
      <c r="B18" s="112" t="s">
        <v>396</v>
      </c>
      <c r="C18" s="112" t="s">
        <v>397</v>
      </c>
      <c r="D18" s="97">
        <v>122</v>
      </c>
      <c r="E18" s="97" t="s">
        <v>188</v>
      </c>
      <c r="F18" s="129">
        <f t="shared" si="0"/>
        <v>40.578999999999994</v>
      </c>
      <c r="G18" s="129">
        <f t="shared" si="1"/>
        <v>4950.637999999999</v>
      </c>
      <c r="J18" s="104">
        <v>15.1</v>
      </c>
      <c r="K18" s="93">
        <f t="shared" si="2"/>
        <v>1.19</v>
      </c>
      <c r="L18" s="93">
        <f t="shared" si="3"/>
        <v>17.968999999999998</v>
      </c>
      <c r="M18" s="172">
        <f t="shared" si="6"/>
        <v>1842.2</v>
      </c>
      <c r="N18" s="95">
        <v>19</v>
      </c>
      <c r="O18" s="95">
        <f t="shared" si="4"/>
        <v>1.19</v>
      </c>
      <c r="P18" s="95">
        <f t="shared" si="5"/>
        <v>22.61</v>
      </c>
      <c r="Q18" s="172">
        <f t="shared" si="7"/>
        <v>2318</v>
      </c>
    </row>
    <row r="19" spans="1:17">
      <c r="A19" s="112">
        <v>18</v>
      </c>
      <c r="B19" s="112" t="s">
        <v>398</v>
      </c>
      <c r="C19" s="112" t="s">
        <v>399</v>
      </c>
      <c r="D19" s="97">
        <v>66</v>
      </c>
      <c r="E19" s="97" t="s">
        <v>188</v>
      </c>
      <c r="F19" s="129">
        <f t="shared" si="0"/>
        <v>55.93</v>
      </c>
      <c r="G19" s="129">
        <f t="shared" si="1"/>
        <v>3691.38</v>
      </c>
      <c r="J19" s="104">
        <v>28</v>
      </c>
      <c r="K19" s="93">
        <f t="shared" si="2"/>
        <v>1.19</v>
      </c>
      <c r="L19" s="93">
        <f t="shared" si="3"/>
        <v>33.32</v>
      </c>
      <c r="M19" s="172">
        <f t="shared" si="6"/>
        <v>1848</v>
      </c>
      <c r="N19" s="95">
        <v>19</v>
      </c>
      <c r="O19" s="95">
        <f t="shared" si="4"/>
        <v>1.19</v>
      </c>
      <c r="P19" s="95">
        <f t="shared" si="5"/>
        <v>22.61</v>
      </c>
      <c r="Q19" s="172">
        <f t="shared" si="7"/>
        <v>1254</v>
      </c>
    </row>
    <row r="20" spans="1:17">
      <c r="A20" s="112">
        <v>19</v>
      </c>
      <c r="B20" s="112" t="s">
        <v>400</v>
      </c>
      <c r="C20" s="112" t="s">
        <v>401</v>
      </c>
      <c r="D20" s="97">
        <v>268</v>
      </c>
      <c r="E20" s="97" t="s">
        <v>188</v>
      </c>
      <c r="F20" s="129">
        <f t="shared" si="0"/>
        <v>4.165</v>
      </c>
      <c r="G20" s="129">
        <f t="shared" si="1"/>
        <v>1116.22</v>
      </c>
      <c r="J20" s="104">
        <v>3.5</v>
      </c>
      <c r="K20" s="93">
        <f t="shared" si="2"/>
        <v>1.19</v>
      </c>
      <c r="L20" s="93">
        <f t="shared" si="3"/>
        <v>4.165</v>
      </c>
      <c r="M20" s="172">
        <f t="shared" si="6"/>
        <v>938</v>
      </c>
      <c r="N20" s="95"/>
      <c r="O20" s="95">
        <f t="shared" si="4"/>
        <v>1.19</v>
      </c>
      <c r="P20" s="95">
        <f t="shared" si="5"/>
        <v>0</v>
      </c>
      <c r="Q20" s="172">
        <f t="shared" si="7"/>
        <v>0</v>
      </c>
    </row>
    <row r="21" spans="1:17">
      <c r="A21" s="112">
        <v>20</v>
      </c>
      <c r="B21" s="112" t="s">
        <v>402</v>
      </c>
      <c r="C21" s="112" t="s">
        <v>403</v>
      </c>
      <c r="D21" s="97">
        <v>268</v>
      </c>
      <c r="E21" s="97" t="s">
        <v>188</v>
      </c>
      <c r="F21" s="129">
        <f t="shared" si="0"/>
        <v>4.9980000000000002</v>
      </c>
      <c r="G21" s="129">
        <f t="shared" si="1"/>
        <v>1339.4640000000002</v>
      </c>
      <c r="J21" s="104"/>
      <c r="K21" s="93">
        <f t="shared" si="2"/>
        <v>1.19</v>
      </c>
      <c r="L21" s="93">
        <f t="shared" si="3"/>
        <v>0</v>
      </c>
      <c r="M21" s="172">
        <f t="shared" si="6"/>
        <v>0</v>
      </c>
      <c r="N21" s="95">
        <v>4.2</v>
      </c>
      <c r="O21" s="95">
        <f t="shared" si="4"/>
        <v>1.19</v>
      </c>
      <c r="P21" s="95">
        <f t="shared" si="5"/>
        <v>4.9980000000000002</v>
      </c>
      <c r="Q21" s="172">
        <f t="shared" si="7"/>
        <v>1125.6000000000001</v>
      </c>
    </row>
    <row r="22" spans="1:17">
      <c r="A22" s="112">
        <v>21</v>
      </c>
      <c r="B22" s="112" t="s">
        <v>404</v>
      </c>
      <c r="C22" s="112" t="s">
        <v>405</v>
      </c>
      <c r="D22" s="97">
        <v>268</v>
      </c>
      <c r="E22" s="97" t="s">
        <v>188</v>
      </c>
      <c r="F22" s="129">
        <f t="shared" si="0"/>
        <v>4.76</v>
      </c>
      <c r="G22" s="129">
        <f t="shared" si="1"/>
        <v>1275.6799999999998</v>
      </c>
      <c r="J22" s="104"/>
      <c r="K22" s="93">
        <f t="shared" si="2"/>
        <v>1.19</v>
      </c>
      <c r="L22" s="93">
        <f t="shared" si="3"/>
        <v>0</v>
      </c>
      <c r="M22" s="172">
        <f t="shared" si="6"/>
        <v>0</v>
      </c>
      <c r="N22" s="95">
        <v>4</v>
      </c>
      <c r="O22" s="95">
        <f t="shared" si="4"/>
        <v>1.19</v>
      </c>
      <c r="P22" s="95">
        <f t="shared" si="5"/>
        <v>4.76</v>
      </c>
      <c r="Q22" s="172">
        <f t="shared" si="7"/>
        <v>1072</v>
      </c>
    </row>
    <row r="23" spans="1:17">
      <c r="A23" s="112">
        <v>22</v>
      </c>
      <c r="B23" s="113">
        <v>220260722</v>
      </c>
      <c r="C23" s="112" t="s">
        <v>406</v>
      </c>
      <c r="D23" s="97">
        <v>42</v>
      </c>
      <c r="E23" s="97" t="s">
        <v>188</v>
      </c>
      <c r="F23" s="129">
        <f t="shared" si="0"/>
        <v>380.79999999999995</v>
      </c>
      <c r="G23" s="133">
        <f t="shared" si="1"/>
        <v>15993.599999999999</v>
      </c>
      <c r="J23" s="104">
        <v>180</v>
      </c>
      <c r="K23" s="93">
        <f t="shared" si="2"/>
        <v>1.19</v>
      </c>
      <c r="L23" s="93">
        <f t="shared" si="3"/>
        <v>214.2</v>
      </c>
      <c r="M23" s="172">
        <f t="shared" si="6"/>
        <v>7560</v>
      </c>
      <c r="N23" s="95">
        <v>140</v>
      </c>
      <c r="O23" s="95">
        <f t="shared" si="4"/>
        <v>1.19</v>
      </c>
      <c r="P23" s="95">
        <f t="shared" si="5"/>
        <v>166.6</v>
      </c>
      <c r="Q23" s="172">
        <f t="shared" si="7"/>
        <v>5880</v>
      </c>
    </row>
    <row r="24" spans="1:17">
      <c r="A24" s="112">
        <v>23</v>
      </c>
      <c r="B24" s="112" t="s">
        <v>407</v>
      </c>
      <c r="C24" s="112" t="s">
        <v>408</v>
      </c>
      <c r="D24" s="97">
        <v>0</v>
      </c>
      <c r="E24" s="97" t="s">
        <v>188</v>
      </c>
      <c r="F24" s="129">
        <f t="shared" si="0"/>
        <v>452.2</v>
      </c>
      <c r="G24" s="129">
        <f t="shared" si="1"/>
        <v>0</v>
      </c>
      <c r="J24" s="104">
        <v>220</v>
      </c>
      <c r="K24" s="93">
        <f t="shared" si="2"/>
        <v>1.19</v>
      </c>
      <c r="L24" s="93">
        <f t="shared" si="3"/>
        <v>261.8</v>
      </c>
      <c r="M24" s="172">
        <f t="shared" si="6"/>
        <v>0</v>
      </c>
      <c r="N24" s="95">
        <v>160</v>
      </c>
      <c r="O24" s="95">
        <f t="shared" si="4"/>
        <v>1.19</v>
      </c>
      <c r="P24" s="95">
        <f t="shared" si="5"/>
        <v>190.39999999999998</v>
      </c>
      <c r="Q24" s="172">
        <f t="shared" si="7"/>
        <v>0</v>
      </c>
    </row>
    <row r="25" spans="1:17">
      <c r="A25" s="112">
        <v>24</v>
      </c>
      <c r="B25" s="112" t="s">
        <v>409</v>
      </c>
      <c r="C25" s="112" t="s">
        <v>410</v>
      </c>
      <c r="D25" s="97">
        <v>108</v>
      </c>
      <c r="E25" s="97" t="s">
        <v>188</v>
      </c>
      <c r="F25" s="129">
        <f t="shared" si="0"/>
        <v>617.6099999999999</v>
      </c>
      <c r="G25" s="129">
        <f t="shared" si="1"/>
        <v>66701.87999999999</v>
      </c>
      <c r="J25" s="104">
        <v>319</v>
      </c>
      <c r="K25" s="93">
        <f t="shared" si="2"/>
        <v>1.19</v>
      </c>
      <c r="L25" s="93">
        <f t="shared" si="3"/>
        <v>379.60999999999996</v>
      </c>
      <c r="M25" s="172">
        <f t="shared" si="6"/>
        <v>34452</v>
      </c>
      <c r="N25" s="95">
        <v>200</v>
      </c>
      <c r="O25" s="95">
        <f t="shared" si="4"/>
        <v>1.19</v>
      </c>
      <c r="P25" s="95">
        <f t="shared" si="5"/>
        <v>238</v>
      </c>
      <c r="Q25" s="172">
        <f t="shared" si="7"/>
        <v>21600</v>
      </c>
    </row>
    <row r="26" spans="1:17">
      <c r="A26" s="112">
        <v>25</v>
      </c>
      <c r="B26" s="112" t="s">
        <v>411</v>
      </c>
      <c r="C26" s="112" t="s">
        <v>412</v>
      </c>
      <c r="D26" s="97">
        <v>4</v>
      </c>
      <c r="E26" s="97" t="s">
        <v>188</v>
      </c>
      <c r="F26" s="129">
        <f t="shared" si="0"/>
        <v>916.3</v>
      </c>
      <c r="G26" s="129">
        <f t="shared" si="1"/>
        <v>3665.2</v>
      </c>
      <c r="J26" s="104">
        <v>630</v>
      </c>
      <c r="K26" s="93">
        <f t="shared" si="2"/>
        <v>1.19</v>
      </c>
      <c r="L26" s="93">
        <f t="shared" si="3"/>
        <v>749.69999999999993</v>
      </c>
      <c r="M26" s="172">
        <f t="shared" si="6"/>
        <v>2520</v>
      </c>
      <c r="N26" s="95">
        <v>140</v>
      </c>
      <c r="O26" s="95">
        <f t="shared" si="4"/>
        <v>1.19</v>
      </c>
      <c r="P26" s="95">
        <f t="shared" si="5"/>
        <v>166.6</v>
      </c>
      <c r="Q26" s="172">
        <f t="shared" si="7"/>
        <v>560</v>
      </c>
    </row>
    <row r="27" spans="1:17">
      <c r="A27" s="112">
        <v>26</v>
      </c>
      <c r="B27" s="112" t="s">
        <v>413</v>
      </c>
      <c r="C27" s="180" t="s">
        <v>414</v>
      </c>
      <c r="D27" s="177">
        <v>96</v>
      </c>
      <c r="E27" s="177" t="s">
        <v>36</v>
      </c>
      <c r="F27" s="178">
        <f t="shared" si="0"/>
        <v>53.55</v>
      </c>
      <c r="G27" s="178">
        <f t="shared" si="1"/>
        <v>5140.7999999999993</v>
      </c>
      <c r="I27" s="179">
        <f>G27*0.5</f>
        <v>2570.3999999999996</v>
      </c>
      <c r="J27" s="104">
        <v>45</v>
      </c>
      <c r="K27" s="93">
        <f t="shared" si="2"/>
        <v>1.19</v>
      </c>
      <c r="L27" s="93">
        <f t="shared" si="3"/>
        <v>53.55</v>
      </c>
      <c r="M27" s="172">
        <f t="shared" si="6"/>
        <v>4320</v>
      </c>
      <c r="N27" s="95"/>
      <c r="O27" s="95">
        <f t="shared" si="4"/>
        <v>1.19</v>
      </c>
      <c r="P27" s="95">
        <f t="shared" si="5"/>
        <v>0</v>
      </c>
      <c r="Q27" s="172">
        <f t="shared" si="7"/>
        <v>0</v>
      </c>
    </row>
    <row r="28" spans="1:17">
      <c r="A28" s="112">
        <v>27</v>
      </c>
      <c r="B28" s="112" t="s">
        <v>415</v>
      </c>
      <c r="C28" s="180" t="s">
        <v>416</v>
      </c>
      <c r="D28" s="177">
        <v>216</v>
      </c>
      <c r="E28" s="177" t="s">
        <v>36</v>
      </c>
      <c r="F28" s="178">
        <f t="shared" si="0"/>
        <v>77.349999999999994</v>
      </c>
      <c r="G28" s="178">
        <f t="shared" si="1"/>
        <v>16707.599999999999</v>
      </c>
      <c r="I28" s="179">
        <f t="shared" ref="I28:I33" si="8">G28*0.5</f>
        <v>8353.7999999999993</v>
      </c>
      <c r="J28" s="104">
        <v>65</v>
      </c>
      <c r="K28" s="93">
        <f t="shared" si="2"/>
        <v>1.19</v>
      </c>
      <c r="L28" s="93">
        <f t="shared" si="3"/>
        <v>77.349999999999994</v>
      </c>
      <c r="M28" s="172">
        <f t="shared" si="6"/>
        <v>14040</v>
      </c>
      <c r="N28" s="95"/>
      <c r="O28" s="95">
        <f t="shared" si="4"/>
        <v>1.19</v>
      </c>
      <c r="P28" s="95">
        <f t="shared" si="5"/>
        <v>0</v>
      </c>
      <c r="Q28" s="172">
        <f t="shared" si="7"/>
        <v>0</v>
      </c>
    </row>
    <row r="29" spans="1:17">
      <c r="A29" s="112">
        <v>28</v>
      </c>
      <c r="B29" s="112" t="s">
        <v>417</v>
      </c>
      <c r="C29" s="180" t="s">
        <v>418</v>
      </c>
      <c r="D29" s="177">
        <v>308</v>
      </c>
      <c r="E29" s="177" t="s">
        <v>36</v>
      </c>
      <c r="F29" s="178">
        <f t="shared" si="0"/>
        <v>77.349999999999994</v>
      </c>
      <c r="G29" s="178">
        <f t="shared" si="1"/>
        <v>23823.8</v>
      </c>
      <c r="I29" s="179">
        <f t="shared" si="8"/>
        <v>11911.9</v>
      </c>
      <c r="J29" s="104"/>
      <c r="K29" s="93">
        <f t="shared" si="2"/>
        <v>1.19</v>
      </c>
      <c r="L29" s="93">
        <f t="shared" si="3"/>
        <v>0</v>
      </c>
      <c r="M29" s="172">
        <f t="shared" si="6"/>
        <v>0</v>
      </c>
      <c r="N29" s="95">
        <v>65</v>
      </c>
      <c r="O29" s="95">
        <f t="shared" si="4"/>
        <v>1.19</v>
      </c>
      <c r="P29" s="95">
        <f t="shared" si="5"/>
        <v>77.349999999999994</v>
      </c>
      <c r="Q29" s="172">
        <f t="shared" si="7"/>
        <v>20020</v>
      </c>
    </row>
    <row r="30" spans="1:17">
      <c r="A30" s="112">
        <v>29</v>
      </c>
      <c r="B30" s="112" t="s">
        <v>419</v>
      </c>
      <c r="C30" s="180" t="s">
        <v>420</v>
      </c>
      <c r="D30" s="177">
        <v>78</v>
      </c>
      <c r="E30" s="177" t="s">
        <v>36</v>
      </c>
      <c r="F30" s="178">
        <f t="shared" si="0"/>
        <v>7.14</v>
      </c>
      <c r="G30" s="178">
        <f t="shared" si="1"/>
        <v>556.91999999999996</v>
      </c>
      <c r="I30" s="179">
        <f t="shared" si="8"/>
        <v>278.45999999999998</v>
      </c>
      <c r="J30" s="104"/>
      <c r="K30" s="93">
        <f t="shared" si="2"/>
        <v>1.19</v>
      </c>
      <c r="L30" s="93">
        <f t="shared" si="3"/>
        <v>0</v>
      </c>
      <c r="M30" s="172">
        <f t="shared" si="6"/>
        <v>0</v>
      </c>
      <c r="N30" s="100">
        <v>6</v>
      </c>
      <c r="O30" s="95">
        <f t="shared" si="4"/>
        <v>1.19</v>
      </c>
      <c r="P30" s="95">
        <f t="shared" si="5"/>
        <v>7.14</v>
      </c>
      <c r="Q30" s="172">
        <f t="shared" si="7"/>
        <v>468</v>
      </c>
    </row>
    <row r="31" spans="1:17">
      <c r="A31" s="112">
        <v>30</v>
      </c>
      <c r="B31" s="112" t="s">
        <v>421</v>
      </c>
      <c r="C31" s="180" t="s">
        <v>422</v>
      </c>
      <c r="D31" s="177">
        <v>1020</v>
      </c>
      <c r="E31" s="177" t="s">
        <v>36</v>
      </c>
      <c r="F31" s="178">
        <f t="shared" si="0"/>
        <v>7.14</v>
      </c>
      <c r="G31" s="178">
        <f t="shared" si="1"/>
        <v>7282.7999999999993</v>
      </c>
      <c r="I31" s="179">
        <f t="shared" si="8"/>
        <v>3641.3999999999996</v>
      </c>
      <c r="J31" s="104"/>
      <c r="K31" s="93">
        <f t="shared" si="2"/>
        <v>1.19</v>
      </c>
      <c r="L31" s="93">
        <f t="shared" si="3"/>
        <v>0</v>
      </c>
      <c r="M31" s="172">
        <f t="shared" si="6"/>
        <v>0</v>
      </c>
      <c r="N31" s="100">
        <v>6</v>
      </c>
      <c r="O31" s="95">
        <f t="shared" si="4"/>
        <v>1.19</v>
      </c>
      <c r="P31" s="95">
        <f t="shared" si="5"/>
        <v>7.14</v>
      </c>
      <c r="Q31" s="172">
        <f t="shared" si="7"/>
        <v>6120</v>
      </c>
    </row>
    <row r="32" spans="1:17">
      <c r="A32" s="112">
        <v>31</v>
      </c>
      <c r="B32" s="112" t="s">
        <v>423</v>
      </c>
      <c r="C32" s="180" t="s">
        <v>424</v>
      </c>
      <c r="D32" s="177">
        <v>84</v>
      </c>
      <c r="E32" s="177" t="s">
        <v>36</v>
      </c>
      <c r="F32" s="178">
        <f t="shared" si="0"/>
        <v>8.33</v>
      </c>
      <c r="G32" s="178">
        <f t="shared" si="1"/>
        <v>699.72</v>
      </c>
      <c r="I32" s="179">
        <f t="shared" si="8"/>
        <v>349.86</v>
      </c>
      <c r="J32" s="104"/>
      <c r="K32" s="93">
        <f t="shared" si="2"/>
        <v>1.19</v>
      </c>
      <c r="L32" s="93">
        <f t="shared" si="3"/>
        <v>0</v>
      </c>
      <c r="M32" s="172">
        <f t="shared" si="6"/>
        <v>0</v>
      </c>
      <c r="N32" s="100">
        <v>7</v>
      </c>
      <c r="O32" s="95">
        <f t="shared" si="4"/>
        <v>1.19</v>
      </c>
      <c r="P32" s="95">
        <f t="shared" si="5"/>
        <v>8.33</v>
      </c>
      <c r="Q32" s="172">
        <f t="shared" si="7"/>
        <v>588</v>
      </c>
    </row>
    <row r="33" spans="1:17">
      <c r="A33" s="112">
        <v>32</v>
      </c>
      <c r="B33" s="112" t="s">
        <v>425</v>
      </c>
      <c r="C33" s="180" t="s">
        <v>426</v>
      </c>
      <c r="D33" s="177">
        <v>224</v>
      </c>
      <c r="E33" s="177" t="s">
        <v>36</v>
      </c>
      <c r="F33" s="178">
        <f t="shared" si="0"/>
        <v>8.33</v>
      </c>
      <c r="G33" s="178">
        <f t="shared" si="1"/>
        <v>1865.92</v>
      </c>
      <c r="I33" s="179">
        <f t="shared" si="8"/>
        <v>932.96</v>
      </c>
      <c r="J33" s="104"/>
      <c r="K33" s="93">
        <f t="shared" si="2"/>
        <v>1.19</v>
      </c>
      <c r="L33" s="93">
        <f t="shared" si="3"/>
        <v>0</v>
      </c>
      <c r="M33" s="172">
        <f t="shared" si="6"/>
        <v>0</v>
      </c>
      <c r="N33" s="100">
        <v>7</v>
      </c>
      <c r="O33" s="95">
        <f t="shared" si="4"/>
        <v>1.19</v>
      </c>
      <c r="P33" s="95">
        <f t="shared" si="5"/>
        <v>8.33</v>
      </c>
      <c r="Q33" s="172">
        <f t="shared" si="7"/>
        <v>1568</v>
      </c>
    </row>
    <row r="34" spans="1:17">
      <c r="A34" s="112">
        <v>33</v>
      </c>
      <c r="B34" s="112" t="s">
        <v>427</v>
      </c>
      <c r="C34" s="112" t="s">
        <v>428</v>
      </c>
      <c r="D34" s="97">
        <v>1</v>
      </c>
      <c r="E34" s="97" t="s">
        <v>36</v>
      </c>
      <c r="F34" s="129">
        <f t="shared" si="0"/>
        <v>178.5</v>
      </c>
      <c r="G34" s="129">
        <f t="shared" si="1"/>
        <v>178.5</v>
      </c>
      <c r="J34" s="104"/>
      <c r="K34" s="93">
        <f t="shared" si="2"/>
        <v>1.19</v>
      </c>
      <c r="L34" s="93">
        <f t="shared" si="3"/>
        <v>0</v>
      </c>
      <c r="M34" s="172">
        <f t="shared" si="6"/>
        <v>0</v>
      </c>
      <c r="N34" s="95">
        <v>150</v>
      </c>
      <c r="O34" s="95">
        <f t="shared" si="4"/>
        <v>1.19</v>
      </c>
      <c r="P34" s="95">
        <f t="shared" si="5"/>
        <v>178.5</v>
      </c>
      <c r="Q34" s="172">
        <f t="shared" si="7"/>
        <v>150</v>
      </c>
    </row>
    <row r="35" spans="1:17">
      <c r="A35" s="112">
        <v>34</v>
      </c>
      <c r="B35" s="112" t="s">
        <v>429</v>
      </c>
      <c r="C35" s="112" t="s">
        <v>430</v>
      </c>
      <c r="D35" s="97">
        <v>1</v>
      </c>
      <c r="E35" s="97" t="s">
        <v>36</v>
      </c>
      <c r="F35" s="129">
        <f t="shared" si="0"/>
        <v>357</v>
      </c>
      <c r="G35" s="129">
        <f t="shared" si="1"/>
        <v>357</v>
      </c>
      <c r="J35" s="104"/>
      <c r="K35" s="93">
        <f t="shared" si="2"/>
        <v>1.19</v>
      </c>
      <c r="L35" s="93">
        <f t="shared" si="3"/>
        <v>0</v>
      </c>
      <c r="M35" s="172">
        <f t="shared" si="6"/>
        <v>0</v>
      </c>
      <c r="N35" s="95">
        <v>300</v>
      </c>
      <c r="O35" s="95">
        <f t="shared" si="4"/>
        <v>1.19</v>
      </c>
      <c r="P35" s="95">
        <f t="shared" si="5"/>
        <v>357</v>
      </c>
      <c r="Q35" s="172">
        <f t="shared" si="7"/>
        <v>300</v>
      </c>
    </row>
    <row r="36" spans="1:17">
      <c r="A36" s="112">
        <v>35</v>
      </c>
      <c r="B36" s="112" t="s">
        <v>431</v>
      </c>
      <c r="C36" s="112" t="s">
        <v>432</v>
      </c>
      <c r="D36" s="97">
        <v>1</v>
      </c>
      <c r="E36" s="97" t="s">
        <v>36</v>
      </c>
      <c r="F36" s="129">
        <f t="shared" si="0"/>
        <v>178.5</v>
      </c>
      <c r="G36" s="129">
        <f t="shared" si="1"/>
        <v>178.5</v>
      </c>
      <c r="J36" s="104"/>
      <c r="K36" s="93">
        <f t="shared" si="2"/>
        <v>1.19</v>
      </c>
      <c r="L36" s="93">
        <f t="shared" si="3"/>
        <v>0</v>
      </c>
      <c r="M36" s="172">
        <f t="shared" si="6"/>
        <v>0</v>
      </c>
      <c r="N36" s="95">
        <v>150</v>
      </c>
      <c r="O36" s="95">
        <f t="shared" si="4"/>
        <v>1.19</v>
      </c>
      <c r="P36" s="95">
        <f t="shared" si="5"/>
        <v>178.5</v>
      </c>
      <c r="Q36" s="172">
        <f t="shared" si="7"/>
        <v>150</v>
      </c>
    </row>
    <row r="37" spans="1:17">
      <c r="A37" s="112">
        <v>36</v>
      </c>
      <c r="B37" s="112" t="s">
        <v>433</v>
      </c>
      <c r="C37" s="112" t="s">
        <v>434</v>
      </c>
      <c r="D37" s="97">
        <v>1</v>
      </c>
      <c r="E37" s="97" t="s">
        <v>36</v>
      </c>
      <c r="F37" s="129">
        <f t="shared" si="0"/>
        <v>178.5</v>
      </c>
      <c r="G37" s="129">
        <f t="shared" si="1"/>
        <v>178.5</v>
      </c>
      <c r="J37" s="104"/>
      <c r="K37" s="93">
        <f t="shared" si="2"/>
        <v>1.19</v>
      </c>
      <c r="L37" s="93">
        <f t="shared" si="3"/>
        <v>0</v>
      </c>
      <c r="M37" s="172">
        <f t="shared" si="6"/>
        <v>0</v>
      </c>
      <c r="N37" s="95">
        <v>150</v>
      </c>
      <c r="O37" s="95">
        <f t="shared" si="4"/>
        <v>1.19</v>
      </c>
      <c r="P37" s="95">
        <f t="shared" si="5"/>
        <v>178.5</v>
      </c>
      <c r="Q37" s="172">
        <f t="shared" si="7"/>
        <v>150</v>
      </c>
    </row>
    <row r="38" spans="1:17">
      <c r="A38" s="112">
        <v>37</v>
      </c>
      <c r="B38" s="112" t="s">
        <v>435</v>
      </c>
      <c r="C38" s="114" t="s">
        <v>436</v>
      </c>
      <c r="D38" s="97">
        <v>0.2</v>
      </c>
      <c r="E38" s="97" t="s">
        <v>260</v>
      </c>
      <c r="F38" s="129">
        <f t="shared" si="0"/>
        <v>0</v>
      </c>
      <c r="G38" s="129">
        <f t="shared" si="1"/>
        <v>0</v>
      </c>
      <c r="J38" s="104"/>
      <c r="K38" s="93">
        <f t="shared" si="2"/>
        <v>1.19</v>
      </c>
      <c r="L38" s="93">
        <f t="shared" si="3"/>
        <v>0</v>
      </c>
      <c r="M38" s="172">
        <f t="shared" si="6"/>
        <v>0</v>
      </c>
      <c r="N38" s="95"/>
      <c r="O38" s="95">
        <f t="shared" si="4"/>
        <v>1.19</v>
      </c>
      <c r="P38" s="95">
        <f t="shared" si="5"/>
        <v>0</v>
      </c>
      <c r="Q38" s="172">
        <f t="shared" si="7"/>
        <v>0</v>
      </c>
    </row>
    <row r="39" spans="1:17">
      <c r="A39" s="112">
        <v>38</v>
      </c>
      <c r="B39" s="112"/>
      <c r="C39" s="112" t="s">
        <v>437</v>
      </c>
      <c r="D39" s="97">
        <v>2</v>
      </c>
      <c r="E39" s="97" t="s">
        <v>323</v>
      </c>
      <c r="F39" s="129">
        <f t="shared" si="0"/>
        <v>357</v>
      </c>
      <c r="G39" s="129">
        <f t="shared" si="1"/>
        <v>714</v>
      </c>
      <c r="J39" s="104"/>
      <c r="K39" s="93">
        <f t="shared" si="2"/>
        <v>1.19</v>
      </c>
      <c r="L39" s="93">
        <f t="shared" si="3"/>
        <v>0</v>
      </c>
      <c r="M39" s="172">
        <f t="shared" si="6"/>
        <v>0</v>
      </c>
      <c r="N39" s="95">
        <v>300</v>
      </c>
      <c r="O39" s="95">
        <f t="shared" si="4"/>
        <v>1.19</v>
      </c>
      <c r="P39" s="95">
        <f t="shared" si="5"/>
        <v>357</v>
      </c>
      <c r="Q39" s="172">
        <f t="shared" si="7"/>
        <v>600</v>
      </c>
    </row>
    <row r="40" spans="1:17">
      <c r="A40" s="112">
        <v>39</v>
      </c>
      <c r="B40" s="112"/>
      <c r="C40" s="112" t="s">
        <v>438</v>
      </c>
      <c r="D40" s="97">
        <v>1</v>
      </c>
      <c r="E40" s="97" t="s">
        <v>332</v>
      </c>
      <c r="F40" s="129">
        <f t="shared" si="0"/>
        <v>1785</v>
      </c>
      <c r="G40" s="129">
        <f t="shared" si="1"/>
        <v>1785</v>
      </c>
      <c r="J40" s="104"/>
      <c r="K40" s="93">
        <f t="shared" si="2"/>
        <v>1.19</v>
      </c>
      <c r="L40" s="93">
        <f t="shared" si="3"/>
        <v>0</v>
      </c>
      <c r="M40" s="172">
        <f t="shared" si="6"/>
        <v>0</v>
      </c>
      <c r="N40" s="95">
        <v>1500</v>
      </c>
      <c r="O40" s="95">
        <f t="shared" si="4"/>
        <v>1.19</v>
      </c>
      <c r="P40" s="95">
        <f t="shared" si="5"/>
        <v>1785</v>
      </c>
      <c r="Q40" s="172">
        <f t="shared" si="7"/>
        <v>1500</v>
      </c>
    </row>
    <row r="41" spans="1:17">
      <c r="A41" s="112">
        <v>40</v>
      </c>
      <c r="B41" s="112"/>
      <c r="C41" s="112" t="s">
        <v>439</v>
      </c>
      <c r="D41" s="97">
        <v>10</v>
      </c>
      <c r="E41" s="97" t="s">
        <v>323</v>
      </c>
      <c r="F41" s="129">
        <f t="shared" si="0"/>
        <v>535.5</v>
      </c>
      <c r="G41" s="129">
        <f t="shared" si="1"/>
        <v>5355</v>
      </c>
      <c r="J41" s="104"/>
      <c r="K41" s="93">
        <f t="shared" si="2"/>
        <v>1.19</v>
      </c>
      <c r="L41" s="93">
        <f t="shared" si="3"/>
        <v>0</v>
      </c>
      <c r="M41" s="172">
        <f t="shared" si="6"/>
        <v>0</v>
      </c>
      <c r="N41" s="95">
        <v>450</v>
      </c>
      <c r="O41" s="95">
        <f t="shared" si="4"/>
        <v>1.19</v>
      </c>
      <c r="P41" s="95">
        <f t="shared" si="5"/>
        <v>535.5</v>
      </c>
      <c r="Q41" s="172">
        <f t="shared" si="7"/>
        <v>4500</v>
      </c>
    </row>
    <row r="42" spans="1:17">
      <c r="A42" s="112">
        <v>41</v>
      </c>
      <c r="B42" s="112"/>
      <c r="C42" s="112" t="s">
        <v>440</v>
      </c>
      <c r="D42" s="97">
        <v>10</v>
      </c>
      <c r="E42" s="97" t="s">
        <v>323</v>
      </c>
      <c r="F42" s="129">
        <f t="shared" si="0"/>
        <v>535.5</v>
      </c>
      <c r="G42" s="129">
        <f t="shared" si="1"/>
        <v>5355</v>
      </c>
      <c r="J42" s="104"/>
      <c r="K42" s="93">
        <f t="shared" si="2"/>
        <v>1.19</v>
      </c>
      <c r="L42" s="93">
        <f t="shared" si="3"/>
        <v>0</v>
      </c>
      <c r="M42" s="172">
        <f t="shared" si="6"/>
        <v>0</v>
      </c>
      <c r="N42" s="95">
        <v>450</v>
      </c>
      <c r="O42" s="95">
        <f t="shared" si="4"/>
        <v>1.19</v>
      </c>
      <c r="P42" s="95">
        <f t="shared" si="5"/>
        <v>535.5</v>
      </c>
      <c r="Q42" s="172">
        <f t="shared" si="7"/>
        <v>4500</v>
      </c>
    </row>
    <row r="43" spans="1:17">
      <c r="A43" s="112">
        <v>42</v>
      </c>
      <c r="B43" s="112"/>
      <c r="C43" s="112" t="s">
        <v>441</v>
      </c>
      <c r="D43" s="97">
        <v>1</v>
      </c>
      <c r="E43" s="97" t="s">
        <v>332</v>
      </c>
      <c r="F43" s="129">
        <f t="shared" si="0"/>
        <v>4760</v>
      </c>
      <c r="G43" s="129">
        <f t="shared" si="1"/>
        <v>4760</v>
      </c>
      <c r="J43" s="104"/>
      <c r="K43" s="93">
        <f t="shared" si="2"/>
        <v>1.19</v>
      </c>
      <c r="L43" s="93">
        <f t="shared" si="3"/>
        <v>0</v>
      </c>
      <c r="M43" s="172">
        <f t="shared" si="6"/>
        <v>0</v>
      </c>
      <c r="N43" s="95">
        <v>4000</v>
      </c>
      <c r="O43" s="95">
        <f t="shared" si="4"/>
        <v>1.19</v>
      </c>
      <c r="P43" s="95">
        <f t="shared" si="5"/>
        <v>4760</v>
      </c>
      <c r="Q43" s="172">
        <f t="shared" si="7"/>
        <v>4000</v>
      </c>
    </row>
    <row r="44" spans="1:17">
      <c r="A44" s="112">
        <v>43</v>
      </c>
      <c r="B44" s="112"/>
      <c r="C44" s="112" t="s">
        <v>442</v>
      </c>
      <c r="D44" s="97">
        <v>4</v>
      </c>
      <c r="E44" s="97" t="s">
        <v>323</v>
      </c>
      <c r="F44" s="129">
        <f t="shared" si="0"/>
        <v>535.5</v>
      </c>
      <c r="G44" s="129">
        <f t="shared" si="1"/>
        <v>2142</v>
      </c>
      <c r="J44" s="104"/>
      <c r="K44" s="93">
        <f t="shared" si="2"/>
        <v>1.19</v>
      </c>
      <c r="L44" s="93">
        <f t="shared" si="3"/>
        <v>0</v>
      </c>
      <c r="M44" s="172">
        <f t="shared" si="6"/>
        <v>0</v>
      </c>
      <c r="N44" s="95">
        <v>450</v>
      </c>
      <c r="O44" s="95">
        <f t="shared" si="4"/>
        <v>1.19</v>
      </c>
      <c r="P44" s="95">
        <f t="shared" si="5"/>
        <v>535.5</v>
      </c>
      <c r="Q44" s="172">
        <f t="shared" si="7"/>
        <v>1800</v>
      </c>
    </row>
    <row r="45" spans="1:17">
      <c r="A45" s="112">
        <v>44</v>
      </c>
      <c r="B45" s="112"/>
      <c r="C45" s="112" t="s">
        <v>443</v>
      </c>
      <c r="D45" s="97">
        <v>13</v>
      </c>
      <c r="E45" s="97" t="s">
        <v>332</v>
      </c>
      <c r="F45" s="129">
        <f t="shared" si="0"/>
        <v>535.5</v>
      </c>
      <c r="G45" s="129">
        <f t="shared" si="1"/>
        <v>6961.5</v>
      </c>
      <c r="J45" s="104"/>
      <c r="K45" s="93">
        <f t="shared" si="2"/>
        <v>1.19</v>
      </c>
      <c r="L45" s="93">
        <f t="shared" si="3"/>
        <v>0</v>
      </c>
      <c r="M45" s="172">
        <f t="shared" si="6"/>
        <v>0</v>
      </c>
      <c r="N45" s="95">
        <v>450</v>
      </c>
      <c r="O45" s="95">
        <f t="shared" si="4"/>
        <v>1.19</v>
      </c>
      <c r="P45" s="95">
        <f t="shared" si="5"/>
        <v>535.5</v>
      </c>
      <c r="Q45" s="172">
        <f t="shared" si="7"/>
        <v>5850</v>
      </c>
    </row>
    <row r="46" spans="1:17">
      <c r="A46" s="29"/>
      <c r="B46" s="29"/>
      <c r="C46" s="115" t="s">
        <v>366</v>
      </c>
      <c r="D46" s="116"/>
      <c r="E46" s="105"/>
      <c r="F46" s="130"/>
      <c r="G46" s="130">
        <f>SUM(G4:G45)</f>
        <v>216425.538</v>
      </c>
      <c r="M46" s="172">
        <f t="shared" si="6"/>
        <v>0</v>
      </c>
      <c r="Q46" s="172">
        <f t="shared" si="7"/>
        <v>0</v>
      </c>
    </row>
    <row r="47" spans="1:17">
      <c r="D47" s="31"/>
      <c r="E47" s="31"/>
      <c r="M47" s="172">
        <f t="shared" si="6"/>
        <v>0</v>
      </c>
      <c r="Q47" s="172">
        <f t="shared" si="7"/>
        <v>0</v>
      </c>
    </row>
    <row r="48" spans="1:17" ht="15.45">
      <c r="C48" s="110" t="s">
        <v>444</v>
      </c>
      <c r="D48" s="31"/>
      <c r="E48" s="31"/>
      <c r="M48" s="172">
        <f t="shared" si="6"/>
        <v>0</v>
      </c>
      <c r="Q48" s="172">
        <f t="shared" si="7"/>
        <v>0</v>
      </c>
    </row>
    <row r="49" spans="1:17">
      <c r="A49" s="111" t="s">
        <v>362</v>
      </c>
      <c r="B49" s="111" t="s">
        <v>363</v>
      </c>
      <c r="C49" s="111" t="s">
        <v>364</v>
      </c>
      <c r="D49" s="106"/>
      <c r="E49" s="106" t="s">
        <v>18</v>
      </c>
      <c r="F49" s="128" t="s">
        <v>365</v>
      </c>
      <c r="G49" s="128" t="s">
        <v>366</v>
      </c>
      <c r="M49" s="172">
        <f t="shared" si="6"/>
        <v>0</v>
      </c>
      <c r="Q49" s="172">
        <f t="shared" si="7"/>
        <v>0</v>
      </c>
    </row>
    <row r="50" spans="1:17">
      <c r="A50" s="112">
        <v>1</v>
      </c>
      <c r="B50" s="112" t="s">
        <v>445</v>
      </c>
      <c r="C50" s="117" t="s">
        <v>446</v>
      </c>
      <c r="D50" s="97">
        <v>0.9</v>
      </c>
      <c r="E50" s="97" t="s">
        <v>447</v>
      </c>
      <c r="F50" s="129">
        <f t="shared" ref="F50:F65" si="9">L50+P50</f>
        <v>0</v>
      </c>
      <c r="G50" s="129">
        <f t="shared" ref="G50:G65" si="10">D50*F50</f>
        <v>0</v>
      </c>
      <c r="J50" s="104"/>
      <c r="K50" s="93">
        <f t="shared" ref="K50:K65" si="11">$K$1</f>
        <v>1.19</v>
      </c>
      <c r="L50" s="93">
        <f t="shared" ref="L50:L65" si="12">K50*J50</f>
        <v>0</v>
      </c>
      <c r="M50" s="172">
        <f t="shared" si="6"/>
        <v>0</v>
      </c>
      <c r="N50" s="95"/>
      <c r="O50" s="95">
        <f t="shared" ref="O50:O65" si="13">$O$1</f>
        <v>1.19</v>
      </c>
      <c r="P50" s="95">
        <f t="shared" ref="P50:P65" si="14">O50*N50</f>
        <v>0</v>
      </c>
      <c r="Q50" s="172">
        <f t="shared" si="7"/>
        <v>0</v>
      </c>
    </row>
    <row r="51" spans="1:17">
      <c r="A51" s="112">
        <v>2</v>
      </c>
      <c r="B51" s="118" t="s">
        <v>448</v>
      </c>
      <c r="C51" s="136" t="s">
        <v>449</v>
      </c>
      <c r="D51" s="137">
        <v>4.0999999999999996</v>
      </c>
      <c r="E51" s="137" t="s">
        <v>450</v>
      </c>
      <c r="F51" s="138">
        <f t="shared" si="9"/>
        <v>0</v>
      </c>
      <c r="G51" s="138">
        <f t="shared" si="10"/>
        <v>0</v>
      </c>
      <c r="J51" s="104"/>
      <c r="K51" s="93">
        <f t="shared" si="11"/>
        <v>1.19</v>
      </c>
      <c r="L51" s="93">
        <f t="shared" si="12"/>
        <v>0</v>
      </c>
      <c r="M51" s="172">
        <f t="shared" si="6"/>
        <v>0</v>
      </c>
      <c r="N51" s="95"/>
      <c r="O51" s="95">
        <f t="shared" si="13"/>
        <v>1.19</v>
      </c>
      <c r="P51" s="95">
        <f t="shared" si="14"/>
        <v>0</v>
      </c>
      <c r="Q51" s="172">
        <f t="shared" si="7"/>
        <v>0</v>
      </c>
    </row>
    <row r="52" spans="1:17">
      <c r="A52" s="112">
        <v>3</v>
      </c>
      <c r="B52" s="118" t="s">
        <v>451</v>
      </c>
      <c r="C52" s="136" t="s">
        <v>452</v>
      </c>
      <c r="D52" s="137">
        <v>42.8</v>
      </c>
      <c r="E52" s="137" t="s">
        <v>450</v>
      </c>
      <c r="F52" s="138">
        <f t="shared" si="9"/>
        <v>0</v>
      </c>
      <c r="G52" s="138">
        <f t="shared" si="10"/>
        <v>0</v>
      </c>
      <c r="J52" s="104"/>
      <c r="K52" s="93">
        <f t="shared" si="11"/>
        <v>1.19</v>
      </c>
      <c r="L52" s="93">
        <f t="shared" si="12"/>
        <v>0</v>
      </c>
      <c r="M52" s="172">
        <f t="shared" si="6"/>
        <v>0</v>
      </c>
      <c r="N52" s="95"/>
      <c r="O52" s="95">
        <f t="shared" si="13"/>
        <v>1.19</v>
      </c>
      <c r="P52" s="95">
        <f t="shared" si="14"/>
        <v>0</v>
      </c>
      <c r="Q52" s="172">
        <f t="shared" si="7"/>
        <v>0</v>
      </c>
    </row>
    <row r="53" spans="1:17">
      <c r="A53" s="112">
        <v>4</v>
      </c>
      <c r="B53" s="118" t="s">
        <v>453</v>
      </c>
      <c r="C53" s="136" t="s">
        <v>454</v>
      </c>
      <c r="D53" s="137">
        <v>42.8</v>
      </c>
      <c r="E53" s="137" t="s">
        <v>450</v>
      </c>
      <c r="F53" s="138">
        <f t="shared" si="9"/>
        <v>0</v>
      </c>
      <c r="G53" s="138">
        <f t="shared" si="10"/>
        <v>0</v>
      </c>
      <c r="J53" s="104"/>
      <c r="K53" s="93">
        <f t="shared" si="11"/>
        <v>1.19</v>
      </c>
      <c r="L53" s="93">
        <f t="shared" si="12"/>
        <v>0</v>
      </c>
      <c r="M53" s="172">
        <f t="shared" si="6"/>
        <v>0</v>
      </c>
      <c r="N53" s="95"/>
      <c r="O53" s="95">
        <f t="shared" si="13"/>
        <v>1.19</v>
      </c>
      <c r="P53" s="95">
        <f t="shared" si="14"/>
        <v>0</v>
      </c>
      <c r="Q53" s="172">
        <f t="shared" si="7"/>
        <v>0</v>
      </c>
    </row>
    <row r="54" spans="1:17">
      <c r="A54" s="112">
        <v>5</v>
      </c>
      <c r="B54" s="118" t="s">
        <v>455</v>
      </c>
      <c r="C54" s="136" t="s">
        <v>456</v>
      </c>
      <c r="D54" s="137">
        <v>42.8</v>
      </c>
      <c r="E54" s="137" t="s">
        <v>450</v>
      </c>
      <c r="F54" s="138">
        <f t="shared" si="9"/>
        <v>0</v>
      </c>
      <c r="G54" s="138">
        <f t="shared" si="10"/>
        <v>0</v>
      </c>
      <c r="J54" s="104"/>
      <c r="K54" s="93">
        <f t="shared" si="11"/>
        <v>1.19</v>
      </c>
      <c r="L54" s="93">
        <f t="shared" si="12"/>
        <v>0</v>
      </c>
      <c r="M54" s="172">
        <f t="shared" si="6"/>
        <v>0</v>
      </c>
      <c r="N54" s="95"/>
      <c r="O54" s="95">
        <f t="shared" si="13"/>
        <v>1.19</v>
      </c>
      <c r="P54" s="95">
        <f t="shared" si="14"/>
        <v>0</v>
      </c>
      <c r="Q54" s="172">
        <f t="shared" si="7"/>
        <v>0</v>
      </c>
    </row>
    <row r="55" spans="1:17">
      <c r="A55" s="112">
        <v>6</v>
      </c>
      <c r="B55" s="118" t="s">
        <v>457</v>
      </c>
      <c r="C55" s="136" t="s">
        <v>458</v>
      </c>
      <c r="D55" s="137">
        <v>476</v>
      </c>
      <c r="E55" s="137" t="s">
        <v>188</v>
      </c>
      <c r="F55" s="138">
        <f t="shared" si="9"/>
        <v>0</v>
      </c>
      <c r="G55" s="138">
        <f t="shared" si="10"/>
        <v>0</v>
      </c>
      <c r="J55" s="104"/>
      <c r="K55" s="93">
        <f t="shared" si="11"/>
        <v>1.19</v>
      </c>
      <c r="L55" s="93">
        <f t="shared" si="12"/>
        <v>0</v>
      </c>
      <c r="M55" s="172">
        <f t="shared" si="6"/>
        <v>0</v>
      </c>
      <c r="N55" s="95"/>
      <c r="O55" s="95">
        <f t="shared" si="13"/>
        <v>1.19</v>
      </c>
      <c r="P55" s="95">
        <f t="shared" si="14"/>
        <v>0</v>
      </c>
      <c r="Q55" s="172">
        <f t="shared" si="7"/>
        <v>0</v>
      </c>
    </row>
    <row r="56" spans="1:17">
      <c r="A56" s="112">
        <v>8</v>
      </c>
      <c r="B56" s="118" t="s">
        <v>459</v>
      </c>
      <c r="C56" s="136" t="s">
        <v>460</v>
      </c>
      <c r="D56" s="137">
        <v>476</v>
      </c>
      <c r="E56" s="137" t="s">
        <v>188</v>
      </c>
      <c r="F56" s="138">
        <f t="shared" si="9"/>
        <v>0</v>
      </c>
      <c r="G56" s="138">
        <f t="shared" si="10"/>
        <v>0</v>
      </c>
      <c r="J56" s="104"/>
      <c r="K56" s="93">
        <f t="shared" si="11"/>
        <v>1.19</v>
      </c>
      <c r="L56" s="93">
        <f t="shared" si="12"/>
        <v>0</v>
      </c>
      <c r="M56" s="172">
        <f t="shared" si="6"/>
        <v>0</v>
      </c>
      <c r="N56" s="95"/>
      <c r="O56" s="95">
        <f t="shared" si="13"/>
        <v>1.19</v>
      </c>
      <c r="P56" s="95">
        <f t="shared" si="14"/>
        <v>0</v>
      </c>
      <c r="Q56" s="172">
        <f t="shared" si="7"/>
        <v>0</v>
      </c>
    </row>
    <row r="57" spans="1:17">
      <c r="A57" s="112">
        <v>9</v>
      </c>
      <c r="B57" s="112" t="s">
        <v>461</v>
      </c>
      <c r="C57" s="112" t="s">
        <v>462</v>
      </c>
      <c r="D57" s="97">
        <v>9</v>
      </c>
      <c r="E57" s="97" t="s">
        <v>36</v>
      </c>
      <c r="F57" s="129">
        <f t="shared" si="9"/>
        <v>297.5</v>
      </c>
      <c r="G57" s="129">
        <f t="shared" si="10"/>
        <v>2677.5</v>
      </c>
      <c r="J57" s="104">
        <v>250</v>
      </c>
      <c r="K57" s="93">
        <f t="shared" si="11"/>
        <v>1.19</v>
      </c>
      <c r="L57" s="93">
        <f t="shared" si="12"/>
        <v>297.5</v>
      </c>
      <c r="M57" s="172">
        <f t="shared" si="6"/>
        <v>2250</v>
      </c>
      <c r="N57" s="95"/>
      <c r="O57" s="95">
        <f t="shared" si="13"/>
        <v>1.19</v>
      </c>
      <c r="P57" s="95">
        <f t="shared" si="14"/>
        <v>0</v>
      </c>
      <c r="Q57" s="172">
        <f t="shared" si="7"/>
        <v>0</v>
      </c>
    </row>
    <row r="58" spans="1:17">
      <c r="A58" s="112">
        <v>10</v>
      </c>
      <c r="B58" s="112" t="s">
        <v>463</v>
      </c>
      <c r="C58" s="112" t="s">
        <v>464</v>
      </c>
      <c r="D58" s="97">
        <v>476</v>
      </c>
      <c r="E58" s="97" t="s">
        <v>188</v>
      </c>
      <c r="F58" s="129">
        <f t="shared" si="9"/>
        <v>3.8079999999999998</v>
      </c>
      <c r="G58" s="129">
        <f t="shared" si="10"/>
        <v>1812.6079999999999</v>
      </c>
      <c r="J58" s="104"/>
      <c r="K58" s="93">
        <f t="shared" si="11"/>
        <v>1.19</v>
      </c>
      <c r="L58" s="93">
        <f t="shared" si="12"/>
        <v>0</v>
      </c>
      <c r="M58" s="172">
        <f t="shared" si="6"/>
        <v>0</v>
      </c>
      <c r="N58" s="95">
        <v>3.2</v>
      </c>
      <c r="O58" s="95">
        <f t="shared" si="13"/>
        <v>1.19</v>
      </c>
      <c r="P58" s="95">
        <f t="shared" si="14"/>
        <v>3.8079999999999998</v>
      </c>
      <c r="Q58" s="172">
        <f t="shared" si="7"/>
        <v>1523.2</v>
      </c>
    </row>
    <row r="59" spans="1:17">
      <c r="A59" s="112">
        <v>11</v>
      </c>
      <c r="B59" s="112" t="s">
        <v>465</v>
      </c>
      <c r="C59" s="112" t="s">
        <v>466</v>
      </c>
      <c r="D59" s="97">
        <v>32</v>
      </c>
      <c r="E59" s="97" t="s">
        <v>36</v>
      </c>
      <c r="F59" s="129">
        <f t="shared" si="9"/>
        <v>392.7</v>
      </c>
      <c r="G59" s="129">
        <f t="shared" si="10"/>
        <v>12566.4</v>
      </c>
      <c r="J59" s="104"/>
      <c r="K59" s="93">
        <f t="shared" si="11"/>
        <v>1.19</v>
      </c>
      <c r="L59" s="93">
        <f t="shared" si="12"/>
        <v>0</v>
      </c>
      <c r="M59" s="172">
        <f t="shared" si="6"/>
        <v>0</v>
      </c>
      <c r="N59" s="95">
        <v>330</v>
      </c>
      <c r="O59" s="95">
        <f t="shared" si="13"/>
        <v>1.19</v>
      </c>
      <c r="P59" s="95">
        <f t="shared" si="14"/>
        <v>392.7</v>
      </c>
      <c r="Q59" s="172">
        <f t="shared" si="7"/>
        <v>10560</v>
      </c>
    </row>
    <row r="60" spans="1:17">
      <c r="A60" s="112">
        <v>12</v>
      </c>
      <c r="B60" s="112" t="s">
        <v>467</v>
      </c>
      <c r="C60" s="112" t="s">
        <v>468</v>
      </c>
      <c r="D60" s="97">
        <v>32</v>
      </c>
      <c r="E60" s="97" t="s">
        <v>36</v>
      </c>
      <c r="F60" s="129">
        <f t="shared" si="9"/>
        <v>357</v>
      </c>
      <c r="G60" s="129">
        <f t="shared" si="10"/>
        <v>11424</v>
      </c>
      <c r="J60" s="104"/>
      <c r="K60" s="93">
        <f t="shared" si="11"/>
        <v>1.19</v>
      </c>
      <c r="L60" s="93">
        <f t="shared" si="12"/>
        <v>0</v>
      </c>
      <c r="M60" s="172">
        <f t="shared" si="6"/>
        <v>0</v>
      </c>
      <c r="N60" s="95">
        <v>300</v>
      </c>
      <c r="O60" s="95">
        <f t="shared" si="13"/>
        <v>1.19</v>
      </c>
      <c r="P60" s="95">
        <f t="shared" si="14"/>
        <v>357</v>
      </c>
      <c r="Q60" s="172">
        <f t="shared" si="7"/>
        <v>9600</v>
      </c>
    </row>
    <row r="61" spans="1:17">
      <c r="A61" s="112">
        <v>13</v>
      </c>
      <c r="B61" s="136" t="s">
        <v>469</v>
      </c>
      <c r="C61" s="136" t="s">
        <v>470</v>
      </c>
      <c r="D61" s="137">
        <v>476</v>
      </c>
      <c r="E61" s="137" t="s">
        <v>188</v>
      </c>
      <c r="F61" s="138">
        <f t="shared" si="9"/>
        <v>0</v>
      </c>
      <c r="G61" s="138">
        <f t="shared" si="10"/>
        <v>0</v>
      </c>
      <c r="J61" s="104"/>
      <c r="K61" s="93">
        <f t="shared" si="11"/>
        <v>1.19</v>
      </c>
      <c r="L61" s="93">
        <f t="shared" si="12"/>
        <v>0</v>
      </c>
      <c r="M61" s="172">
        <f t="shared" si="6"/>
        <v>0</v>
      </c>
      <c r="N61" s="95"/>
      <c r="O61" s="95">
        <f t="shared" si="13"/>
        <v>1.19</v>
      </c>
      <c r="P61" s="95">
        <f t="shared" si="14"/>
        <v>0</v>
      </c>
      <c r="Q61" s="172">
        <f t="shared" si="7"/>
        <v>0</v>
      </c>
    </row>
    <row r="62" spans="1:17">
      <c r="A62" s="112">
        <v>15</v>
      </c>
      <c r="B62" s="136" t="s">
        <v>471</v>
      </c>
      <c r="C62" s="136" t="s">
        <v>472</v>
      </c>
      <c r="D62" s="137">
        <v>558</v>
      </c>
      <c r="E62" s="137" t="s">
        <v>260</v>
      </c>
      <c r="F62" s="138">
        <f t="shared" si="9"/>
        <v>0</v>
      </c>
      <c r="G62" s="138">
        <f t="shared" si="10"/>
        <v>0</v>
      </c>
      <c r="J62" s="104"/>
      <c r="K62" s="93">
        <f t="shared" si="11"/>
        <v>1.19</v>
      </c>
      <c r="L62" s="93">
        <f t="shared" si="12"/>
        <v>0</v>
      </c>
      <c r="M62" s="172">
        <f t="shared" si="6"/>
        <v>0</v>
      </c>
      <c r="N62" s="95"/>
      <c r="O62" s="95">
        <f t="shared" si="13"/>
        <v>1.19</v>
      </c>
      <c r="P62" s="95">
        <f t="shared" si="14"/>
        <v>0</v>
      </c>
      <c r="Q62" s="172">
        <f t="shared" si="7"/>
        <v>0</v>
      </c>
    </row>
    <row r="63" spans="1:17">
      <c r="A63" s="112">
        <v>16</v>
      </c>
      <c r="B63" s="139" t="s">
        <v>473</v>
      </c>
      <c r="C63" s="136" t="s">
        <v>474</v>
      </c>
      <c r="D63" s="137">
        <v>82</v>
      </c>
      <c r="E63" s="137" t="s">
        <v>188</v>
      </c>
      <c r="F63" s="138">
        <f t="shared" si="9"/>
        <v>0</v>
      </c>
      <c r="G63" s="140">
        <f t="shared" si="10"/>
        <v>0</v>
      </c>
      <c r="J63" s="104"/>
      <c r="K63" s="93">
        <f t="shared" si="11"/>
        <v>1.19</v>
      </c>
      <c r="L63" s="93">
        <f t="shared" si="12"/>
        <v>0</v>
      </c>
      <c r="M63" s="172">
        <f t="shared" si="6"/>
        <v>0</v>
      </c>
      <c r="N63" s="95"/>
      <c r="O63" s="95">
        <f t="shared" si="13"/>
        <v>1.19</v>
      </c>
      <c r="P63" s="95">
        <f t="shared" si="14"/>
        <v>0</v>
      </c>
      <c r="Q63" s="172">
        <f t="shared" si="7"/>
        <v>0</v>
      </c>
    </row>
    <row r="64" spans="1:17">
      <c r="A64" s="112">
        <v>17</v>
      </c>
      <c r="B64" s="139" t="s">
        <v>475</v>
      </c>
      <c r="C64" s="136" t="s">
        <v>476</v>
      </c>
      <c r="D64" s="137">
        <v>82</v>
      </c>
      <c r="E64" s="137" t="s">
        <v>188</v>
      </c>
      <c r="F64" s="138">
        <f t="shared" si="9"/>
        <v>0</v>
      </c>
      <c r="G64" s="140">
        <f t="shared" si="10"/>
        <v>0</v>
      </c>
      <c r="J64" s="104"/>
      <c r="K64" s="93">
        <f t="shared" si="11"/>
        <v>1.19</v>
      </c>
      <c r="L64" s="93">
        <f t="shared" si="12"/>
        <v>0</v>
      </c>
      <c r="M64" s="172">
        <f t="shared" si="6"/>
        <v>0</v>
      </c>
      <c r="N64" s="95"/>
      <c r="O64" s="95">
        <f t="shared" si="13"/>
        <v>1.19</v>
      </c>
      <c r="P64" s="95">
        <f t="shared" si="14"/>
        <v>0</v>
      </c>
      <c r="Q64" s="172">
        <f t="shared" si="7"/>
        <v>0</v>
      </c>
    </row>
    <row r="65" spans="1:17">
      <c r="A65" s="112">
        <v>18</v>
      </c>
      <c r="B65" s="119" t="s">
        <v>477</v>
      </c>
      <c r="C65" s="112" t="s">
        <v>478</v>
      </c>
      <c r="D65" s="97">
        <v>328</v>
      </c>
      <c r="E65" s="97" t="s">
        <v>188</v>
      </c>
      <c r="F65" s="129">
        <f t="shared" si="9"/>
        <v>90.44</v>
      </c>
      <c r="G65" s="133">
        <f t="shared" si="10"/>
        <v>29664.32</v>
      </c>
      <c r="J65" s="104">
        <v>41</v>
      </c>
      <c r="K65" s="93">
        <f t="shared" si="11"/>
        <v>1.19</v>
      </c>
      <c r="L65" s="93">
        <f t="shared" si="12"/>
        <v>48.79</v>
      </c>
      <c r="M65" s="172">
        <f t="shared" si="6"/>
        <v>13448</v>
      </c>
      <c r="N65" s="95">
        <v>35</v>
      </c>
      <c r="O65" s="95">
        <f t="shared" si="13"/>
        <v>1.19</v>
      </c>
      <c r="P65" s="95">
        <f t="shared" si="14"/>
        <v>41.65</v>
      </c>
      <c r="Q65" s="172">
        <f t="shared" si="7"/>
        <v>11480</v>
      </c>
    </row>
    <row r="66" spans="1:17">
      <c r="A66" s="29"/>
      <c r="B66" s="29"/>
      <c r="C66" s="115" t="s">
        <v>366</v>
      </c>
      <c r="D66" s="116"/>
      <c r="E66" s="105"/>
      <c r="F66" s="130"/>
      <c r="G66" s="130">
        <f>SUM(G50:G65)</f>
        <v>58144.828000000001</v>
      </c>
      <c r="M66" s="172">
        <f t="shared" si="6"/>
        <v>0</v>
      </c>
      <c r="Q66" s="172">
        <f t="shared" si="7"/>
        <v>0</v>
      </c>
    </row>
    <row r="67" spans="1:17">
      <c r="D67" s="31"/>
      <c r="E67" s="31"/>
      <c r="M67" s="172">
        <f t="shared" si="6"/>
        <v>0</v>
      </c>
      <c r="Q67" s="172">
        <f t="shared" si="7"/>
        <v>0</v>
      </c>
    </row>
    <row r="68" spans="1:17" ht="15.45">
      <c r="C68" s="110" t="s">
        <v>479</v>
      </c>
      <c r="D68" s="31"/>
      <c r="E68" s="31"/>
      <c r="M68" s="172">
        <f t="shared" si="6"/>
        <v>0</v>
      </c>
      <c r="Q68" s="172">
        <f t="shared" si="7"/>
        <v>0</v>
      </c>
    </row>
    <row r="69" spans="1:17">
      <c r="A69" s="111" t="s">
        <v>362</v>
      </c>
      <c r="B69" s="111" t="s">
        <v>363</v>
      </c>
      <c r="C69" s="111" t="s">
        <v>364</v>
      </c>
      <c r="D69" s="106"/>
      <c r="E69" s="106" t="s">
        <v>18</v>
      </c>
      <c r="F69" s="128" t="s">
        <v>365</v>
      </c>
      <c r="G69" s="128" t="s">
        <v>366</v>
      </c>
      <c r="M69" s="172">
        <f t="shared" ref="M69:M132" si="15">SUM(J69*D69)</f>
        <v>0</v>
      </c>
      <c r="Q69" s="172">
        <f t="shared" ref="Q69:Q132" si="16">SUM(N69*D69)</f>
        <v>0</v>
      </c>
    </row>
    <row r="70" spans="1:17">
      <c r="A70" s="112">
        <v>1</v>
      </c>
      <c r="B70" s="112"/>
      <c r="C70" s="112" t="s">
        <v>480</v>
      </c>
      <c r="D70" s="97">
        <v>5</v>
      </c>
      <c r="E70" s="97" t="s">
        <v>36</v>
      </c>
      <c r="F70" s="129">
        <f t="shared" ref="F70:F104" si="17">L70+P70</f>
        <v>1612.4499999999998</v>
      </c>
      <c r="G70" s="129">
        <f t="shared" ref="G70:G104" si="18">D70*F70</f>
        <v>8062.2499999999991</v>
      </c>
      <c r="M70" s="172">
        <f t="shared" si="15"/>
        <v>0</v>
      </c>
      <c r="N70" s="95">
        <v>1355</v>
      </c>
      <c r="O70" s="95">
        <f t="shared" ref="O70:O104" si="19">$O$1</f>
        <v>1.19</v>
      </c>
      <c r="P70" s="95">
        <f t="shared" ref="P70:P104" si="20">O70*N70</f>
        <v>1612.4499999999998</v>
      </c>
      <c r="Q70" s="172">
        <f t="shared" si="16"/>
        <v>6775</v>
      </c>
    </row>
    <row r="71" spans="1:17">
      <c r="A71" s="112">
        <v>2</v>
      </c>
      <c r="B71" s="112"/>
      <c r="C71" s="112" t="s">
        <v>481</v>
      </c>
      <c r="D71" s="97">
        <v>1</v>
      </c>
      <c r="E71" s="97" t="s">
        <v>36</v>
      </c>
      <c r="F71" s="129">
        <f t="shared" si="17"/>
        <v>3224.8999999999996</v>
      </c>
      <c r="G71" s="129">
        <f t="shared" si="18"/>
        <v>3224.8999999999996</v>
      </c>
      <c r="M71" s="172">
        <f t="shared" si="15"/>
        <v>0</v>
      </c>
      <c r="N71" s="95">
        <v>2710</v>
      </c>
      <c r="O71" s="95">
        <f t="shared" si="19"/>
        <v>1.19</v>
      </c>
      <c r="P71" s="95">
        <f t="shared" si="20"/>
        <v>3224.8999999999996</v>
      </c>
      <c r="Q71" s="172">
        <f t="shared" si="16"/>
        <v>2710</v>
      </c>
    </row>
    <row r="72" spans="1:17">
      <c r="A72" s="112">
        <v>3</v>
      </c>
      <c r="B72" s="112"/>
      <c r="C72" s="112" t="s">
        <v>482</v>
      </c>
      <c r="D72" s="97">
        <v>8</v>
      </c>
      <c r="E72" s="97" t="s">
        <v>36</v>
      </c>
      <c r="F72" s="129">
        <f t="shared" si="17"/>
        <v>297.5</v>
      </c>
      <c r="G72" s="129">
        <f t="shared" si="18"/>
        <v>2380</v>
      </c>
      <c r="M72" s="172">
        <f t="shared" si="15"/>
        <v>0</v>
      </c>
      <c r="N72" s="95">
        <v>250</v>
      </c>
      <c r="O72" s="95">
        <f t="shared" si="19"/>
        <v>1.19</v>
      </c>
      <c r="P72" s="95">
        <f t="shared" si="20"/>
        <v>297.5</v>
      </c>
      <c r="Q72" s="172">
        <f t="shared" si="16"/>
        <v>2000</v>
      </c>
    </row>
    <row r="73" spans="1:17">
      <c r="A73" s="112">
        <v>4</v>
      </c>
      <c r="B73" s="112"/>
      <c r="C73" s="112" t="s">
        <v>483</v>
      </c>
      <c r="D73" s="177">
        <v>4875</v>
      </c>
      <c r="E73" s="177" t="s">
        <v>188</v>
      </c>
      <c r="F73" s="178">
        <f t="shared" si="17"/>
        <v>21.419999999999998</v>
      </c>
      <c r="G73" s="178">
        <f t="shared" si="18"/>
        <v>104422.49999999999</v>
      </c>
      <c r="I73" s="179">
        <f>1000*F73</f>
        <v>21419.999999999996</v>
      </c>
      <c r="M73" s="172">
        <f t="shared" si="15"/>
        <v>0</v>
      </c>
      <c r="N73" s="95">
        <v>18</v>
      </c>
      <c r="O73" s="95">
        <f t="shared" si="19"/>
        <v>1.19</v>
      </c>
      <c r="P73" s="95">
        <f t="shared" si="20"/>
        <v>21.419999999999998</v>
      </c>
      <c r="Q73" s="172">
        <f t="shared" si="16"/>
        <v>87750</v>
      </c>
    </row>
    <row r="74" spans="1:17">
      <c r="A74" s="112">
        <v>5</v>
      </c>
      <c r="B74" s="112"/>
      <c r="C74" s="112" t="s">
        <v>484</v>
      </c>
      <c r="D74" s="97">
        <v>150</v>
      </c>
      <c r="E74" s="97" t="s">
        <v>36</v>
      </c>
      <c r="F74" s="129">
        <f t="shared" si="17"/>
        <v>57.12</v>
      </c>
      <c r="G74" s="129">
        <f t="shared" si="18"/>
        <v>8568</v>
      </c>
      <c r="M74" s="172">
        <f t="shared" si="15"/>
        <v>0</v>
      </c>
      <c r="N74" s="95">
        <v>48</v>
      </c>
      <c r="O74" s="95">
        <f t="shared" si="19"/>
        <v>1.19</v>
      </c>
      <c r="P74" s="95">
        <f t="shared" si="20"/>
        <v>57.12</v>
      </c>
      <c r="Q74" s="172">
        <f t="shared" si="16"/>
        <v>7200</v>
      </c>
    </row>
    <row r="75" spans="1:17">
      <c r="A75" s="112">
        <v>6</v>
      </c>
      <c r="B75" s="112"/>
      <c r="C75" s="112" t="s">
        <v>485</v>
      </c>
      <c r="D75" s="97">
        <v>75</v>
      </c>
      <c r="E75" s="97" t="s">
        <v>36</v>
      </c>
      <c r="F75" s="129">
        <f t="shared" si="17"/>
        <v>41.65</v>
      </c>
      <c r="G75" s="129">
        <f t="shared" si="18"/>
        <v>3123.75</v>
      </c>
      <c r="M75" s="172">
        <f t="shared" si="15"/>
        <v>0</v>
      </c>
      <c r="N75" s="95">
        <v>35</v>
      </c>
      <c r="O75" s="95">
        <f t="shared" si="19"/>
        <v>1.19</v>
      </c>
      <c r="P75" s="95">
        <f t="shared" si="20"/>
        <v>41.65</v>
      </c>
      <c r="Q75" s="172">
        <f t="shared" si="16"/>
        <v>2625</v>
      </c>
    </row>
    <row r="76" spans="1:17">
      <c r="A76" s="112">
        <v>7</v>
      </c>
      <c r="B76" s="112"/>
      <c r="C76" s="112" t="s">
        <v>486</v>
      </c>
      <c r="D76" s="97">
        <v>33</v>
      </c>
      <c r="E76" s="97" t="s">
        <v>36</v>
      </c>
      <c r="F76" s="129">
        <f t="shared" si="17"/>
        <v>157.07999999999998</v>
      </c>
      <c r="G76" s="129">
        <f t="shared" si="18"/>
        <v>5183.6399999999994</v>
      </c>
      <c r="M76" s="172">
        <f t="shared" si="15"/>
        <v>0</v>
      </c>
      <c r="N76" s="95">
        <v>132</v>
      </c>
      <c r="O76" s="95">
        <f t="shared" si="19"/>
        <v>1.19</v>
      </c>
      <c r="P76" s="95">
        <f t="shared" si="20"/>
        <v>157.07999999999998</v>
      </c>
      <c r="Q76" s="172">
        <f t="shared" si="16"/>
        <v>4356</v>
      </c>
    </row>
    <row r="77" spans="1:17">
      <c r="A77" s="112">
        <v>8</v>
      </c>
      <c r="B77" s="112"/>
      <c r="C77" s="112" t="s">
        <v>487</v>
      </c>
      <c r="D77" s="97">
        <v>66</v>
      </c>
      <c r="E77" s="97" t="s">
        <v>36</v>
      </c>
      <c r="F77" s="129">
        <f t="shared" si="17"/>
        <v>67.83</v>
      </c>
      <c r="G77" s="129">
        <f t="shared" si="18"/>
        <v>4476.78</v>
      </c>
      <c r="M77" s="172">
        <f t="shared" si="15"/>
        <v>0</v>
      </c>
      <c r="N77" s="95">
        <v>57</v>
      </c>
      <c r="O77" s="95">
        <f t="shared" si="19"/>
        <v>1.19</v>
      </c>
      <c r="P77" s="95">
        <f t="shared" si="20"/>
        <v>67.83</v>
      </c>
      <c r="Q77" s="172">
        <f t="shared" si="16"/>
        <v>3762</v>
      </c>
    </row>
    <row r="78" spans="1:17">
      <c r="A78" s="112">
        <v>9</v>
      </c>
      <c r="B78" s="112"/>
      <c r="C78" s="112" t="s">
        <v>488</v>
      </c>
      <c r="D78" s="97">
        <v>75</v>
      </c>
      <c r="E78" s="97" t="s">
        <v>36</v>
      </c>
      <c r="F78" s="129">
        <f t="shared" si="17"/>
        <v>34.51</v>
      </c>
      <c r="G78" s="129">
        <f t="shared" si="18"/>
        <v>2588.25</v>
      </c>
      <c r="M78" s="172">
        <f t="shared" si="15"/>
        <v>0</v>
      </c>
      <c r="N78" s="95">
        <v>29</v>
      </c>
      <c r="O78" s="95">
        <f t="shared" si="19"/>
        <v>1.19</v>
      </c>
      <c r="P78" s="95">
        <f t="shared" si="20"/>
        <v>34.51</v>
      </c>
      <c r="Q78" s="172">
        <f t="shared" si="16"/>
        <v>2175</v>
      </c>
    </row>
    <row r="79" spans="1:17">
      <c r="A79" s="112">
        <v>10</v>
      </c>
      <c r="B79" s="112"/>
      <c r="C79" s="112" t="s">
        <v>489</v>
      </c>
      <c r="D79" s="97">
        <v>8</v>
      </c>
      <c r="E79" s="97" t="s">
        <v>323</v>
      </c>
      <c r="F79" s="129">
        <f t="shared" si="17"/>
        <v>654.5</v>
      </c>
      <c r="G79" s="129">
        <f t="shared" si="18"/>
        <v>5236</v>
      </c>
      <c r="M79" s="172">
        <f t="shared" si="15"/>
        <v>0</v>
      </c>
      <c r="N79" s="95">
        <v>550</v>
      </c>
      <c r="O79" s="95">
        <f t="shared" si="19"/>
        <v>1.19</v>
      </c>
      <c r="P79" s="95">
        <f t="shared" si="20"/>
        <v>654.5</v>
      </c>
      <c r="Q79" s="172">
        <f t="shared" si="16"/>
        <v>4400</v>
      </c>
    </row>
    <row r="80" spans="1:17">
      <c r="A80" s="112">
        <v>11</v>
      </c>
      <c r="B80" s="112" t="s">
        <v>490</v>
      </c>
      <c r="C80" s="112" t="s">
        <v>491</v>
      </c>
      <c r="D80" s="97">
        <v>1</v>
      </c>
      <c r="E80" s="97" t="s">
        <v>36</v>
      </c>
      <c r="F80" s="129">
        <f t="shared" si="17"/>
        <v>2213.4</v>
      </c>
      <c r="G80" s="129">
        <f t="shared" si="18"/>
        <v>2213.4</v>
      </c>
      <c r="M80" s="172">
        <f t="shared" si="15"/>
        <v>0</v>
      </c>
      <c r="N80" s="95">
        <v>1860</v>
      </c>
      <c r="O80" s="95">
        <f t="shared" si="19"/>
        <v>1.19</v>
      </c>
      <c r="P80" s="95">
        <f t="shared" si="20"/>
        <v>2213.4</v>
      </c>
      <c r="Q80" s="172">
        <f t="shared" si="16"/>
        <v>1860</v>
      </c>
    </row>
    <row r="81" spans="1:17">
      <c r="A81" s="112">
        <v>12</v>
      </c>
      <c r="B81" s="112"/>
      <c r="C81" s="112" t="s">
        <v>492</v>
      </c>
      <c r="D81" s="97">
        <v>8</v>
      </c>
      <c r="E81" s="97" t="s">
        <v>36</v>
      </c>
      <c r="F81" s="129">
        <f t="shared" si="17"/>
        <v>238</v>
      </c>
      <c r="G81" s="129">
        <f t="shared" si="18"/>
        <v>1904</v>
      </c>
      <c r="M81" s="172">
        <f t="shared" si="15"/>
        <v>0</v>
      </c>
      <c r="N81" s="95">
        <v>200</v>
      </c>
      <c r="O81" s="95">
        <f t="shared" si="19"/>
        <v>1.19</v>
      </c>
      <c r="P81" s="95">
        <f t="shared" si="20"/>
        <v>238</v>
      </c>
      <c r="Q81" s="172">
        <f t="shared" si="16"/>
        <v>1600</v>
      </c>
    </row>
    <row r="82" spans="1:17">
      <c r="A82" s="112">
        <v>13</v>
      </c>
      <c r="B82" s="112" t="s">
        <v>493</v>
      </c>
      <c r="C82" s="112" t="s">
        <v>494</v>
      </c>
      <c r="D82" s="97">
        <v>3</v>
      </c>
      <c r="E82" s="97" t="s">
        <v>36</v>
      </c>
      <c r="F82" s="129">
        <f t="shared" si="17"/>
        <v>178.5</v>
      </c>
      <c r="G82" s="129">
        <f t="shared" si="18"/>
        <v>535.5</v>
      </c>
      <c r="M82" s="172">
        <f t="shared" si="15"/>
        <v>0</v>
      </c>
      <c r="N82" s="95">
        <v>150</v>
      </c>
      <c r="O82" s="95">
        <f t="shared" si="19"/>
        <v>1.19</v>
      </c>
      <c r="P82" s="95">
        <f t="shared" si="20"/>
        <v>178.5</v>
      </c>
      <c r="Q82" s="172">
        <f t="shared" si="16"/>
        <v>450</v>
      </c>
    </row>
    <row r="83" spans="1:17">
      <c r="A83" s="112">
        <v>14</v>
      </c>
      <c r="B83" s="112" t="s">
        <v>495</v>
      </c>
      <c r="C83" s="112" t="s">
        <v>496</v>
      </c>
      <c r="D83" s="97">
        <v>2</v>
      </c>
      <c r="E83" s="97" t="s">
        <v>36</v>
      </c>
      <c r="F83" s="129">
        <f t="shared" si="17"/>
        <v>238</v>
      </c>
      <c r="G83" s="129">
        <f t="shared" si="18"/>
        <v>476</v>
      </c>
      <c r="M83" s="172">
        <f t="shared" si="15"/>
        <v>0</v>
      </c>
      <c r="N83" s="95">
        <v>200</v>
      </c>
      <c r="O83" s="95">
        <f t="shared" si="19"/>
        <v>1.19</v>
      </c>
      <c r="P83" s="95">
        <f t="shared" si="20"/>
        <v>238</v>
      </c>
      <c r="Q83" s="172">
        <f t="shared" si="16"/>
        <v>400</v>
      </c>
    </row>
    <row r="84" spans="1:17">
      <c r="A84" s="112">
        <v>15</v>
      </c>
      <c r="B84" s="112" t="s">
        <v>497</v>
      </c>
      <c r="C84" s="112" t="s">
        <v>498</v>
      </c>
      <c r="D84" s="97">
        <v>2</v>
      </c>
      <c r="E84" s="97" t="s">
        <v>36</v>
      </c>
      <c r="F84" s="129">
        <f t="shared" si="17"/>
        <v>416.5</v>
      </c>
      <c r="G84" s="129">
        <f t="shared" si="18"/>
        <v>833</v>
      </c>
      <c r="M84" s="172">
        <f t="shared" si="15"/>
        <v>0</v>
      </c>
      <c r="N84" s="95">
        <v>350</v>
      </c>
      <c r="O84" s="95">
        <f t="shared" si="19"/>
        <v>1.19</v>
      </c>
      <c r="P84" s="95">
        <f t="shared" si="20"/>
        <v>416.5</v>
      </c>
      <c r="Q84" s="172">
        <f t="shared" si="16"/>
        <v>700</v>
      </c>
    </row>
    <row r="85" spans="1:17">
      <c r="A85" s="112">
        <v>16</v>
      </c>
      <c r="B85" s="112" t="s">
        <v>367</v>
      </c>
      <c r="C85" s="112" t="s">
        <v>368</v>
      </c>
      <c r="D85" s="97">
        <v>2</v>
      </c>
      <c r="E85" s="97" t="s">
        <v>36</v>
      </c>
      <c r="F85" s="129">
        <f t="shared" si="17"/>
        <v>59.5</v>
      </c>
      <c r="G85" s="129">
        <f t="shared" si="18"/>
        <v>119</v>
      </c>
      <c r="M85" s="172">
        <f t="shared" si="15"/>
        <v>0</v>
      </c>
      <c r="N85" s="95">
        <v>50</v>
      </c>
      <c r="O85" s="95">
        <f t="shared" si="19"/>
        <v>1.19</v>
      </c>
      <c r="P85" s="95">
        <f t="shared" si="20"/>
        <v>59.5</v>
      </c>
      <c r="Q85" s="172">
        <f t="shared" si="16"/>
        <v>100</v>
      </c>
    </row>
    <row r="86" spans="1:17">
      <c r="A86" s="112">
        <v>17</v>
      </c>
      <c r="B86" s="112" t="s">
        <v>369</v>
      </c>
      <c r="C86" s="112" t="s">
        <v>370</v>
      </c>
      <c r="D86" s="97">
        <v>2</v>
      </c>
      <c r="E86" s="97" t="s">
        <v>36</v>
      </c>
      <c r="F86" s="129">
        <f t="shared" si="17"/>
        <v>34.51</v>
      </c>
      <c r="G86" s="129">
        <f t="shared" si="18"/>
        <v>69.02</v>
      </c>
      <c r="M86" s="172">
        <f t="shared" si="15"/>
        <v>0</v>
      </c>
      <c r="N86" s="95">
        <v>29</v>
      </c>
      <c r="O86" s="95">
        <f t="shared" si="19"/>
        <v>1.19</v>
      </c>
      <c r="P86" s="95">
        <f t="shared" si="20"/>
        <v>34.51</v>
      </c>
      <c r="Q86" s="172">
        <f t="shared" si="16"/>
        <v>58</v>
      </c>
    </row>
    <row r="87" spans="1:17">
      <c r="A87" s="112">
        <v>18</v>
      </c>
      <c r="B87" s="112" t="s">
        <v>499</v>
      </c>
      <c r="C87" s="112" t="s">
        <v>500</v>
      </c>
      <c r="D87" s="97">
        <v>80</v>
      </c>
      <c r="E87" s="97" t="s">
        <v>188</v>
      </c>
      <c r="F87" s="129">
        <f t="shared" si="17"/>
        <v>7.14</v>
      </c>
      <c r="G87" s="129">
        <f t="shared" si="18"/>
        <v>571.19999999999993</v>
      </c>
      <c r="M87" s="172">
        <f t="shared" si="15"/>
        <v>0</v>
      </c>
      <c r="N87" s="95">
        <v>6</v>
      </c>
      <c r="O87" s="95">
        <f t="shared" si="19"/>
        <v>1.19</v>
      </c>
      <c r="P87" s="95">
        <f t="shared" si="20"/>
        <v>7.14</v>
      </c>
      <c r="Q87" s="172">
        <f t="shared" si="16"/>
        <v>480</v>
      </c>
    </row>
    <row r="88" spans="1:17">
      <c r="A88" s="112">
        <v>19</v>
      </c>
      <c r="B88" s="112" t="s">
        <v>501</v>
      </c>
      <c r="C88" s="112" t="s">
        <v>502</v>
      </c>
      <c r="D88" s="97">
        <v>2</v>
      </c>
      <c r="E88" s="97" t="s">
        <v>36</v>
      </c>
      <c r="F88" s="129">
        <f t="shared" si="17"/>
        <v>80.92</v>
      </c>
      <c r="G88" s="129">
        <f t="shared" si="18"/>
        <v>161.84</v>
      </c>
      <c r="M88" s="172">
        <f t="shared" si="15"/>
        <v>0</v>
      </c>
      <c r="N88" s="95">
        <v>68</v>
      </c>
      <c r="O88" s="95">
        <f t="shared" si="19"/>
        <v>1.19</v>
      </c>
      <c r="P88" s="95">
        <f t="shared" si="20"/>
        <v>80.92</v>
      </c>
      <c r="Q88" s="172">
        <f t="shared" si="16"/>
        <v>136</v>
      </c>
    </row>
    <row r="89" spans="1:17">
      <c r="A89" s="112">
        <v>20</v>
      </c>
      <c r="B89" s="112" t="s">
        <v>503</v>
      </c>
      <c r="C89" s="112" t="s">
        <v>504</v>
      </c>
      <c r="D89" s="97">
        <v>80</v>
      </c>
      <c r="E89" s="97" t="s">
        <v>188</v>
      </c>
      <c r="F89" s="129">
        <f t="shared" si="17"/>
        <v>16.66</v>
      </c>
      <c r="G89" s="129">
        <f t="shared" si="18"/>
        <v>1332.8</v>
      </c>
      <c r="M89" s="172">
        <f t="shared" si="15"/>
        <v>0</v>
      </c>
      <c r="N89" s="95">
        <v>14</v>
      </c>
      <c r="O89" s="95">
        <f t="shared" si="19"/>
        <v>1.19</v>
      </c>
      <c r="P89" s="95">
        <f t="shared" si="20"/>
        <v>16.66</v>
      </c>
      <c r="Q89" s="172">
        <f t="shared" si="16"/>
        <v>1120</v>
      </c>
    </row>
    <row r="90" spans="1:17">
      <c r="A90" s="112">
        <v>21</v>
      </c>
      <c r="B90" s="112"/>
      <c r="C90" s="112" t="s">
        <v>439</v>
      </c>
      <c r="D90" s="97">
        <v>12</v>
      </c>
      <c r="E90" s="97" t="s">
        <v>323</v>
      </c>
      <c r="F90" s="129">
        <f t="shared" si="17"/>
        <v>416.5</v>
      </c>
      <c r="G90" s="129">
        <f t="shared" si="18"/>
        <v>4998</v>
      </c>
      <c r="M90" s="172">
        <f t="shared" si="15"/>
        <v>0</v>
      </c>
      <c r="N90" s="95">
        <v>350</v>
      </c>
      <c r="O90" s="95">
        <f t="shared" si="19"/>
        <v>1.19</v>
      </c>
      <c r="P90" s="95">
        <f t="shared" si="20"/>
        <v>416.5</v>
      </c>
      <c r="Q90" s="172">
        <f t="shared" si="16"/>
        <v>4200</v>
      </c>
    </row>
    <row r="91" spans="1:17">
      <c r="A91" s="112">
        <v>22</v>
      </c>
      <c r="B91" s="112"/>
      <c r="C91" s="112" t="s">
        <v>440</v>
      </c>
      <c r="D91" s="97">
        <v>12</v>
      </c>
      <c r="E91" s="97" t="s">
        <v>323</v>
      </c>
      <c r="F91" s="129">
        <f t="shared" si="17"/>
        <v>416.5</v>
      </c>
      <c r="G91" s="129">
        <f t="shared" si="18"/>
        <v>4998</v>
      </c>
      <c r="M91" s="172">
        <f t="shared" si="15"/>
        <v>0</v>
      </c>
      <c r="N91" s="95">
        <v>350</v>
      </c>
      <c r="O91" s="95">
        <f t="shared" si="19"/>
        <v>1.19</v>
      </c>
      <c r="P91" s="95">
        <f t="shared" si="20"/>
        <v>416.5</v>
      </c>
      <c r="Q91" s="172">
        <f t="shared" si="16"/>
        <v>4200</v>
      </c>
    </row>
    <row r="92" spans="1:17">
      <c r="A92" s="112">
        <v>23</v>
      </c>
      <c r="B92" s="112" t="s">
        <v>505</v>
      </c>
      <c r="C92" s="112" t="s">
        <v>506</v>
      </c>
      <c r="D92" s="97">
        <v>112</v>
      </c>
      <c r="E92" s="97" t="s">
        <v>188</v>
      </c>
      <c r="F92" s="129">
        <f t="shared" si="17"/>
        <v>21.419999999999998</v>
      </c>
      <c r="G92" s="129">
        <f t="shared" si="18"/>
        <v>2399.04</v>
      </c>
      <c r="M92" s="172">
        <f t="shared" si="15"/>
        <v>0</v>
      </c>
      <c r="N92" s="95">
        <v>18</v>
      </c>
      <c r="O92" s="95">
        <f t="shared" si="19"/>
        <v>1.19</v>
      </c>
      <c r="P92" s="95">
        <f t="shared" si="20"/>
        <v>21.419999999999998</v>
      </c>
      <c r="Q92" s="172">
        <f t="shared" si="16"/>
        <v>2016</v>
      </c>
    </row>
    <row r="93" spans="1:17">
      <c r="A93" s="112">
        <v>24</v>
      </c>
      <c r="B93" s="112" t="s">
        <v>507</v>
      </c>
      <c r="C93" s="112" t="s">
        <v>508</v>
      </c>
      <c r="D93" s="97">
        <v>32</v>
      </c>
      <c r="E93" s="97" t="s">
        <v>36</v>
      </c>
      <c r="F93" s="129">
        <f t="shared" si="17"/>
        <v>184.45</v>
      </c>
      <c r="G93" s="129">
        <f t="shared" si="18"/>
        <v>5902.4</v>
      </c>
      <c r="M93" s="172">
        <f t="shared" si="15"/>
        <v>0</v>
      </c>
      <c r="N93" s="95">
        <v>155</v>
      </c>
      <c r="O93" s="95">
        <f t="shared" si="19"/>
        <v>1.19</v>
      </c>
      <c r="P93" s="95">
        <f t="shared" si="20"/>
        <v>184.45</v>
      </c>
      <c r="Q93" s="172">
        <f t="shared" si="16"/>
        <v>4960</v>
      </c>
    </row>
    <row r="94" spans="1:17">
      <c r="A94" s="112">
        <v>25</v>
      </c>
      <c r="B94" s="112" t="s">
        <v>509</v>
      </c>
      <c r="C94" s="112" t="s">
        <v>510</v>
      </c>
      <c r="D94" s="97">
        <v>4</v>
      </c>
      <c r="E94" s="97" t="s">
        <v>36</v>
      </c>
      <c r="F94" s="129">
        <f t="shared" si="17"/>
        <v>17.849999999999998</v>
      </c>
      <c r="G94" s="129">
        <f t="shared" si="18"/>
        <v>71.399999999999991</v>
      </c>
      <c r="M94" s="172">
        <f t="shared" si="15"/>
        <v>0</v>
      </c>
      <c r="N94" s="95">
        <v>15</v>
      </c>
      <c r="O94" s="95">
        <f t="shared" si="19"/>
        <v>1.19</v>
      </c>
      <c r="P94" s="95">
        <f t="shared" si="20"/>
        <v>17.849999999999998</v>
      </c>
      <c r="Q94" s="172">
        <f t="shared" si="16"/>
        <v>60</v>
      </c>
    </row>
    <row r="95" spans="1:17">
      <c r="A95" s="112">
        <v>26</v>
      </c>
      <c r="B95" s="112" t="s">
        <v>511</v>
      </c>
      <c r="C95" s="112" t="s">
        <v>512</v>
      </c>
      <c r="D95" s="97">
        <v>4</v>
      </c>
      <c r="E95" s="97" t="s">
        <v>36</v>
      </c>
      <c r="F95" s="129">
        <f t="shared" si="17"/>
        <v>190.39999999999998</v>
      </c>
      <c r="G95" s="129">
        <f t="shared" si="18"/>
        <v>761.59999999999991</v>
      </c>
      <c r="M95" s="172">
        <f t="shared" si="15"/>
        <v>0</v>
      </c>
      <c r="N95" s="95">
        <v>160</v>
      </c>
      <c r="O95" s="95">
        <f t="shared" si="19"/>
        <v>1.19</v>
      </c>
      <c r="P95" s="95">
        <f t="shared" si="20"/>
        <v>190.39999999999998</v>
      </c>
      <c r="Q95" s="172">
        <f t="shared" si="16"/>
        <v>640</v>
      </c>
    </row>
    <row r="96" spans="1:17">
      <c r="A96" s="112">
        <v>27</v>
      </c>
      <c r="B96" s="112" t="s">
        <v>513</v>
      </c>
      <c r="C96" s="112" t="s">
        <v>514</v>
      </c>
      <c r="D96" s="97">
        <v>4</v>
      </c>
      <c r="E96" s="97" t="s">
        <v>36</v>
      </c>
      <c r="F96" s="129">
        <f t="shared" si="17"/>
        <v>113.05</v>
      </c>
      <c r="G96" s="129">
        <f t="shared" si="18"/>
        <v>452.2</v>
      </c>
      <c r="M96" s="172">
        <f t="shared" si="15"/>
        <v>0</v>
      </c>
      <c r="N96" s="95">
        <v>95</v>
      </c>
      <c r="O96" s="95">
        <f t="shared" si="19"/>
        <v>1.19</v>
      </c>
      <c r="P96" s="95">
        <f t="shared" si="20"/>
        <v>113.05</v>
      </c>
      <c r="Q96" s="172">
        <f t="shared" si="16"/>
        <v>380</v>
      </c>
    </row>
    <row r="97" spans="1:17">
      <c r="A97" s="112">
        <v>28</v>
      </c>
      <c r="B97" s="112" t="s">
        <v>515</v>
      </c>
      <c r="C97" s="112" t="s">
        <v>516</v>
      </c>
      <c r="D97" s="97">
        <v>16</v>
      </c>
      <c r="E97" s="97" t="s">
        <v>36</v>
      </c>
      <c r="F97" s="129">
        <f t="shared" si="17"/>
        <v>53.55</v>
      </c>
      <c r="G97" s="129">
        <f t="shared" si="18"/>
        <v>856.8</v>
      </c>
      <c r="M97" s="172">
        <f t="shared" si="15"/>
        <v>0</v>
      </c>
      <c r="N97" s="95">
        <v>45</v>
      </c>
      <c r="O97" s="95">
        <f t="shared" si="19"/>
        <v>1.19</v>
      </c>
      <c r="P97" s="95">
        <f t="shared" si="20"/>
        <v>53.55</v>
      </c>
      <c r="Q97" s="172">
        <f t="shared" si="16"/>
        <v>720</v>
      </c>
    </row>
    <row r="98" spans="1:17">
      <c r="A98" s="112">
        <v>29</v>
      </c>
      <c r="B98" s="112" t="s">
        <v>517</v>
      </c>
      <c r="C98" s="112" t="s">
        <v>518</v>
      </c>
      <c r="D98" s="97">
        <v>32</v>
      </c>
      <c r="E98" s="97" t="s">
        <v>36</v>
      </c>
      <c r="F98" s="129">
        <f t="shared" si="17"/>
        <v>47.599999999999994</v>
      </c>
      <c r="G98" s="129">
        <f t="shared" si="18"/>
        <v>1523.1999999999998</v>
      </c>
      <c r="M98" s="172">
        <f t="shared" si="15"/>
        <v>0</v>
      </c>
      <c r="N98" s="95">
        <v>40</v>
      </c>
      <c r="O98" s="95">
        <f t="shared" si="19"/>
        <v>1.19</v>
      </c>
      <c r="P98" s="95">
        <f t="shared" si="20"/>
        <v>47.599999999999994</v>
      </c>
      <c r="Q98" s="172">
        <f t="shared" si="16"/>
        <v>1280</v>
      </c>
    </row>
    <row r="99" spans="1:17">
      <c r="A99" s="112">
        <v>30</v>
      </c>
      <c r="B99" s="112" t="s">
        <v>519</v>
      </c>
      <c r="C99" s="112" t="s">
        <v>520</v>
      </c>
      <c r="D99" s="97">
        <v>4</v>
      </c>
      <c r="E99" s="97" t="s">
        <v>36</v>
      </c>
      <c r="F99" s="129">
        <f t="shared" si="17"/>
        <v>142.79999999999998</v>
      </c>
      <c r="G99" s="129">
        <f t="shared" si="18"/>
        <v>571.19999999999993</v>
      </c>
      <c r="M99" s="172">
        <f t="shared" si="15"/>
        <v>0</v>
      </c>
      <c r="N99" s="95">
        <v>120</v>
      </c>
      <c r="O99" s="95">
        <f t="shared" si="19"/>
        <v>1.19</v>
      </c>
      <c r="P99" s="95">
        <f t="shared" si="20"/>
        <v>142.79999999999998</v>
      </c>
      <c r="Q99" s="172">
        <f t="shared" si="16"/>
        <v>480</v>
      </c>
    </row>
    <row r="100" spans="1:17">
      <c r="A100" s="112">
        <v>31</v>
      </c>
      <c r="B100" s="112" t="s">
        <v>521</v>
      </c>
      <c r="C100" s="112" t="s">
        <v>522</v>
      </c>
      <c r="D100" s="97">
        <v>32</v>
      </c>
      <c r="E100" s="97" t="s">
        <v>36</v>
      </c>
      <c r="F100" s="129">
        <f t="shared" si="17"/>
        <v>32.129999999999995</v>
      </c>
      <c r="G100" s="129">
        <f t="shared" si="18"/>
        <v>1028.1599999999999</v>
      </c>
      <c r="M100" s="172">
        <f t="shared" si="15"/>
        <v>0</v>
      </c>
      <c r="N100" s="95">
        <v>27</v>
      </c>
      <c r="O100" s="95">
        <f t="shared" si="19"/>
        <v>1.19</v>
      </c>
      <c r="P100" s="95">
        <f t="shared" si="20"/>
        <v>32.129999999999995</v>
      </c>
      <c r="Q100" s="172">
        <f t="shared" si="16"/>
        <v>864</v>
      </c>
    </row>
    <row r="101" spans="1:17">
      <c r="A101" s="112">
        <v>32</v>
      </c>
      <c r="B101" s="112" t="s">
        <v>523</v>
      </c>
      <c r="C101" s="112" t="s">
        <v>524</v>
      </c>
      <c r="D101" s="97">
        <v>4</v>
      </c>
      <c r="E101" s="97" t="s">
        <v>36</v>
      </c>
      <c r="F101" s="129">
        <f t="shared" si="17"/>
        <v>113.05</v>
      </c>
      <c r="G101" s="129">
        <f t="shared" si="18"/>
        <v>452.2</v>
      </c>
      <c r="M101" s="172">
        <f t="shared" si="15"/>
        <v>0</v>
      </c>
      <c r="N101" s="95">
        <v>95</v>
      </c>
      <c r="O101" s="95">
        <f t="shared" si="19"/>
        <v>1.19</v>
      </c>
      <c r="P101" s="95">
        <f t="shared" si="20"/>
        <v>113.05</v>
      </c>
      <c r="Q101" s="172">
        <f t="shared" si="16"/>
        <v>380</v>
      </c>
    </row>
    <row r="102" spans="1:17">
      <c r="A102" s="112">
        <v>33</v>
      </c>
      <c r="B102" s="112" t="s">
        <v>525</v>
      </c>
      <c r="C102" s="112" t="s">
        <v>526</v>
      </c>
      <c r="D102" s="97">
        <v>16</v>
      </c>
      <c r="E102" s="97" t="s">
        <v>36</v>
      </c>
      <c r="F102" s="129">
        <f t="shared" si="17"/>
        <v>148.75</v>
      </c>
      <c r="G102" s="129">
        <f t="shared" si="18"/>
        <v>2380</v>
      </c>
      <c r="M102" s="172">
        <f t="shared" si="15"/>
        <v>0</v>
      </c>
      <c r="N102" s="95">
        <v>125</v>
      </c>
      <c r="O102" s="95">
        <f t="shared" si="19"/>
        <v>1.19</v>
      </c>
      <c r="P102" s="95">
        <f t="shared" si="20"/>
        <v>148.75</v>
      </c>
      <c r="Q102" s="172">
        <f t="shared" si="16"/>
        <v>2000</v>
      </c>
    </row>
    <row r="103" spans="1:17">
      <c r="A103" s="112">
        <v>34</v>
      </c>
      <c r="B103" s="112"/>
      <c r="C103" s="112" t="s">
        <v>527</v>
      </c>
      <c r="D103" s="97">
        <v>2</v>
      </c>
      <c r="E103" s="97" t="s">
        <v>36</v>
      </c>
      <c r="F103" s="129">
        <f t="shared" si="17"/>
        <v>1011.5</v>
      </c>
      <c r="G103" s="129">
        <f t="shared" si="18"/>
        <v>2023</v>
      </c>
      <c r="M103" s="172">
        <f t="shared" si="15"/>
        <v>0</v>
      </c>
      <c r="N103" s="95">
        <v>850</v>
      </c>
      <c r="O103" s="95">
        <f t="shared" si="19"/>
        <v>1.19</v>
      </c>
      <c r="P103" s="95">
        <f t="shared" si="20"/>
        <v>1011.5</v>
      </c>
      <c r="Q103" s="172">
        <f t="shared" si="16"/>
        <v>1700</v>
      </c>
    </row>
    <row r="104" spans="1:17">
      <c r="A104" s="112">
        <v>35</v>
      </c>
      <c r="B104" s="112"/>
      <c r="C104" s="112" t="s">
        <v>528</v>
      </c>
      <c r="D104" s="97">
        <v>2</v>
      </c>
      <c r="E104" s="97" t="s">
        <v>36</v>
      </c>
      <c r="F104" s="129">
        <f t="shared" si="17"/>
        <v>178.5</v>
      </c>
      <c r="G104" s="129">
        <f t="shared" si="18"/>
        <v>357</v>
      </c>
      <c r="M104" s="172">
        <f t="shared" si="15"/>
        <v>0</v>
      </c>
      <c r="N104" s="95">
        <v>150</v>
      </c>
      <c r="O104" s="95">
        <f t="shared" si="19"/>
        <v>1.19</v>
      </c>
      <c r="P104" s="95">
        <f t="shared" si="20"/>
        <v>178.5</v>
      </c>
      <c r="Q104" s="172">
        <f t="shared" si="16"/>
        <v>300</v>
      </c>
    </row>
    <row r="105" spans="1:17">
      <c r="A105" s="29"/>
      <c r="B105" s="29"/>
      <c r="C105" s="115" t="s">
        <v>366</v>
      </c>
      <c r="D105" s="116"/>
      <c r="E105" s="105"/>
      <c r="F105" s="130"/>
      <c r="G105" s="130">
        <f>SUM(G70:G104)</f>
        <v>184256.03</v>
      </c>
      <c r="M105" s="172">
        <f t="shared" si="15"/>
        <v>0</v>
      </c>
      <c r="Q105" s="172">
        <f t="shared" si="16"/>
        <v>0</v>
      </c>
    </row>
    <row r="106" spans="1:17">
      <c r="D106" s="31"/>
      <c r="E106" s="31"/>
      <c r="M106" s="172">
        <f t="shared" si="15"/>
        <v>0</v>
      </c>
      <c r="Q106" s="172">
        <f t="shared" si="16"/>
        <v>0</v>
      </c>
    </row>
    <row r="107" spans="1:17" ht="15.45">
      <c r="C107" s="110" t="s">
        <v>529</v>
      </c>
      <c r="D107" s="31"/>
      <c r="E107" s="31"/>
      <c r="M107" s="172">
        <f t="shared" si="15"/>
        <v>0</v>
      </c>
      <c r="Q107" s="172">
        <f t="shared" si="16"/>
        <v>0</v>
      </c>
    </row>
    <row r="108" spans="1:17">
      <c r="A108" s="111" t="s">
        <v>362</v>
      </c>
      <c r="B108" s="111" t="s">
        <v>363</v>
      </c>
      <c r="C108" s="111" t="s">
        <v>364</v>
      </c>
      <c r="D108" s="106"/>
      <c r="E108" s="106" t="s">
        <v>18</v>
      </c>
      <c r="F108" s="128" t="s">
        <v>365</v>
      </c>
      <c r="G108" s="128" t="s">
        <v>366</v>
      </c>
      <c r="M108" s="172">
        <f t="shared" si="15"/>
        <v>0</v>
      </c>
      <c r="Q108" s="172">
        <f t="shared" si="16"/>
        <v>0</v>
      </c>
    </row>
    <row r="109" spans="1:17">
      <c r="A109" s="112">
        <v>1</v>
      </c>
      <c r="B109" s="112" t="s">
        <v>530</v>
      </c>
      <c r="C109" s="156" t="s">
        <v>531</v>
      </c>
      <c r="D109" s="177">
        <v>4875</v>
      </c>
      <c r="E109" s="177" t="s">
        <v>188</v>
      </c>
      <c r="F109" s="178">
        <f t="shared" ref="F109:F138" si="21">L109+P109</f>
        <v>11.3764</v>
      </c>
      <c r="G109" s="178">
        <f t="shared" ref="G109:G138" si="22">D109*F109</f>
        <v>55459.950000000004</v>
      </c>
      <c r="I109" s="179">
        <f>1000*F109</f>
        <v>11376.4</v>
      </c>
      <c r="J109" s="104">
        <v>9.56</v>
      </c>
      <c r="K109" s="93">
        <f t="shared" ref="K109:K118" si="23">$K$1</f>
        <v>1.19</v>
      </c>
      <c r="L109" s="93">
        <f t="shared" ref="L109:L138" si="24">K109*J109</f>
        <v>11.3764</v>
      </c>
      <c r="M109" s="172">
        <f t="shared" si="15"/>
        <v>46605</v>
      </c>
      <c r="Q109" s="172">
        <f t="shared" si="16"/>
        <v>0</v>
      </c>
    </row>
    <row r="110" spans="1:17">
      <c r="A110" s="112">
        <v>2</v>
      </c>
      <c r="B110" s="112" t="s">
        <v>532</v>
      </c>
      <c r="C110" s="112" t="s">
        <v>533</v>
      </c>
      <c r="D110" s="97">
        <v>33</v>
      </c>
      <c r="E110" s="97" t="s">
        <v>36</v>
      </c>
      <c r="F110" s="129">
        <f t="shared" si="21"/>
        <v>25.227999999999998</v>
      </c>
      <c r="G110" s="129">
        <f t="shared" si="22"/>
        <v>832.52399999999989</v>
      </c>
      <c r="J110" s="104">
        <v>21.2</v>
      </c>
      <c r="K110" s="93">
        <f t="shared" si="23"/>
        <v>1.19</v>
      </c>
      <c r="L110" s="93">
        <f t="shared" si="24"/>
        <v>25.227999999999998</v>
      </c>
      <c r="M110" s="172">
        <f t="shared" si="15"/>
        <v>699.6</v>
      </c>
      <c r="Q110" s="172">
        <f t="shared" si="16"/>
        <v>0</v>
      </c>
    </row>
    <row r="111" spans="1:17">
      <c r="A111" s="112">
        <v>3</v>
      </c>
      <c r="B111" s="112" t="s">
        <v>534</v>
      </c>
      <c r="C111" s="156" t="s">
        <v>535</v>
      </c>
      <c r="D111" s="97">
        <v>66</v>
      </c>
      <c r="E111" s="97" t="s">
        <v>36</v>
      </c>
      <c r="F111" s="129">
        <f t="shared" si="21"/>
        <v>64.498000000000005</v>
      </c>
      <c r="G111" s="129">
        <f t="shared" si="22"/>
        <v>4256.8680000000004</v>
      </c>
      <c r="J111" s="104">
        <v>54.2</v>
      </c>
      <c r="K111" s="93">
        <f t="shared" si="23"/>
        <v>1.19</v>
      </c>
      <c r="L111" s="93">
        <f t="shared" si="24"/>
        <v>64.498000000000005</v>
      </c>
      <c r="M111" s="172">
        <f t="shared" si="15"/>
        <v>3577.2000000000003</v>
      </c>
      <c r="Q111" s="172">
        <f t="shared" si="16"/>
        <v>0</v>
      </c>
    </row>
    <row r="112" spans="1:17">
      <c r="A112" s="112">
        <v>4</v>
      </c>
      <c r="B112" s="112" t="s">
        <v>536</v>
      </c>
      <c r="C112" s="112" t="s">
        <v>537</v>
      </c>
      <c r="D112" s="97">
        <v>3</v>
      </c>
      <c r="E112" s="97" t="s">
        <v>36</v>
      </c>
      <c r="F112" s="129">
        <f t="shared" si="21"/>
        <v>312.96999999999997</v>
      </c>
      <c r="G112" s="129">
        <f t="shared" si="22"/>
        <v>938.90999999999985</v>
      </c>
      <c r="J112" s="104">
        <v>263</v>
      </c>
      <c r="K112" s="93">
        <f t="shared" si="23"/>
        <v>1.19</v>
      </c>
      <c r="L112" s="93">
        <f t="shared" si="24"/>
        <v>312.96999999999997</v>
      </c>
      <c r="M112" s="172">
        <f t="shared" si="15"/>
        <v>789</v>
      </c>
      <c r="Q112" s="172">
        <f t="shared" si="16"/>
        <v>0</v>
      </c>
    </row>
    <row r="113" spans="1:17">
      <c r="A113" s="112">
        <v>5</v>
      </c>
      <c r="B113" s="112" t="s">
        <v>538</v>
      </c>
      <c r="C113" s="112" t="s">
        <v>539</v>
      </c>
      <c r="D113" s="97">
        <v>0</v>
      </c>
      <c r="E113" s="97" t="s">
        <v>36</v>
      </c>
      <c r="F113" s="129">
        <f t="shared" si="21"/>
        <v>335.58</v>
      </c>
      <c r="G113" s="129">
        <f t="shared" si="22"/>
        <v>0</v>
      </c>
      <c r="J113" s="104">
        <v>282</v>
      </c>
      <c r="K113" s="93">
        <f t="shared" si="23"/>
        <v>1.19</v>
      </c>
      <c r="L113" s="93">
        <f t="shared" si="24"/>
        <v>335.58</v>
      </c>
      <c r="M113" s="172">
        <f t="shared" si="15"/>
        <v>0</v>
      </c>
      <c r="Q113" s="172">
        <f t="shared" si="16"/>
        <v>0</v>
      </c>
    </row>
    <row r="114" spans="1:17">
      <c r="A114" s="112">
        <v>6</v>
      </c>
      <c r="B114" s="112" t="s">
        <v>540</v>
      </c>
      <c r="C114" s="112" t="s">
        <v>541</v>
      </c>
      <c r="D114" s="97">
        <v>22</v>
      </c>
      <c r="E114" s="97" t="s">
        <v>36</v>
      </c>
      <c r="F114" s="129">
        <f t="shared" si="21"/>
        <v>59.738</v>
      </c>
      <c r="G114" s="129">
        <f t="shared" si="22"/>
        <v>1314.2359999999999</v>
      </c>
      <c r="J114" s="104">
        <v>50.2</v>
      </c>
      <c r="K114" s="93">
        <f t="shared" si="23"/>
        <v>1.19</v>
      </c>
      <c r="L114" s="93">
        <f t="shared" si="24"/>
        <v>59.738</v>
      </c>
      <c r="M114" s="172">
        <f t="shared" si="15"/>
        <v>1104.4000000000001</v>
      </c>
      <c r="Q114" s="172">
        <f t="shared" si="16"/>
        <v>0</v>
      </c>
    </row>
    <row r="115" spans="1:17">
      <c r="A115" s="112">
        <v>7</v>
      </c>
      <c r="B115" s="112" t="s">
        <v>542</v>
      </c>
      <c r="C115" s="112" t="s">
        <v>543</v>
      </c>
      <c r="D115" s="97">
        <v>3</v>
      </c>
      <c r="E115" s="97" t="s">
        <v>36</v>
      </c>
      <c r="F115" s="129">
        <f t="shared" si="21"/>
        <v>89.25</v>
      </c>
      <c r="G115" s="129">
        <f t="shared" si="22"/>
        <v>267.75</v>
      </c>
      <c r="J115" s="104">
        <v>75</v>
      </c>
      <c r="K115" s="93">
        <f t="shared" si="23"/>
        <v>1.19</v>
      </c>
      <c r="L115" s="93">
        <f t="shared" si="24"/>
        <v>89.25</v>
      </c>
      <c r="M115" s="172">
        <f t="shared" si="15"/>
        <v>225</v>
      </c>
      <c r="Q115" s="172">
        <f t="shared" si="16"/>
        <v>0</v>
      </c>
    </row>
    <row r="116" spans="1:17">
      <c r="A116" s="112">
        <v>8</v>
      </c>
      <c r="B116" s="112" t="s">
        <v>544</v>
      </c>
      <c r="C116" s="112" t="s">
        <v>545</v>
      </c>
      <c r="D116" s="97">
        <v>0</v>
      </c>
      <c r="E116" s="97" t="s">
        <v>36</v>
      </c>
      <c r="F116" s="129">
        <f t="shared" si="21"/>
        <v>111.86</v>
      </c>
      <c r="G116" s="129">
        <f t="shared" si="22"/>
        <v>0</v>
      </c>
      <c r="J116" s="104">
        <v>94</v>
      </c>
      <c r="K116" s="93">
        <f t="shared" si="23"/>
        <v>1.19</v>
      </c>
      <c r="L116" s="93">
        <f t="shared" si="24"/>
        <v>111.86</v>
      </c>
      <c r="M116" s="172">
        <f t="shared" si="15"/>
        <v>0</v>
      </c>
      <c r="Q116" s="172">
        <f t="shared" si="16"/>
        <v>0</v>
      </c>
    </row>
    <row r="117" spans="1:17">
      <c r="A117" s="112">
        <v>9</v>
      </c>
      <c r="B117" s="112" t="s">
        <v>546</v>
      </c>
      <c r="C117" s="112" t="s">
        <v>547</v>
      </c>
      <c r="D117" s="97">
        <v>22</v>
      </c>
      <c r="E117" s="97" t="s">
        <v>36</v>
      </c>
      <c r="F117" s="129">
        <f t="shared" si="21"/>
        <v>21.777000000000001</v>
      </c>
      <c r="G117" s="129">
        <f t="shared" si="22"/>
        <v>479.09400000000005</v>
      </c>
      <c r="J117" s="104">
        <v>18.3</v>
      </c>
      <c r="K117" s="93">
        <f t="shared" si="23"/>
        <v>1.19</v>
      </c>
      <c r="L117" s="93">
        <f t="shared" si="24"/>
        <v>21.777000000000001</v>
      </c>
      <c r="M117" s="172">
        <f t="shared" si="15"/>
        <v>402.6</v>
      </c>
      <c r="Q117" s="172">
        <f t="shared" si="16"/>
        <v>0</v>
      </c>
    </row>
    <row r="118" spans="1:17">
      <c r="A118" s="112">
        <v>10</v>
      </c>
      <c r="B118" s="112" t="s">
        <v>548</v>
      </c>
      <c r="C118" s="112" t="s">
        <v>549</v>
      </c>
      <c r="D118" s="97">
        <v>16</v>
      </c>
      <c r="E118" s="97" t="s">
        <v>36</v>
      </c>
      <c r="F118" s="129">
        <f t="shared" si="21"/>
        <v>63.783999999999999</v>
      </c>
      <c r="G118" s="129">
        <f t="shared" si="22"/>
        <v>1020.544</v>
      </c>
      <c r="J118" s="104">
        <v>53.6</v>
      </c>
      <c r="K118" s="93">
        <f t="shared" si="23"/>
        <v>1.19</v>
      </c>
      <c r="L118" s="93">
        <f t="shared" si="24"/>
        <v>63.783999999999999</v>
      </c>
      <c r="M118" s="172">
        <f t="shared" si="15"/>
        <v>857.6</v>
      </c>
      <c r="Q118" s="172">
        <f t="shared" si="16"/>
        <v>0</v>
      </c>
    </row>
    <row r="119" spans="1:17">
      <c r="A119" s="112">
        <v>11</v>
      </c>
      <c r="B119" s="112" t="s">
        <v>550</v>
      </c>
      <c r="C119" s="158" t="s">
        <v>551</v>
      </c>
      <c r="D119" s="97">
        <v>5</v>
      </c>
      <c r="E119" s="97" t="s">
        <v>36</v>
      </c>
      <c r="F119" s="129">
        <f t="shared" si="21"/>
        <v>2598.3999999999996</v>
      </c>
      <c r="G119" s="129">
        <f t="shared" si="22"/>
        <v>12991.999999999998</v>
      </c>
      <c r="J119" s="104">
        <v>1856</v>
      </c>
      <c r="K119" s="93">
        <v>1.4</v>
      </c>
      <c r="L119" s="93">
        <f t="shared" si="24"/>
        <v>2598.3999999999996</v>
      </c>
      <c r="M119" s="172">
        <f t="shared" si="15"/>
        <v>9280</v>
      </c>
      <c r="Q119" s="172">
        <f t="shared" si="16"/>
        <v>0</v>
      </c>
    </row>
    <row r="120" spans="1:17">
      <c r="A120" s="112">
        <v>12</v>
      </c>
      <c r="B120" s="112" t="s">
        <v>552</v>
      </c>
      <c r="C120" s="156" t="s">
        <v>553</v>
      </c>
      <c r="D120" s="97">
        <v>1</v>
      </c>
      <c r="E120" s="97" t="s">
        <v>36</v>
      </c>
      <c r="F120" s="129">
        <f t="shared" si="21"/>
        <v>5196.7999999999993</v>
      </c>
      <c r="G120" s="129">
        <f t="shared" si="22"/>
        <v>5196.7999999999993</v>
      </c>
      <c r="J120" s="104">
        <f>J119*2</f>
        <v>3712</v>
      </c>
      <c r="K120" s="93">
        <v>1.4</v>
      </c>
      <c r="L120" s="93">
        <f t="shared" si="24"/>
        <v>5196.7999999999993</v>
      </c>
      <c r="M120" s="172">
        <f t="shared" si="15"/>
        <v>3712</v>
      </c>
      <c r="Q120" s="172">
        <f t="shared" si="16"/>
        <v>0</v>
      </c>
    </row>
    <row r="121" spans="1:17">
      <c r="A121" s="112">
        <v>13</v>
      </c>
      <c r="B121" s="112" t="s">
        <v>554</v>
      </c>
      <c r="C121" s="156" t="s">
        <v>555</v>
      </c>
      <c r="D121" s="97">
        <v>8</v>
      </c>
      <c r="E121" s="97" t="s">
        <v>36</v>
      </c>
      <c r="F121" s="129">
        <f t="shared" si="21"/>
        <v>204.67999999999998</v>
      </c>
      <c r="G121" s="129">
        <f t="shared" si="22"/>
        <v>1637.4399999999998</v>
      </c>
      <c r="J121" s="104">
        <v>172</v>
      </c>
      <c r="K121" s="93">
        <f>$K$1</f>
        <v>1.19</v>
      </c>
      <c r="L121" s="93">
        <f t="shared" si="24"/>
        <v>204.67999999999998</v>
      </c>
      <c r="M121" s="172">
        <f t="shared" si="15"/>
        <v>1376</v>
      </c>
      <c r="Q121" s="172">
        <f t="shared" si="16"/>
        <v>0</v>
      </c>
    </row>
    <row r="122" spans="1:17">
      <c r="A122" s="112">
        <v>14</v>
      </c>
      <c r="B122" s="112" t="s">
        <v>556</v>
      </c>
      <c r="C122" s="156" t="s">
        <v>557</v>
      </c>
      <c r="D122" s="97">
        <v>2</v>
      </c>
      <c r="E122" s="97" t="s">
        <v>36</v>
      </c>
      <c r="F122" s="129">
        <f t="shared" si="21"/>
        <v>434.34999999999997</v>
      </c>
      <c r="G122" s="129">
        <f t="shared" si="22"/>
        <v>868.69999999999993</v>
      </c>
      <c r="J122" s="104">
        <v>365</v>
      </c>
      <c r="K122" s="93">
        <f>$K$1</f>
        <v>1.19</v>
      </c>
      <c r="L122" s="93">
        <f t="shared" si="24"/>
        <v>434.34999999999997</v>
      </c>
      <c r="M122" s="172">
        <f t="shared" si="15"/>
        <v>730</v>
      </c>
      <c r="Q122" s="172">
        <f t="shared" si="16"/>
        <v>0</v>
      </c>
    </row>
    <row r="123" spans="1:17">
      <c r="A123" s="112">
        <v>15</v>
      </c>
      <c r="B123" s="112" t="s">
        <v>558</v>
      </c>
      <c r="C123" s="156" t="s">
        <v>559</v>
      </c>
      <c r="D123" s="97">
        <v>1</v>
      </c>
      <c r="E123" s="97" t="s">
        <v>36</v>
      </c>
      <c r="F123" s="129">
        <f t="shared" si="21"/>
        <v>3652.6</v>
      </c>
      <c r="G123" s="129">
        <f t="shared" si="22"/>
        <v>3652.6</v>
      </c>
      <c r="J123" s="104">
        <v>2609</v>
      </c>
      <c r="K123" s="93">
        <v>1.4</v>
      </c>
      <c r="L123" s="93">
        <f t="shared" si="24"/>
        <v>3652.6</v>
      </c>
      <c r="M123" s="172">
        <f t="shared" si="15"/>
        <v>2609</v>
      </c>
      <c r="Q123" s="172">
        <f t="shared" si="16"/>
        <v>0</v>
      </c>
    </row>
    <row r="124" spans="1:17">
      <c r="A124" s="112">
        <v>16</v>
      </c>
      <c r="B124" s="112" t="s">
        <v>560</v>
      </c>
      <c r="C124" s="156" t="s">
        <v>561</v>
      </c>
      <c r="D124" s="97">
        <v>4</v>
      </c>
      <c r="E124" s="97" t="s">
        <v>36</v>
      </c>
      <c r="F124" s="129">
        <f t="shared" si="21"/>
        <v>589.04999999999995</v>
      </c>
      <c r="G124" s="129">
        <f t="shared" si="22"/>
        <v>2356.1999999999998</v>
      </c>
      <c r="J124" s="104">
        <v>495</v>
      </c>
      <c r="K124" s="93">
        <f>$K$1</f>
        <v>1.19</v>
      </c>
      <c r="L124" s="93">
        <f t="shared" si="24"/>
        <v>589.04999999999995</v>
      </c>
      <c r="M124" s="172">
        <f t="shared" si="15"/>
        <v>1980</v>
      </c>
      <c r="Q124" s="172">
        <f t="shared" si="16"/>
        <v>0</v>
      </c>
    </row>
    <row r="125" spans="1:17">
      <c r="A125" s="112">
        <v>17</v>
      </c>
      <c r="B125" s="112"/>
      <c r="C125" s="156" t="s">
        <v>562</v>
      </c>
      <c r="D125" s="97">
        <v>1</v>
      </c>
      <c r="E125" s="97" t="s">
        <v>36</v>
      </c>
      <c r="F125" s="129">
        <f t="shared" si="21"/>
        <v>11131.4</v>
      </c>
      <c r="G125" s="129">
        <f t="shared" si="22"/>
        <v>11131.4</v>
      </c>
      <c r="J125" s="104">
        <v>7951</v>
      </c>
      <c r="K125" s="93">
        <v>1.4</v>
      </c>
      <c r="L125" s="93">
        <f t="shared" si="24"/>
        <v>11131.4</v>
      </c>
      <c r="M125" s="172">
        <f t="shared" si="15"/>
        <v>7951</v>
      </c>
      <c r="Q125" s="172">
        <f t="shared" si="16"/>
        <v>0</v>
      </c>
    </row>
    <row r="126" spans="1:17">
      <c r="A126" s="112">
        <v>18</v>
      </c>
      <c r="B126" s="112"/>
      <c r="C126" s="156" t="s">
        <v>563</v>
      </c>
      <c r="D126" s="97">
        <v>2</v>
      </c>
      <c r="E126" s="97" t="s">
        <v>36</v>
      </c>
      <c r="F126" s="129">
        <f t="shared" si="21"/>
        <v>9174.1999999999989</v>
      </c>
      <c r="G126" s="129">
        <f t="shared" si="22"/>
        <v>18348.399999999998</v>
      </c>
      <c r="J126" s="104">
        <v>6553</v>
      </c>
      <c r="K126" s="93">
        <v>1.4</v>
      </c>
      <c r="L126" s="93">
        <f t="shared" si="24"/>
        <v>9174.1999999999989</v>
      </c>
      <c r="M126" s="172">
        <f t="shared" si="15"/>
        <v>13106</v>
      </c>
      <c r="Q126" s="172">
        <f t="shared" si="16"/>
        <v>0</v>
      </c>
    </row>
    <row r="127" spans="1:17">
      <c r="A127" s="112">
        <v>19</v>
      </c>
      <c r="B127" s="112"/>
      <c r="C127" s="156" t="s">
        <v>564</v>
      </c>
      <c r="D127" s="97">
        <v>268</v>
      </c>
      <c r="E127" s="97" t="s">
        <v>188</v>
      </c>
      <c r="F127" s="129">
        <f t="shared" si="21"/>
        <v>45.22</v>
      </c>
      <c r="G127" s="129">
        <f t="shared" si="22"/>
        <v>12118.96</v>
      </c>
      <c r="J127" s="104">
        <v>38</v>
      </c>
      <c r="K127" s="93">
        <f t="shared" ref="K127:K138" si="25">$K$1</f>
        <v>1.19</v>
      </c>
      <c r="L127" s="93">
        <f t="shared" si="24"/>
        <v>45.22</v>
      </c>
      <c r="M127" s="172">
        <f t="shared" si="15"/>
        <v>10184</v>
      </c>
      <c r="Q127" s="172">
        <f t="shared" si="16"/>
        <v>0</v>
      </c>
    </row>
    <row r="128" spans="1:17">
      <c r="A128" s="112">
        <v>20</v>
      </c>
      <c r="B128" s="112" t="s">
        <v>565</v>
      </c>
      <c r="C128" s="156" t="s">
        <v>566</v>
      </c>
      <c r="D128" s="97">
        <v>4</v>
      </c>
      <c r="E128" s="97" t="s">
        <v>36</v>
      </c>
      <c r="F128" s="129">
        <f t="shared" si="21"/>
        <v>708.05</v>
      </c>
      <c r="G128" s="129">
        <f t="shared" si="22"/>
        <v>2832.2</v>
      </c>
      <c r="J128" s="104">
        <v>595</v>
      </c>
      <c r="K128" s="93">
        <f t="shared" si="25"/>
        <v>1.19</v>
      </c>
      <c r="L128" s="93">
        <f t="shared" si="24"/>
        <v>708.05</v>
      </c>
      <c r="M128" s="172">
        <f t="shared" si="15"/>
        <v>2380</v>
      </c>
      <c r="Q128" s="172">
        <f t="shared" si="16"/>
        <v>0</v>
      </c>
    </row>
    <row r="129" spans="1:17">
      <c r="A129" s="112">
        <v>21</v>
      </c>
      <c r="B129" s="112" t="s">
        <v>567</v>
      </c>
      <c r="C129" s="156" t="s">
        <v>568</v>
      </c>
      <c r="D129" s="97">
        <v>4</v>
      </c>
      <c r="E129" s="97" t="s">
        <v>36</v>
      </c>
      <c r="F129" s="129">
        <f t="shared" si="21"/>
        <v>273.7</v>
      </c>
      <c r="G129" s="129">
        <f t="shared" si="22"/>
        <v>1094.8</v>
      </c>
      <c r="J129" s="104">
        <v>230</v>
      </c>
      <c r="K129" s="93">
        <f t="shared" si="25"/>
        <v>1.19</v>
      </c>
      <c r="L129" s="93">
        <f t="shared" si="24"/>
        <v>273.7</v>
      </c>
      <c r="M129" s="172">
        <f t="shared" si="15"/>
        <v>920</v>
      </c>
      <c r="Q129" s="172">
        <f t="shared" si="16"/>
        <v>0</v>
      </c>
    </row>
    <row r="130" spans="1:17">
      <c r="A130" s="112">
        <v>22</v>
      </c>
      <c r="B130" s="112" t="s">
        <v>569</v>
      </c>
      <c r="C130" s="156" t="s">
        <v>570</v>
      </c>
      <c r="D130" s="97">
        <v>16</v>
      </c>
      <c r="E130" s="97" t="s">
        <v>36</v>
      </c>
      <c r="F130" s="129">
        <f t="shared" si="21"/>
        <v>19.159000000000002</v>
      </c>
      <c r="G130" s="129">
        <f t="shared" si="22"/>
        <v>306.54400000000004</v>
      </c>
      <c r="J130" s="104">
        <v>16.100000000000001</v>
      </c>
      <c r="K130" s="93">
        <f t="shared" si="25"/>
        <v>1.19</v>
      </c>
      <c r="L130" s="93">
        <f t="shared" si="24"/>
        <v>19.159000000000002</v>
      </c>
      <c r="M130" s="172">
        <f t="shared" si="15"/>
        <v>257.60000000000002</v>
      </c>
      <c r="Q130" s="172">
        <f t="shared" si="16"/>
        <v>0</v>
      </c>
    </row>
    <row r="131" spans="1:17">
      <c r="A131" s="112">
        <v>23</v>
      </c>
      <c r="B131" s="112" t="s">
        <v>571</v>
      </c>
      <c r="C131" s="156" t="s">
        <v>572</v>
      </c>
      <c r="D131" s="97">
        <v>32</v>
      </c>
      <c r="E131" s="97" t="s">
        <v>36</v>
      </c>
      <c r="F131" s="129">
        <f t="shared" si="21"/>
        <v>16.183999999999997</v>
      </c>
      <c r="G131" s="129">
        <f t="shared" si="22"/>
        <v>517.88799999999992</v>
      </c>
      <c r="J131" s="104">
        <v>13.6</v>
      </c>
      <c r="K131" s="93">
        <f t="shared" si="25"/>
        <v>1.19</v>
      </c>
      <c r="L131" s="93">
        <f t="shared" si="24"/>
        <v>16.183999999999997</v>
      </c>
      <c r="M131" s="172">
        <f t="shared" si="15"/>
        <v>435.2</v>
      </c>
      <c r="Q131" s="172">
        <f t="shared" si="16"/>
        <v>0</v>
      </c>
    </row>
    <row r="132" spans="1:17">
      <c r="A132" s="112">
        <v>24</v>
      </c>
      <c r="B132" s="112"/>
      <c r="C132" s="156" t="s">
        <v>573</v>
      </c>
      <c r="D132" s="97">
        <v>32</v>
      </c>
      <c r="E132" s="97" t="s">
        <v>36</v>
      </c>
      <c r="F132" s="129">
        <f t="shared" si="21"/>
        <v>38.08</v>
      </c>
      <c r="G132" s="129">
        <f t="shared" si="22"/>
        <v>1218.56</v>
      </c>
      <c r="J132" s="104">
        <v>32</v>
      </c>
      <c r="K132" s="93">
        <f t="shared" si="25"/>
        <v>1.19</v>
      </c>
      <c r="L132" s="93">
        <f t="shared" si="24"/>
        <v>38.08</v>
      </c>
      <c r="M132" s="172">
        <f t="shared" si="15"/>
        <v>1024</v>
      </c>
      <c r="Q132" s="172">
        <f t="shared" si="16"/>
        <v>0</v>
      </c>
    </row>
    <row r="133" spans="1:17">
      <c r="A133" s="112">
        <v>25</v>
      </c>
      <c r="B133" s="112"/>
      <c r="C133" s="156" t="s">
        <v>574</v>
      </c>
      <c r="D133" s="97">
        <v>16</v>
      </c>
      <c r="E133" s="97" t="s">
        <v>36</v>
      </c>
      <c r="F133" s="129">
        <f t="shared" si="21"/>
        <v>145.89399999999998</v>
      </c>
      <c r="G133" s="129">
        <f t="shared" si="22"/>
        <v>2334.3039999999996</v>
      </c>
      <c r="J133" s="104">
        <v>122.6</v>
      </c>
      <c r="K133" s="93">
        <f t="shared" si="25"/>
        <v>1.19</v>
      </c>
      <c r="L133" s="93">
        <f t="shared" si="24"/>
        <v>145.89399999999998</v>
      </c>
      <c r="M133" s="172">
        <f t="shared" ref="M133:M196" si="26">SUM(J133*D133)</f>
        <v>1961.6</v>
      </c>
      <c r="Q133" s="172">
        <f t="shared" ref="Q133:Q196" si="27">SUM(N133*D133)</f>
        <v>0</v>
      </c>
    </row>
    <row r="134" spans="1:17">
      <c r="A134" s="112">
        <v>26</v>
      </c>
      <c r="B134" s="112" t="s">
        <v>575</v>
      </c>
      <c r="C134" s="112" t="s">
        <v>576</v>
      </c>
      <c r="D134" s="97">
        <v>32</v>
      </c>
      <c r="E134" s="97" t="s">
        <v>36</v>
      </c>
      <c r="F134" s="129">
        <f t="shared" si="21"/>
        <v>2.9749999999999996</v>
      </c>
      <c r="G134" s="129">
        <f t="shared" si="22"/>
        <v>95.199999999999989</v>
      </c>
      <c r="J134" s="104">
        <v>2.5</v>
      </c>
      <c r="K134" s="93">
        <f t="shared" si="25"/>
        <v>1.19</v>
      </c>
      <c r="L134" s="93">
        <f t="shared" si="24"/>
        <v>2.9749999999999996</v>
      </c>
      <c r="M134" s="172">
        <f t="shared" si="26"/>
        <v>80</v>
      </c>
      <c r="Q134" s="172">
        <f t="shared" si="27"/>
        <v>0</v>
      </c>
    </row>
    <row r="135" spans="1:17">
      <c r="A135" s="112">
        <v>27</v>
      </c>
      <c r="B135" s="112" t="s">
        <v>577</v>
      </c>
      <c r="C135" s="112" t="s">
        <v>578</v>
      </c>
      <c r="D135" s="97">
        <v>4</v>
      </c>
      <c r="E135" s="97" t="s">
        <v>36</v>
      </c>
      <c r="F135" s="129">
        <f t="shared" si="21"/>
        <v>659.26</v>
      </c>
      <c r="G135" s="129">
        <f t="shared" si="22"/>
        <v>2637.04</v>
      </c>
      <c r="J135" s="104">
        <v>554</v>
      </c>
      <c r="K135" s="93">
        <f t="shared" si="25"/>
        <v>1.19</v>
      </c>
      <c r="L135" s="93">
        <f t="shared" si="24"/>
        <v>659.26</v>
      </c>
      <c r="M135" s="172">
        <f t="shared" si="26"/>
        <v>2216</v>
      </c>
      <c r="Q135" s="172">
        <f t="shared" si="27"/>
        <v>0</v>
      </c>
    </row>
    <row r="136" spans="1:17">
      <c r="A136" s="112">
        <v>28</v>
      </c>
      <c r="B136" s="112" t="s">
        <v>579</v>
      </c>
      <c r="C136" s="112" t="s">
        <v>580</v>
      </c>
      <c r="D136" s="97">
        <v>4</v>
      </c>
      <c r="E136" s="97" t="s">
        <v>36</v>
      </c>
      <c r="F136" s="129">
        <f t="shared" si="21"/>
        <v>89.25</v>
      </c>
      <c r="G136" s="129">
        <f t="shared" si="22"/>
        <v>357</v>
      </c>
      <c r="J136" s="104">
        <v>75</v>
      </c>
      <c r="K136" s="93">
        <f t="shared" si="25"/>
        <v>1.19</v>
      </c>
      <c r="L136" s="93">
        <f t="shared" si="24"/>
        <v>89.25</v>
      </c>
      <c r="M136" s="172">
        <f t="shared" si="26"/>
        <v>300</v>
      </c>
      <c r="Q136" s="172">
        <f t="shared" si="27"/>
        <v>0</v>
      </c>
    </row>
    <row r="137" spans="1:17">
      <c r="A137" s="112">
        <v>29</v>
      </c>
      <c r="B137" s="112" t="s">
        <v>581</v>
      </c>
      <c r="C137" s="112" t="s">
        <v>582</v>
      </c>
      <c r="D137" s="97">
        <v>8</v>
      </c>
      <c r="E137" s="97" t="s">
        <v>36</v>
      </c>
      <c r="F137" s="129">
        <f t="shared" si="21"/>
        <v>17.849999999999998</v>
      </c>
      <c r="G137" s="129">
        <f t="shared" si="22"/>
        <v>142.79999999999998</v>
      </c>
      <c r="J137" s="104">
        <v>15</v>
      </c>
      <c r="K137" s="93">
        <f t="shared" si="25"/>
        <v>1.19</v>
      </c>
      <c r="L137" s="93">
        <f t="shared" si="24"/>
        <v>17.849999999999998</v>
      </c>
      <c r="M137" s="172">
        <f t="shared" si="26"/>
        <v>120</v>
      </c>
      <c r="Q137" s="172">
        <f t="shared" si="27"/>
        <v>0</v>
      </c>
    </row>
    <row r="138" spans="1:17" ht="47.15">
      <c r="A138" s="112">
        <v>30</v>
      </c>
      <c r="B138" s="112"/>
      <c r="C138" s="157" t="s">
        <v>583</v>
      </c>
      <c r="D138" s="97">
        <v>2</v>
      </c>
      <c r="E138" s="97" t="s">
        <v>36</v>
      </c>
      <c r="F138" s="129">
        <f t="shared" si="21"/>
        <v>5533.5</v>
      </c>
      <c r="G138" s="129">
        <f t="shared" si="22"/>
        <v>11067</v>
      </c>
      <c r="J138" s="104">
        <v>4650</v>
      </c>
      <c r="K138" s="93">
        <f t="shared" si="25"/>
        <v>1.19</v>
      </c>
      <c r="L138" s="93">
        <f t="shared" si="24"/>
        <v>5533.5</v>
      </c>
      <c r="M138" s="172">
        <f t="shared" si="26"/>
        <v>9300</v>
      </c>
      <c r="Q138" s="172">
        <f t="shared" si="27"/>
        <v>0</v>
      </c>
    </row>
    <row r="139" spans="1:17">
      <c r="A139" s="29"/>
      <c r="B139" s="29"/>
      <c r="C139" s="115" t="s">
        <v>366</v>
      </c>
      <c r="D139" s="116"/>
      <c r="E139" s="105"/>
      <c r="F139" s="130"/>
      <c r="G139" s="130">
        <f>SUM(G109:G138)</f>
        <v>155475.712</v>
      </c>
      <c r="M139" s="172">
        <f t="shared" si="26"/>
        <v>0</v>
      </c>
      <c r="Q139" s="172">
        <f t="shared" si="27"/>
        <v>0</v>
      </c>
    </row>
    <row r="140" spans="1:17">
      <c r="D140" s="31"/>
      <c r="E140" s="31"/>
      <c r="M140" s="172">
        <f t="shared" si="26"/>
        <v>0</v>
      </c>
      <c r="Q140" s="172">
        <f t="shared" si="27"/>
        <v>0</v>
      </c>
    </row>
    <row r="141" spans="1:17" ht="15.45">
      <c r="C141" s="110" t="s">
        <v>584</v>
      </c>
      <c r="D141" s="31"/>
      <c r="E141" s="31"/>
      <c r="M141" s="172">
        <f t="shared" si="26"/>
        <v>0</v>
      </c>
      <c r="Q141" s="172">
        <f t="shared" si="27"/>
        <v>0</v>
      </c>
    </row>
    <row r="142" spans="1:17">
      <c r="A142" s="111" t="s">
        <v>362</v>
      </c>
      <c r="B142" s="111" t="s">
        <v>363</v>
      </c>
      <c r="C142" s="111" t="s">
        <v>364</v>
      </c>
      <c r="D142" s="106"/>
      <c r="E142" s="106" t="s">
        <v>18</v>
      </c>
      <c r="F142" s="128" t="s">
        <v>365</v>
      </c>
      <c r="G142" s="128" t="s">
        <v>366</v>
      </c>
      <c r="M142" s="172">
        <f t="shared" si="26"/>
        <v>0</v>
      </c>
      <c r="Q142" s="172">
        <f t="shared" si="27"/>
        <v>0</v>
      </c>
    </row>
    <row r="143" spans="1:17">
      <c r="A143" s="112">
        <v>1</v>
      </c>
      <c r="B143" s="112"/>
      <c r="C143" s="112" t="s">
        <v>439</v>
      </c>
      <c r="D143" s="97">
        <v>4</v>
      </c>
      <c r="E143" s="97" t="s">
        <v>323</v>
      </c>
      <c r="F143" s="129">
        <f t="shared" ref="F143:F156" si="28">L143+P143</f>
        <v>535.5</v>
      </c>
      <c r="G143" s="129">
        <f t="shared" ref="G143:G156" si="29">D143*F143</f>
        <v>2142</v>
      </c>
      <c r="M143" s="172">
        <f t="shared" si="26"/>
        <v>0</v>
      </c>
      <c r="N143" s="95">
        <v>450</v>
      </c>
      <c r="O143" s="95">
        <f t="shared" ref="O143:O156" si="30">$O$1</f>
        <v>1.19</v>
      </c>
      <c r="P143" s="95">
        <f t="shared" ref="P143:P156" si="31">O143*N143</f>
        <v>535.5</v>
      </c>
      <c r="Q143" s="172">
        <f t="shared" si="27"/>
        <v>1800</v>
      </c>
    </row>
    <row r="144" spans="1:17">
      <c r="A144" s="112">
        <v>2</v>
      </c>
      <c r="B144" s="112"/>
      <c r="C144" s="112" t="s">
        <v>440</v>
      </c>
      <c r="D144" s="97">
        <v>4</v>
      </c>
      <c r="E144" s="97" t="s">
        <v>323</v>
      </c>
      <c r="F144" s="129">
        <f t="shared" si="28"/>
        <v>535.5</v>
      </c>
      <c r="G144" s="129">
        <f t="shared" si="29"/>
        <v>2142</v>
      </c>
      <c r="M144" s="172">
        <f t="shared" si="26"/>
        <v>0</v>
      </c>
      <c r="N144" s="95">
        <v>450</v>
      </c>
      <c r="O144" s="95">
        <f t="shared" si="30"/>
        <v>1.19</v>
      </c>
      <c r="P144" s="95">
        <f t="shared" si="31"/>
        <v>535.5</v>
      </c>
      <c r="Q144" s="172">
        <f t="shared" si="27"/>
        <v>1800</v>
      </c>
    </row>
    <row r="145" spans="1:17">
      <c r="A145" s="112">
        <v>3</v>
      </c>
      <c r="B145" s="112" t="s">
        <v>585</v>
      </c>
      <c r="C145" s="112" t="s">
        <v>586</v>
      </c>
      <c r="D145" s="97">
        <v>11</v>
      </c>
      <c r="E145" s="97" t="s">
        <v>36</v>
      </c>
      <c r="F145" s="129">
        <f t="shared" si="28"/>
        <v>142.79999999999998</v>
      </c>
      <c r="G145" s="129">
        <f t="shared" si="29"/>
        <v>1570.7999999999997</v>
      </c>
      <c r="M145" s="172">
        <f t="shared" si="26"/>
        <v>0</v>
      </c>
      <c r="N145" s="95">
        <v>120</v>
      </c>
      <c r="O145" s="95">
        <f t="shared" si="30"/>
        <v>1.19</v>
      </c>
      <c r="P145" s="95">
        <f t="shared" si="31"/>
        <v>142.79999999999998</v>
      </c>
      <c r="Q145" s="172">
        <f t="shared" si="27"/>
        <v>1320</v>
      </c>
    </row>
    <row r="146" spans="1:17">
      <c r="A146" s="112">
        <v>4</v>
      </c>
      <c r="B146" s="112" t="s">
        <v>587</v>
      </c>
      <c r="C146" s="112" t="s">
        <v>588</v>
      </c>
      <c r="D146" s="97">
        <v>11</v>
      </c>
      <c r="E146" s="97" t="s">
        <v>36</v>
      </c>
      <c r="F146" s="129">
        <f t="shared" si="28"/>
        <v>190.39999999999998</v>
      </c>
      <c r="G146" s="129">
        <f t="shared" si="29"/>
        <v>2094.3999999999996</v>
      </c>
      <c r="M146" s="172">
        <f t="shared" si="26"/>
        <v>0</v>
      </c>
      <c r="N146" s="95">
        <v>160</v>
      </c>
      <c r="O146" s="95">
        <f t="shared" si="30"/>
        <v>1.19</v>
      </c>
      <c r="P146" s="95">
        <f t="shared" si="31"/>
        <v>190.39999999999998</v>
      </c>
      <c r="Q146" s="172">
        <f t="shared" si="27"/>
        <v>1760</v>
      </c>
    </row>
    <row r="147" spans="1:17">
      <c r="A147" s="112">
        <v>5</v>
      </c>
      <c r="B147" s="112" t="s">
        <v>589</v>
      </c>
      <c r="C147" s="112" t="s">
        <v>590</v>
      </c>
      <c r="D147" s="97">
        <v>11</v>
      </c>
      <c r="E147" s="97" t="s">
        <v>36</v>
      </c>
      <c r="F147" s="129">
        <f t="shared" si="28"/>
        <v>261.8</v>
      </c>
      <c r="G147" s="129">
        <f t="shared" si="29"/>
        <v>2879.8</v>
      </c>
      <c r="M147" s="172">
        <f t="shared" si="26"/>
        <v>0</v>
      </c>
      <c r="N147" s="95">
        <v>220</v>
      </c>
      <c r="O147" s="95">
        <f t="shared" si="30"/>
        <v>1.19</v>
      </c>
      <c r="P147" s="95">
        <f t="shared" si="31"/>
        <v>261.8</v>
      </c>
      <c r="Q147" s="172">
        <f t="shared" si="27"/>
        <v>2420</v>
      </c>
    </row>
    <row r="148" spans="1:17">
      <c r="A148" s="112">
        <v>6</v>
      </c>
      <c r="B148" s="112" t="s">
        <v>591</v>
      </c>
      <c r="C148" s="112" t="s">
        <v>592</v>
      </c>
      <c r="D148" s="97">
        <v>11</v>
      </c>
      <c r="E148" s="97" t="s">
        <v>36</v>
      </c>
      <c r="F148" s="129">
        <f t="shared" si="28"/>
        <v>178.5</v>
      </c>
      <c r="G148" s="129">
        <f t="shared" si="29"/>
        <v>1963.5</v>
      </c>
      <c r="M148" s="172">
        <f t="shared" si="26"/>
        <v>0</v>
      </c>
      <c r="N148" s="95">
        <v>150</v>
      </c>
      <c r="O148" s="95">
        <f t="shared" si="30"/>
        <v>1.19</v>
      </c>
      <c r="P148" s="95">
        <f t="shared" si="31"/>
        <v>178.5</v>
      </c>
      <c r="Q148" s="172">
        <f t="shared" si="27"/>
        <v>1650</v>
      </c>
    </row>
    <row r="149" spans="1:17">
      <c r="A149" s="112">
        <v>7</v>
      </c>
      <c r="B149" s="112" t="s">
        <v>593</v>
      </c>
      <c r="C149" s="112" t="s">
        <v>594</v>
      </c>
      <c r="D149" s="97">
        <v>11</v>
      </c>
      <c r="E149" s="97" t="s">
        <v>36</v>
      </c>
      <c r="F149" s="129">
        <f t="shared" si="28"/>
        <v>71.399999999999991</v>
      </c>
      <c r="G149" s="129">
        <f t="shared" si="29"/>
        <v>785.39999999999986</v>
      </c>
      <c r="M149" s="172">
        <f t="shared" si="26"/>
        <v>0</v>
      </c>
      <c r="N149" s="95">
        <v>60</v>
      </c>
      <c r="O149" s="95">
        <f t="shared" si="30"/>
        <v>1.19</v>
      </c>
      <c r="P149" s="95">
        <f t="shared" si="31"/>
        <v>71.399999999999991</v>
      </c>
      <c r="Q149" s="172">
        <f t="shared" si="27"/>
        <v>660</v>
      </c>
    </row>
    <row r="150" spans="1:17">
      <c r="A150" s="112">
        <v>8</v>
      </c>
      <c r="B150" s="112" t="s">
        <v>595</v>
      </c>
      <c r="C150" s="112" t="s">
        <v>596</v>
      </c>
      <c r="D150" s="97">
        <v>1</v>
      </c>
      <c r="E150" s="97" t="s">
        <v>36</v>
      </c>
      <c r="F150" s="129">
        <f t="shared" si="28"/>
        <v>1023.4</v>
      </c>
      <c r="G150" s="129">
        <f t="shared" si="29"/>
        <v>1023.4</v>
      </c>
      <c r="M150" s="172">
        <f t="shared" si="26"/>
        <v>0</v>
      </c>
      <c r="N150" s="95">
        <v>860</v>
      </c>
      <c r="O150" s="95">
        <f t="shared" si="30"/>
        <v>1.19</v>
      </c>
      <c r="P150" s="95">
        <f t="shared" si="31"/>
        <v>1023.4</v>
      </c>
      <c r="Q150" s="172">
        <f t="shared" si="27"/>
        <v>860</v>
      </c>
    </row>
    <row r="151" spans="1:17">
      <c r="A151" s="112">
        <v>9</v>
      </c>
      <c r="B151" s="112" t="s">
        <v>597</v>
      </c>
      <c r="C151" s="112" t="s">
        <v>598</v>
      </c>
      <c r="D151" s="97">
        <v>1</v>
      </c>
      <c r="E151" s="97" t="s">
        <v>36</v>
      </c>
      <c r="F151" s="129">
        <f t="shared" si="28"/>
        <v>7735</v>
      </c>
      <c r="G151" s="129">
        <f t="shared" si="29"/>
        <v>7735</v>
      </c>
      <c r="M151" s="172">
        <f t="shared" si="26"/>
        <v>0</v>
      </c>
      <c r="N151" s="95">
        <v>6500</v>
      </c>
      <c r="O151" s="95">
        <f t="shared" si="30"/>
        <v>1.19</v>
      </c>
      <c r="P151" s="95">
        <f t="shared" si="31"/>
        <v>7735</v>
      </c>
      <c r="Q151" s="172">
        <f t="shared" si="27"/>
        <v>6500</v>
      </c>
    </row>
    <row r="152" spans="1:17">
      <c r="A152" s="112">
        <v>10</v>
      </c>
      <c r="B152" s="112"/>
      <c r="C152" s="112" t="s">
        <v>599</v>
      </c>
      <c r="D152" s="97">
        <v>1</v>
      </c>
      <c r="E152" s="97" t="s">
        <v>332</v>
      </c>
      <c r="F152" s="129">
        <f t="shared" si="28"/>
        <v>1130.5</v>
      </c>
      <c r="G152" s="129">
        <f t="shared" si="29"/>
        <v>1130.5</v>
      </c>
      <c r="M152" s="172">
        <f t="shared" si="26"/>
        <v>0</v>
      </c>
      <c r="N152" s="95">
        <v>950</v>
      </c>
      <c r="O152" s="95">
        <f t="shared" si="30"/>
        <v>1.19</v>
      </c>
      <c r="P152" s="95">
        <f t="shared" si="31"/>
        <v>1130.5</v>
      </c>
      <c r="Q152" s="172">
        <f t="shared" si="27"/>
        <v>950</v>
      </c>
    </row>
    <row r="153" spans="1:17">
      <c r="A153" s="112">
        <v>11</v>
      </c>
      <c r="B153" s="112"/>
      <c r="C153" s="112" t="s">
        <v>600</v>
      </c>
      <c r="D153" s="97">
        <v>1</v>
      </c>
      <c r="E153" s="97" t="s">
        <v>332</v>
      </c>
      <c r="F153" s="129">
        <f t="shared" si="28"/>
        <v>1975.3999999999999</v>
      </c>
      <c r="G153" s="129">
        <f t="shared" si="29"/>
        <v>1975.3999999999999</v>
      </c>
      <c r="M153" s="172">
        <f t="shared" si="26"/>
        <v>0</v>
      </c>
      <c r="N153" s="95">
        <v>1660</v>
      </c>
      <c r="O153" s="95">
        <f t="shared" si="30"/>
        <v>1.19</v>
      </c>
      <c r="P153" s="95">
        <f t="shared" si="31"/>
        <v>1975.3999999999999</v>
      </c>
      <c r="Q153" s="172">
        <f t="shared" si="27"/>
        <v>1660</v>
      </c>
    </row>
    <row r="154" spans="1:17">
      <c r="A154" s="112">
        <v>12</v>
      </c>
      <c r="B154" s="112" t="s">
        <v>497</v>
      </c>
      <c r="C154" s="112" t="s">
        <v>498</v>
      </c>
      <c r="D154" s="97">
        <v>3</v>
      </c>
      <c r="E154" s="97" t="s">
        <v>36</v>
      </c>
      <c r="F154" s="129">
        <f t="shared" si="28"/>
        <v>1011.5</v>
      </c>
      <c r="G154" s="129">
        <f t="shared" si="29"/>
        <v>3034.5</v>
      </c>
      <c r="M154" s="172">
        <f t="shared" si="26"/>
        <v>0</v>
      </c>
      <c r="N154" s="95">
        <v>850</v>
      </c>
      <c r="O154" s="95">
        <f t="shared" si="30"/>
        <v>1.19</v>
      </c>
      <c r="P154" s="95">
        <f t="shared" si="31"/>
        <v>1011.5</v>
      </c>
      <c r="Q154" s="172">
        <f t="shared" si="27"/>
        <v>2550</v>
      </c>
    </row>
    <row r="155" spans="1:17">
      <c r="A155" s="112">
        <v>13</v>
      </c>
      <c r="B155" s="112" t="s">
        <v>601</v>
      </c>
      <c r="C155" s="112" t="s">
        <v>602</v>
      </c>
      <c r="D155" s="97">
        <v>3</v>
      </c>
      <c r="E155" s="97" t="s">
        <v>36</v>
      </c>
      <c r="F155" s="129">
        <f t="shared" si="28"/>
        <v>535.5</v>
      </c>
      <c r="G155" s="129">
        <f t="shared" si="29"/>
        <v>1606.5</v>
      </c>
      <c r="M155" s="172">
        <f t="shared" si="26"/>
        <v>0</v>
      </c>
      <c r="N155" s="95">
        <v>450</v>
      </c>
      <c r="O155" s="95">
        <f t="shared" si="30"/>
        <v>1.19</v>
      </c>
      <c r="P155" s="95">
        <f t="shared" si="31"/>
        <v>535.5</v>
      </c>
      <c r="Q155" s="172">
        <f t="shared" si="27"/>
        <v>1350</v>
      </c>
    </row>
    <row r="156" spans="1:17">
      <c r="A156" s="112">
        <v>14</v>
      </c>
      <c r="B156" s="112" t="s">
        <v>603</v>
      </c>
      <c r="C156" s="112" t="s">
        <v>604</v>
      </c>
      <c r="D156" s="97">
        <v>3</v>
      </c>
      <c r="E156" s="97" t="s">
        <v>605</v>
      </c>
      <c r="F156" s="129">
        <f t="shared" si="28"/>
        <v>1309</v>
      </c>
      <c r="G156" s="129">
        <f t="shared" si="29"/>
        <v>3927</v>
      </c>
      <c r="M156" s="172">
        <f t="shared" si="26"/>
        <v>0</v>
      </c>
      <c r="N156" s="95">
        <v>1100</v>
      </c>
      <c r="O156" s="95">
        <f t="shared" si="30"/>
        <v>1.19</v>
      </c>
      <c r="P156" s="95">
        <f t="shared" si="31"/>
        <v>1309</v>
      </c>
      <c r="Q156" s="172">
        <f t="shared" si="27"/>
        <v>3300</v>
      </c>
    </row>
    <row r="157" spans="1:17">
      <c r="A157" s="29"/>
      <c r="B157" s="29"/>
      <c r="C157" s="115" t="s">
        <v>366</v>
      </c>
      <c r="D157" s="116"/>
      <c r="E157" s="105"/>
      <c r="F157" s="130"/>
      <c r="G157" s="130">
        <f>SUM(G143:G156)</f>
        <v>34010.199999999997</v>
      </c>
      <c r="M157" s="172">
        <f t="shared" si="26"/>
        <v>0</v>
      </c>
      <c r="Q157" s="172">
        <f t="shared" si="27"/>
        <v>0</v>
      </c>
    </row>
    <row r="158" spans="1:17">
      <c r="D158" s="31"/>
      <c r="E158" s="31"/>
      <c r="M158" s="172">
        <f t="shared" si="26"/>
        <v>0</v>
      </c>
      <c r="Q158" s="172">
        <f t="shared" si="27"/>
        <v>0</v>
      </c>
    </row>
    <row r="159" spans="1:17" ht="15.45">
      <c r="C159" s="110" t="s">
        <v>606</v>
      </c>
      <c r="D159" s="31"/>
      <c r="E159" s="31"/>
      <c r="M159" s="172">
        <f t="shared" si="26"/>
        <v>0</v>
      </c>
      <c r="Q159" s="172">
        <f t="shared" si="27"/>
        <v>0</v>
      </c>
    </row>
    <row r="160" spans="1:17">
      <c r="A160" s="111" t="s">
        <v>362</v>
      </c>
      <c r="B160" s="111" t="s">
        <v>363</v>
      </c>
      <c r="C160" s="111" t="s">
        <v>364</v>
      </c>
      <c r="D160" s="106"/>
      <c r="E160" s="106" t="s">
        <v>18</v>
      </c>
      <c r="F160" s="128" t="s">
        <v>365</v>
      </c>
      <c r="G160" s="128" t="s">
        <v>366</v>
      </c>
      <c r="M160" s="172">
        <f t="shared" si="26"/>
        <v>0</v>
      </c>
      <c r="Q160" s="172">
        <f t="shared" si="27"/>
        <v>0</v>
      </c>
    </row>
    <row r="161" spans="1:17">
      <c r="A161" s="112">
        <v>1</v>
      </c>
      <c r="B161" s="112" t="s">
        <v>607</v>
      </c>
      <c r="C161" s="112" t="s">
        <v>608</v>
      </c>
      <c r="D161" s="97">
        <v>0</v>
      </c>
      <c r="E161" s="97" t="s">
        <v>36</v>
      </c>
      <c r="F161" s="129">
        <f t="shared" ref="F161:F172" si="32">L161+P161</f>
        <v>4717.16</v>
      </c>
      <c r="G161" s="129">
        <f t="shared" ref="G161:G172" si="33">D161*F161</f>
        <v>0</v>
      </c>
      <c r="J161" s="104">
        <v>3964</v>
      </c>
      <c r="K161" s="93">
        <f t="shared" ref="K161:K172" si="34">$K$1</f>
        <v>1.19</v>
      </c>
      <c r="L161" s="93">
        <f t="shared" ref="L161:L172" si="35">K161*J161</f>
        <v>4717.16</v>
      </c>
      <c r="M161" s="172">
        <f t="shared" si="26"/>
        <v>0</v>
      </c>
      <c r="Q161" s="172">
        <f t="shared" si="27"/>
        <v>0</v>
      </c>
    </row>
    <row r="162" spans="1:17" ht="16.5" customHeight="1">
      <c r="A162" s="112">
        <v>2</v>
      </c>
      <c r="B162" s="112" t="s">
        <v>609</v>
      </c>
      <c r="C162" s="120" t="s">
        <v>610</v>
      </c>
      <c r="D162" s="97">
        <v>10</v>
      </c>
      <c r="E162" s="97" t="s">
        <v>36</v>
      </c>
      <c r="F162" s="129">
        <f t="shared" si="32"/>
        <v>5331.2</v>
      </c>
      <c r="G162" s="129">
        <f t="shared" si="33"/>
        <v>53312</v>
      </c>
      <c r="J162" s="104">
        <v>4480</v>
      </c>
      <c r="K162" s="93">
        <f t="shared" si="34"/>
        <v>1.19</v>
      </c>
      <c r="L162" s="93">
        <f t="shared" si="35"/>
        <v>5331.2</v>
      </c>
      <c r="M162" s="172">
        <f t="shared" si="26"/>
        <v>44800</v>
      </c>
      <c r="Q162" s="172">
        <f t="shared" si="27"/>
        <v>0</v>
      </c>
    </row>
    <row r="163" spans="1:17" ht="15.75" customHeight="1">
      <c r="A163" s="112">
        <v>3</v>
      </c>
      <c r="B163" s="112" t="s">
        <v>611</v>
      </c>
      <c r="C163" s="120" t="s">
        <v>612</v>
      </c>
      <c r="D163" s="97">
        <v>1</v>
      </c>
      <c r="E163" s="97" t="s">
        <v>36</v>
      </c>
      <c r="F163" s="129">
        <f t="shared" si="32"/>
        <v>9235.59</v>
      </c>
      <c r="G163" s="129">
        <f t="shared" si="33"/>
        <v>9235.59</v>
      </c>
      <c r="J163" s="104">
        <v>7761</v>
      </c>
      <c r="K163" s="93">
        <f t="shared" si="34"/>
        <v>1.19</v>
      </c>
      <c r="L163" s="93">
        <f t="shared" si="35"/>
        <v>9235.59</v>
      </c>
      <c r="M163" s="172">
        <f t="shared" si="26"/>
        <v>7761</v>
      </c>
      <c r="Q163" s="172">
        <f t="shared" si="27"/>
        <v>0</v>
      </c>
    </row>
    <row r="164" spans="1:17">
      <c r="A164" s="112">
        <v>4</v>
      </c>
      <c r="B164" s="112" t="s">
        <v>613</v>
      </c>
      <c r="C164" s="112" t="s">
        <v>614</v>
      </c>
      <c r="D164" s="97">
        <v>2</v>
      </c>
      <c r="E164" s="97" t="s">
        <v>36</v>
      </c>
      <c r="F164" s="129">
        <f t="shared" si="32"/>
        <v>2737</v>
      </c>
      <c r="G164" s="129">
        <f t="shared" si="33"/>
        <v>5474</v>
      </c>
      <c r="J164" s="104">
        <v>2300</v>
      </c>
      <c r="K164" s="93">
        <f t="shared" si="34"/>
        <v>1.19</v>
      </c>
      <c r="L164" s="93">
        <f t="shared" si="35"/>
        <v>2737</v>
      </c>
      <c r="M164" s="172">
        <f t="shared" si="26"/>
        <v>4600</v>
      </c>
      <c r="Q164" s="172">
        <f t="shared" si="27"/>
        <v>0</v>
      </c>
    </row>
    <row r="165" spans="1:17">
      <c r="A165" s="112">
        <v>5</v>
      </c>
      <c r="B165" s="112" t="s">
        <v>615</v>
      </c>
      <c r="C165" s="112" t="s">
        <v>616</v>
      </c>
      <c r="D165" s="97">
        <v>1</v>
      </c>
      <c r="E165" s="97" t="s">
        <v>36</v>
      </c>
      <c r="F165" s="129">
        <f t="shared" si="32"/>
        <v>43653.96</v>
      </c>
      <c r="G165" s="129">
        <f t="shared" si="33"/>
        <v>43653.96</v>
      </c>
      <c r="J165" s="104">
        <v>36684</v>
      </c>
      <c r="K165" s="93">
        <f t="shared" si="34"/>
        <v>1.19</v>
      </c>
      <c r="L165" s="93">
        <f t="shared" si="35"/>
        <v>43653.96</v>
      </c>
      <c r="M165" s="172">
        <f t="shared" si="26"/>
        <v>36684</v>
      </c>
      <c r="Q165" s="172">
        <f t="shared" si="27"/>
        <v>0</v>
      </c>
    </row>
    <row r="166" spans="1:17">
      <c r="A166" s="112">
        <v>6</v>
      </c>
      <c r="B166" s="112" t="s">
        <v>617</v>
      </c>
      <c r="C166" s="112" t="s">
        <v>618</v>
      </c>
      <c r="D166" s="97">
        <v>1</v>
      </c>
      <c r="E166" s="97" t="s">
        <v>36</v>
      </c>
      <c r="F166" s="129">
        <f t="shared" si="32"/>
        <v>2975</v>
      </c>
      <c r="G166" s="129">
        <f t="shared" si="33"/>
        <v>2975</v>
      </c>
      <c r="J166" s="104">
        <v>2500</v>
      </c>
      <c r="K166" s="93">
        <f t="shared" si="34"/>
        <v>1.19</v>
      </c>
      <c r="L166" s="93">
        <f t="shared" si="35"/>
        <v>2975</v>
      </c>
      <c r="M166" s="172">
        <f t="shared" si="26"/>
        <v>2500</v>
      </c>
      <c r="Q166" s="172">
        <f t="shared" si="27"/>
        <v>0</v>
      </c>
    </row>
    <row r="167" spans="1:17" ht="26.25" customHeight="1">
      <c r="A167" s="112">
        <v>7</v>
      </c>
      <c r="B167" s="120" t="s">
        <v>619</v>
      </c>
      <c r="C167" s="120" t="s">
        <v>620</v>
      </c>
      <c r="D167" s="97">
        <v>3</v>
      </c>
      <c r="E167" s="97" t="s">
        <v>36</v>
      </c>
      <c r="F167" s="129">
        <f t="shared" si="32"/>
        <v>11840.5</v>
      </c>
      <c r="G167" s="134">
        <f t="shared" si="33"/>
        <v>35521.5</v>
      </c>
      <c r="J167" s="104">
        <v>9950</v>
      </c>
      <c r="K167" s="93">
        <f t="shared" si="34"/>
        <v>1.19</v>
      </c>
      <c r="L167" s="93">
        <f t="shared" si="35"/>
        <v>11840.5</v>
      </c>
      <c r="M167" s="172">
        <f t="shared" si="26"/>
        <v>29850</v>
      </c>
      <c r="Q167" s="172">
        <f t="shared" si="27"/>
        <v>0</v>
      </c>
    </row>
    <row r="168" spans="1:17">
      <c r="A168" s="112">
        <v>8</v>
      </c>
      <c r="B168" s="112"/>
      <c r="C168" s="112" t="s">
        <v>621</v>
      </c>
      <c r="D168" s="97">
        <v>11</v>
      </c>
      <c r="E168" s="97" t="s">
        <v>36</v>
      </c>
      <c r="F168" s="129">
        <f t="shared" si="32"/>
        <v>53.55</v>
      </c>
      <c r="G168" s="129">
        <f t="shared" si="33"/>
        <v>589.04999999999995</v>
      </c>
      <c r="J168" s="104">
        <v>45</v>
      </c>
      <c r="K168" s="93">
        <f t="shared" si="34"/>
        <v>1.19</v>
      </c>
      <c r="L168" s="93">
        <f t="shared" si="35"/>
        <v>53.55</v>
      </c>
      <c r="M168" s="172">
        <f t="shared" si="26"/>
        <v>495</v>
      </c>
      <c r="Q168" s="172">
        <f t="shared" si="27"/>
        <v>0</v>
      </c>
    </row>
    <row r="169" spans="1:17">
      <c r="A169" s="112">
        <v>9</v>
      </c>
      <c r="B169" s="112"/>
      <c r="C169" s="112" t="s">
        <v>622</v>
      </c>
      <c r="D169" s="97">
        <v>11</v>
      </c>
      <c r="E169" s="97" t="s">
        <v>36</v>
      </c>
      <c r="F169" s="129">
        <f t="shared" si="32"/>
        <v>53.55</v>
      </c>
      <c r="G169" s="129">
        <f t="shared" si="33"/>
        <v>589.04999999999995</v>
      </c>
      <c r="J169" s="104">
        <v>45</v>
      </c>
      <c r="K169" s="93">
        <f t="shared" si="34"/>
        <v>1.19</v>
      </c>
      <c r="L169" s="93">
        <f t="shared" si="35"/>
        <v>53.55</v>
      </c>
      <c r="M169" s="172">
        <f t="shared" si="26"/>
        <v>495</v>
      </c>
      <c r="Q169" s="172">
        <f t="shared" si="27"/>
        <v>0</v>
      </c>
    </row>
    <row r="170" spans="1:17">
      <c r="A170" s="112">
        <v>10</v>
      </c>
      <c r="B170" s="112" t="s">
        <v>623</v>
      </c>
      <c r="C170" s="112" t="s">
        <v>624</v>
      </c>
      <c r="D170" s="97">
        <v>1</v>
      </c>
      <c r="E170" s="97" t="s">
        <v>36</v>
      </c>
      <c r="F170" s="129">
        <f t="shared" si="32"/>
        <v>17627.469999999998</v>
      </c>
      <c r="G170" s="129">
        <f t="shared" si="33"/>
        <v>17627.469999999998</v>
      </c>
      <c r="J170" s="104">
        <v>14813</v>
      </c>
      <c r="K170" s="93">
        <f t="shared" si="34"/>
        <v>1.19</v>
      </c>
      <c r="L170" s="93">
        <f t="shared" si="35"/>
        <v>17627.469999999998</v>
      </c>
      <c r="M170" s="172">
        <f t="shared" si="26"/>
        <v>14813</v>
      </c>
      <c r="Q170" s="172">
        <f t="shared" si="27"/>
        <v>0</v>
      </c>
    </row>
    <row r="171" spans="1:17" ht="15.75" customHeight="1">
      <c r="A171" s="112">
        <v>11</v>
      </c>
      <c r="B171" s="120"/>
      <c r="C171" s="120" t="s">
        <v>625</v>
      </c>
      <c r="D171" s="97">
        <v>4</v>
      </c>
      <c r="E171" s="97" t="s">
        <v>36</v>
      </c>
      <c r="F171" s="129">
        <f t="shared" si="32"/>
        <v>1594.6</v>
      </c>
      <c r="G171" s="134">
        <f t="shared" si="33"/>
        <v>6378.4</v>
      </c>
      <c r="J171" s="104">
        <v>1340</v>
      </c>
      <c r="K171" s="93">
        <f t="shared" si="34"/>
        <v>1.19</v>
      </c>
      <c r="L171" s="93">
        <f t="shared" si="35"/>
        <v>1594.6</v>
      </c>
      <c r="M171" s="172">
        <f t="shared" si="26"/>
        <v>5360</v>
      </c>
      <c r="Q171" s="172">
        <f t="shared" si="27"/>
        <v>0</v>
      </c>
    </row>
    <row r="172" spans="1:17">
      <c r="A172" s="112">
        <v>12</v>
      </c>
      <c r="B172" s="112" t="s">
        <v>626</v>
      </c>
      <c r="C172" s="112" t="s">
        <v>627</v>
      </c>
      <c r="D172" s="97">
        <v>2</v>
      </c>
      <c r="E172" s="97" t="s">
        <v>36</v>
      </c>
      <c r="F172" s="129">
        <f t="shared" si="32"/>
        <v>10055.5</v>
      </c>
      <c r="G172" s="129">
        <f t="shared" si="33"/>
        <v>20111</v>
      </c>
      <c r="J172" s="104">
        <v>8450</v>
      </c>
      <c r="K172" s="93">
        <f t="shared" si="34"/>
        <v>1.19</v>
      </c>
      <c r="L172" s="93">
        <f t="shared" si="35"/>
        <v>10055.5</v>
      </c>
      <c r="M172" s="172">
        <f t="shared" si="26"/>
        <v>16900</v>
      </c>
      <c r="Q172" s="172">
        <f t="shared" si="27"/>
        <v>0</v>
      </c>
    </row>
    <row r="173" spans="1:17">
      <c r="A173" s="29"/>
      <c r="B173" s="29"/>
      <c r="C173" s="115" t="s">
        <v>366</v>
      </c>
      <c r="D173" s="116"/>
      <c r="E173" s="105"/>
      <c r="F173" s="130"/>
      <c r="G173" s="130">
        <f>SUM(G161:G172)</f>
        <v>195467.01999999996</v>
      </c>
      <c r="M173" s="172">
        <f t="shared" si="26"/>
        <v>0</v>
      </c>
      <c r="Q173" s="172">
        <f t="shared" si="27"/>
        <v>0</v>
      </c>
    </row>
    <row r="174" spans="1:17">
      <c r="D174" s="31"/>
      <c r="E174" s="31"/>
      <c r="M174" s="172">
        <f t="shared" si="26"/>
        <v>0</v>
      </c>
      <c r="Q174" s="172">
        <f t="shared" si="27"/>
        <v>0</v>
      </c>
    </row>
    <row r="175" spans="1:17" ht="15.45">
      <c r="C175" s="110" t="s">
        <v>628</v>
      </c>
      <c r="D175" s="31"/>
      <c r="E175" s="31"/>
      <c r="M175" s="172">
        <f t="shared" si="26"/>
        <v>0</v>
      </c>
      <c r="Q175" s="172">
        <f t="shared" si="27"/>
        <v>0</v>
      </c>
    </row>
    <row r="176" spans="1:17">
      <c r="A176" s="111" t="s">
        <v>362</v>
      </c>
      <c r="B176" s="111" t="s">
        <v>363</v>
      </c>
      <c r="C176" s="111" t="s">
        <v>364</v>
      </c>
      <c r="D176" s="106"/>
      <c r="E176" s="106" t="s">
        <v>18</v>
      </c>
      <c r="F176" s="128" t="s">
        <v>365</v>
      </c>
      <c r="G176" s="128" t="s">
        <v>366</v>
      </c>
      <c r="M176" s="172">
        <f t="shared" si="26"/>
        <v>0</v>
      </c>
      <c r="Q176" s="172">
        <f t="shared" si="27"/>
        <v>0</v>
      </c>
    </row>
    <row r="177" spans="1:17">
      <c r="A177" s="112">
        <v>1</v>
      </c>
      <c r="B177" s="112" t="s">
        <v>629</v>
      </c>
      <c r="C177" s="112" t="s">
        <v>630</v>
      </c>
      <c r="D177" s="97">
        <v>1</v>
      </c>
      <c r="E177" s="97" t="s">
        <v>36</v>
      </c>
      <c r="F177" s="129">
        <f t="shared" ref="F177:F208" si="36">L177+P177</f>
        <v>3570</v>
      </c>
      <c r="G177" s="129">
        <f t="shared" ref="G177:G208" si="37">D177*F177</f>
        <v>3570</v>
      </c>
      <c r="M177" s="172">
        <f t="shared" si="26"/>
        <v>0</v>
      </c>
      <c r="N177" s="95">
        <v>3000</v>
      </c>
      <c r="O177" s="95">
        <f t="shared" ref="O177:O208" si="38">$O$1</f>
        <v>1.19</v>
      </c>
      <c r="P177" s="95">
        <f t="shared" ref="P177:P208" si="39">O177*N177</f>
        <v>3570</v>
      </c>
      <c r="Q177" s="172">
        <f t="shared" si="27"/>
        <v>3000</v>
      </c>
    </row>
    <row r="178" spans="1:17">
      <c r="A178" s="112">
        <v>2</v>
      </c>
      <c r="B178" s="112" t="s">
        <v>631</v>
      </c>
      <c r="C178" s="112" t="s">
        <v>632</v>
      </c>
      <c r="D178" s="97">
        <v>2</v>
      </c>
      <c r="E178" s="97" t="s">
        <v>36</v>
      </c>
      <c r="F178" s="129">
        <f t="shared" si="36"/>
        <v>71.399999999999991</v>
      </c>
      <c r="G178" s="129">
        <f t="shared" si="37"/>
        <v>142.79999999999998</v>
      </c>
      <c r="M178" s="172">
        <f t="shared" si="26"/>
        <v>0</v>
      </c>
      <c r="N178" s="95">
        <v>60</v>
      </c>
      <c r="O178" s="95">
        <f t="shared" si="38"/>
        <v>1.19</v>
      </c>
      <c r="P178" s="95">
        <f t="shared" si="39"/>
        <v>71.399999999999991</v>
      </c>
      <c r="Q178" s="172">
        <f t="shared" si="27"/>
        <v>120</v>
      </c>
    </row>
    <row r="179" spans="1:17">
      <c r="A179" s="112">
        <v>3</v>
      </c>
      <c r="B179" s="112" t="s">
        <v>633</v>
      </c>
      <c r="C179" s="112" t="s">
        <v>634</v>
      </c>
      <c r="D179" s="97">
        <v>1</v>
      </c>
      <c r="E179" s="97" t="s">
        <v>36</v>
      </c>
      <c r="F179" s="129">
        <f t="shared" si="36"/>
        <v>178.5</v>
      </c>
      <c r="G179" s="129">
        <f t="shared" si="37"/>
        <v>178.5</v>
      </c>
      <c r="M179" s="172">
        <f t="shared" si="26"/>
        <v>0</v>
      </c>
      <c r="N179" s="95">
        <v>150</v>
      </c>
      <c r="O179" s="95">
        <f t="shared" si="38"/>
        <v>1.19</v>
      </c>
      <c r="P179" s="95">
        <f t="shared" si="39"/>
        <v>178.5</v>
      </c>
      <c r="Q179" s="172">
        <f t="shared" si="27"/>
        <v>150</v>
      </c>
    </row>
    <row r="180" spans="1:17">
      <c r="A180" s="112">
        <v>4</v>
      </c>
      <c r="B180" s="112" t="s">
        <v>635</v>
      </c>
      <c r="C180" s="112" t="s">
        <v>636</v>
      </c>
      <c r="D180" s="97">
        <v>1</v>
      </c>
      <c r="E180" s="97" t="s">
        <v>36</v>
      </c>
      <c r="F180" s="129">
        <f t="shared" si="36"/>
        <v>95.199999999999989</v>
      </c>
      <c r="G180" s="129">
        <f t="shared" si="37"/>
        <v>95.199999999999989</v>
      </c>
      <c r="M180" s="172">
        <f t="shared" si="26"/>
        <v>0</v>
      </c>
      <c r="N180" s="95">
        <v>80</v>
      </c>
      <c r="O180" s="95">
        <f t="shared" si="38"/>
        <v>1.19</v>
      </c>
      <c r="P180" s="95">
        <f t="shared" si="39"/>
        <v>95.199999999999989</v>
      </c>
      <c r="Q180" s="172">
        <f t="shared" si="27"/>
        <v>80</v>
      </c>
    </row>
    <row r="181" spans="1:17">
      <c r="A181" s="112">
        <v>5</v>
      </c>
      <c r="B181" s="112"/>
      <c r="C181" s="112" t="s">
        <v>637</v>
      </c>
      <c r="D181" s="97">
        <v>1</v>
      </c>
      <c r="E181" s="97" t="s">
        <v>36</v>
      </c>
      <c r="F181" s="129">
        <f t="shared" si="36"/>
        <v>71.399999999999991</v>
      </c>
      <c r="G181" s="129">
        <f t="shared" si="37"/>
        <v>71.399999999999991</v>
      </c>
      <c r="M181" s="172">
        <f t="shared" si="26"/>
        <v>0</v>
      </c>
      <c r="N181" s="95">
        <v>60</v>
      </c>
      <c r="O181" s="95">
        <f t="shared" si="38"/>
        <v>1.19</v>
      </c>
      <c r="P181" s="95">
        <f t="shared" si="39"/>
        <v>71.399999999999991</v>
      </c>
      <c r="Q181" s="172">
        <f t="shared" si="27"/>
        <v>60</v>
      </c>
    </row>
    <row r="182" spans="1:17">
      <c r="A182" s="112">
        <v>6</v>
      </c>
      <c r="B182" s="112" t="s">
        <v>638</v>
      </c>
      <c r="C182" s="112" t="s">
        <v>639</v>
      </c>
      <c r="D182" s="97">
        <v>1</v>
      </c>
      <c r="E182" s="97" t="s">
        <v>36</v>
      </c>
      <c r="F182" s="129">
        <f t="shared" si="36"/>
        <v>5712</v>
      </c>
      <c r="G182" s="129">
        <f t="shared" si="37"/>
        <v>5712</v>
      </c>
      <c r="M182" s="172">
        <f t="shared" si="26"/>
        <v>0</v>
      </c>
      <c r="N182" s="95">
        <v>4800</v>
      </c>
      <c r="O182" s="95">
        <f t="shared" si="38"/>
        <v>1.19</v>
      </c>
      <c r="P182" s="95">
        <f t="shared" si="39"/>
        <v>5712</v>
      </c>
      <c r="Q182" s="172">
        <f t="shared" si="27"/>
        <v>4800</v>
      </c>
    </row>
    <row r="183" spans="1:17">
      <c r="A183" s="112">
        <v>7</v>
      </c>
      <c r="B183" s="112" t="s">
        <v>640</v>
      </c>
      <c r="C183" s="112" t="s">
        <v>641</v>
      </c>
      <c r="D183" s="97">
        <v>1</v>
      </c>
      <c r="E183" s="97" t="s">
        <v>36</v>
      </c>
      <c r="F183" s="129">
        <f t="shared" si="36"/>
        <v>3332</v>
      </c>
      <c r="G183" s="129">
        <f t="shared" si="37"/>
        <v>3332</v>
      </c>
      <c r="M183" s="172">
        <f t="shared" si="26"/>
        <v>0</v>
      </c>
      <c r="N183" s="95">
        <v>2800</v>
      </c>
      <c r="O183" s="95">
        <f t="shared" si="38"/>
        <v>1.19</v>
      </c>
      <c r="P183" s="95">
        <f t="shared" si="39"/>
        <v>3332</v>
      </c>
      <c r="Q183" s="172">
        <f t="shared" si="27"/>
        <v>2800</v>
      </c>
    </row>
    <row r="184" spans="1:17">
      <c r="A184" s="112">
        <v>8</v>
      </c>
      <c r="B184" s="112"/>
      <c r="C184" s="112" t="s">
        <v>642</v>
      </c>
      <c r="D184" s="97">
        <v>2</v>
      </c>
      <c r="E184" s="97" t="s">
        <v>36</v>
      </c>
      <c r="F184" s="129">
        <f t="shared" si="36"/>
        <v>499.79999999999995</v>
      </c>
      <c r="G184" s="129">
        <f t="shared" si="37"/>
        <v>999.59999999999991</v>
      </c>
      <c r="M184" s="172">
        <f t="shared" si="26"/>
        <v>0</v>
      </c>
      <c r="N184" s="95">
        <v>420</v>
      </c>
      <c r="O184" s="95">
        <f t="shared" si="38"/>
        <v>1.19</v>
      </c>
      <c r="P184" s="95">
        <f t="shared" si="39"/>
        <v>499.79999999999995</v>
      </c>
      <c r="Q184" s="172">
        <f t="shared" si="27"/>
        <v>840</v>
      </c>
    </row>
    <row r="185" spans="1:17">
      <c r="A185" s="112">
        <v>9</v>
      </c>
      <c r="B185" s="112" t="s">
        <v>643</v>
      </c>
      <c r="C185" s="112" t="s">
        <v>644</v>
      </c>
      <c r="D185" s="97">
        <v>4</v>
      </c>
      <c r="E185" s="97" t="s">
        <v>36</v>
      </c>
      <c r="F185" s="129">
        <f t="shared" si="36"/>
        <v>547.4</v>
      </c>
      <c r="G185" s="129">
        <f t="shared" si="37"/>
        <v>2189.6</v>
      </c>
      <c r="M185" s="172">
        <f t="shared" si="26"/>
        <v>0</v>
      </c>
      <c r="N185" s="95">
        <v>460</v>
      </c>
      <c r="O185" s="95">
        <f t="shared" si="38"/>
        <v>1.19</v>
      </c>
      <c r="P185" s="95">
        <f t="shared" si="39"/>
        <v>547.4</v>
      </c>
      <c r="Q185" s="172">
        <f t="shared" si="27"/>
        <v>1840</v>
      </c>
    </row>
    <row r="186" spans="1:17">
      <c r="A186" s="112">
        <v>10</v>
      </c>
      <c r="B186" s="112" t="s">
        <v>645</v>
      </c>
      <c r="C186" s="112" t="s">
        <v>646</v>
      </c>
      <c r="D186" s="97">
        <v>8</v>
      </c>
      <c r="E186" s="97" t="s">
        <v>36</v>
      </c>
      <c r="F186" s="129">
        <f t="shared" si="36"/>
        <v>357</v>
      </c>
      <c r="G186" s="129">
        <f t="shared" si="37"/>
        <v>2856</v>
      </c>
      <c r="M186" s="172">
        <f t="shared" si="26"/>
        <v>0</v>
      </c>
      <c r="N186" s="95">
        <v>300</v>
      </c>
      <c r="O186" s="95">
        <f t="shared" si="38"/>
        <v>1.19</v>
      </c>
      <c r="P186" s="95">
        <f t="shared" si="39"/>
        <v>357</v>
      </c>
      <c r="Q186" s="172">
        <f t="shared" si="27"/>
        <v>2400</v>
      </c>
    </row>
    <row r="187" spans="1:17">
      <c r="A187" s="112">
        <v>11</v>
      </c>
      <c r="B187" s="112" t="s">
        <v>635</v>
      </c>
      <c r="C187" s="112" t="s">
        <v>647</v>
      </c>
      <c r="D187" s="97">
        <v>14</v>
      </c>
      <c r="E187" s="97" t="s">
        <v>36</v>
      </c>
      <c r="F187" s="129">
        <f t="shared" si="36"/>
        <v>95.199999999999989</v>
      </c>
      <c r="G187" s="129">
        <f t="shared" si="37"/>
        <v>1332.7999999999997</v>
      </c>
      <c r="M187" s="172">
        <f t="shared" si="26"/>
        <v>0</v>
      </c>
      <c r="N187" s="95">
        <v>80</v>
      </c>
      <c r="O187" s="95">
        <f t="shared" si="38"/>
        <v>1.19</v>
      </c>
      <c r="P187" s="95">
        <f t="shared" si="39"/>
        <v>95.199999999999989</v>
      </c>
      <c r="Q187" s="172">
        <f t="shared" si="27"/>
        <v>1120</v>
      </c>
    </row>
    <row r="188" spans="1:17">
      <c r="A188" s="112">
        <v>12</v>
      </c>
      <c r="B188" s="112"/>
      <c r="C188" s="112" t="s">
        <v>648</v>
      </c>
      <c r="D188" s="97">
        <v>14</v>
      </c>
      <c r="E188" s="97" t="s">
        <v>36</v>
      </c>
      <c r="F188" s="129">
        <f t="shared" si="36"/>
        <v>71.399999999999991</v>
      </c>
      <c r="G188" s="129">
        <f t="shared" si="37"/>
        <v>999.59999999999991</v>
      </c>
      <c r="M188" s="172">
        <f t="shared" si="26"/>
        <v>0</v>
      </c>
      <c r="N188" s="95">
        <v>60</v>
      </c>
      <c r="O188" s="95">
        <f t="shared" si="38"/>
        <v>1.19</v>
      </c>
      <c r="P188" s="95">
        <f t="shared" si="39"/>
        <v>71.399999999999991</v>
      </c>
      <c r="Q188" s="172">
        <f t="shared" si="27"/>
        <v>840</v>
      </c>
    </row>
    <row r="189" spans="1:17">
      <c r="A189" s="112">
        <v>13</v>
      </c>
      <c r="B189" s="112"/>
      <c r="C189" s="112" t="s">
        <v>649</v>
      </c>
      <c r="D189" s="97">
        <v>3</v>
      </c>
      <c r="E189" s="97" t="s">
        <v>36</v>
      </c>
      <c r="F189" s="129">
        <f t="shared" si="36"/>
        <v>178.5</v>
      </c>
      <c r="G189" s="129">
        <f t="shared" si="37"/>
        <v>535.5</v>
      </c>
      <c r="M189" s="172">
        <f t="shared" si="26"/>
        <v>0</v>
      </c>
      <c r="N189" s="95">
        <v>150</v>
      </c>
      <c r="O189" s="95">
        <f t="shared" si="38"/>
        <v>1.19</v>
      </c>
      <c r="P189" s="95">
        <f t="shared" si="39"/>
        <v>178.5</v>
      </c>
      <c r="Q189" s="172">
        <f t="shared" si="27"/>
        <v>450</v>
      </c>
    </row>
    <row r="190" spans="1:17">
      <c r="A190" s="112">
        <v>14</v>
      </c>
      <c r="B190" s="112" t="s">
        <v>650</v>
      </c>
      <c r="C190" s="112" t="s">
        <v>651</v>
      </c>
      <c r="D190" s="97">
        <v>3</v>
      </c>
      <c r="E190" s="97" t="s">
        <v>36</v>
      </c>
      <c r="F190" s="129">
        <f t="shared" si="36"/>
        <v>178.5</v>
      </c>
      <c r="G190" s="129">
        <f t="shared" si="37"/>
        <v>535.5</v>
      </c>
      <c r="M190" s="172">
        <f t="shared" si="26"/>
        <v>0</v>
      </c>
      <c r="N190" s="95">
        <v>150</v>
      </c>
      <c r="O190" s="95">
        <f t="shared" si="38"/>
        <v>1.19</v>
      </c>
      <c r="P190" s="95">
        <f t="shared" si="39"/>
        <v>178.5</v>
      </c>
      <c r="Q190" s="172">
        <f t="shared" si="27"/>
        <v>450</v>
      </c>
    </row>
    <row r="191" spans="1:17">
      <c r="A191" s="112">
        <v>15</v>
      </c>
      <c r="B191" s="112"/>
      <c r="C191" s="112" t="s">
        <v>652</v>
      </c>
      <c r="D191" s="97">
        <v>0</v>
      </c>
      <c r="E191" s="97" t="s">
        <v>36</v>
      </c>
      <c r="F191" s="129">
        <f t="shared" si="36"/>
        <v>238</v>
      </c>
      <c r="G191" s="129">
        <f t="shared" si="37"/>
        <v>0</v>
      </c>
      <c r="M191" s="172">
        <f t="shared" si="26"/>
        <v>0</v>
      </c>
      <c r="N191" s="95">
        <v>200</v>
      </c>
      <c r="O191" s="95">
        <f t="shared" si="38"/>
        <v>1.19</v>
      </c>
      <c r="P191" s="95">
        <f t="shared" si="39"/>
        <v>238</v>
      </c>
      <c r="Q191" s="172">
        <f t="shared" si="27"/>
        <v>0</v>
      </c>
    </row>
    <row r="192" spans="1:17">
      <c r="A192" s="112">
        <v>16</v>
      </c>
      <c r="B192" s="112" t="s">
        <v>653</v>
      </c>
      <c r="C192" s="112" t="s">
        <v>654</v>
      </c>
      <c r="D192" s="97">
        <v>17</v>
      </c>
      <c r="E192" s="97" t="s">
        <v>36</v>
      </c>
      <c r="F192" s="129">
        <f t="shared" si="36"/>
        <v>71.399999999999991</v>
      </c>
      <c r="G192" s="129">
        <f t="shared" si="37"/>
        <v>1213.8</v>
      </c>
      <c r="M192" s="172">
        <f t="shared" si="26"/>
        <v>0</v>
      </c>
      <c r="N192" s="95">
        <v>60</v>
      </c>
      <c r="O192" s="95">
        <f t="shared" si="38"/>
        <v>1.19</v>
      </c>
      <c r="P192" s="95">
        <f t="shared" si="39"/>
        <v>71.399999999999991</v>
      </c>
      <c r="Q192" s="172">
        <f t="shared" si="27"/>
        <v>1020</v>
      </c>
    </row>
    <row r="193" spans="1:17">
      <c r="A193" s="112">
        <v>17</v>
      </c>
      <c r="B193" s="112" t="s">
        <v>655</v>
      </c>
      <c r="C193" s="112" t="s">
        <v>656</v>
      </c>
      <c r="D193" s="97">
        <v>2</v>
      </c>
      <c r="E193" s="97" t="s">
        <v>36</v>
      </c>
      <c r="F193" s="129">
        <f t="shared" si="36"/>
        <v>238</v>
      </c>
      <c r="G193" s="129">
        <f t="shared" si="37"/>
        <v>476</v>
      </c>
      <c r="M193" s="172">
        <f t="shared" si="26"/>
        <v>0</v>
      </c>
      <c r="N193" s="95">
        <v>200</v>
      </c>
      <c r="O193" s="95">
        <f t="shared" si="38"/>
        <v>1.19</v>
      </c>
      <c r="P193" s="95">
        <f t="shared" si="39"/>
        <v>238</v>
      </c>
      <c r="Q193" s="172">
        <f t="shared" si="27"/>
        <v>400</v>
      </c>
    </row>
    <row r="194" spans="1:17">
      <c r="A194" s="112">
        <v>18</v>
      </c>
      <c r="B194" s="112"/>
      <c r="C194" s="112" t="s">
        <v>657</v>
      </c>
      <c r="D194" s="97">
        <v>2</v>
      </c>
      <c r="E194" s="97" t="s">
        <v>323</v>
      </c>
      <c r="F194" s="129">
        <f t="shared" si="36"/>
        <v>535.5</v>
      </c>
      <c r="G194" s="129">
        <f t="shared" si="37"/>
        <v>1071</v>
      </c>
      <c r="M194" s="172">
        <f t="shared" si="26"/>
        <v>0</v>
      </c>
      <c r="N194" s="95">
        <v>450</v>
      </c>
      <c r="O194" s="95">
        <f t="shared" si="38"/>
        <v>1.19</v>
      </c>
      <c r="P194" s="95">
        <f t="shared" si="39"/>
        <v>535.5</v>
      </c>
      <c r="Q194" s="172">
        <f t="shared" si="27"/>
        <v>900</v>
      </c>
    </row>
    <row r="195" spans="1:17">
      <c r="A195" s="112">
        <v>19</v>
      </c>
      <c r="B195" s="112"/>
      <c r="C195" s="112" t="s">
        <v>658</v>
      </c>
      <c r="D195" s="97">
        <v>2</v>
      </c>
      <c r="E195" s="97" t="s">
        <v>188</v>
      </c>
      <c r="F195" s="129">
        <f t="shared" si="36"/>
        <v>29.75</v>
      </c>
      <c r="G195" s="129">
        <f t="shared" si="37"/>
        <v>59.5</v>
      </c>
      <c r="M195" s="172">
        <f t="shared" si="26"/>
        <v>0</v>
      </c>
      <c r="N195" s="95">
        <v>25</v>
      </c>
      <c r="O195" s="95">
        <f t="shared" si="38"/>
        <v>1.19</v>
      </c>
      <c r="P195" s="95">
        <f t="shared" si="39"/>
        <v>29.75</v>
      </c>
      <c r="Q195" s="172">
        <f t="shared" si="27"/>
        <v>50</v>
      </c>
    </row>
    <row r="196" spans="1:17">
      <c r="A196" s="112">
        <v>20</v>
      </c>
      <c r="B196" s="112"/>
      <c r="C196" s="112" t="s">
        <v>659</v>
      </c>
      <c r="D196" s="97">
        <v>17</v>
      </c>
      <c r="E196" s="97" t="s">
        <v>36</v>
      </c>
      <c r="F196" s="129">
        <f t="shared" si="36"/>
        <v>547.4</v>
      </c>
      <c r="G196" s="129">
        <f t="shared" si="37"/>
        <v>9305.7999999999993</v>
      </c>
      <c r="M196" s="172">
        <f t="shared" si="26"/>
        <v>0</v>
      </c>
      <c r="N196" s="95">
        <v>460</v>
      </c>
      <c r="O196" s="95">
        <f t="shared" si="38"/>
        <v>1.19</v>
      </c>
      <c r="P196" s="95">
        <f t="shared" si="39"/>
        <v>547.4</v>
      </c>
      <c r="Q196" s="172">
        <f t="shared" si="27"/>
        <v>7820</v>
      </c>
    </row>
    <row r="197" spans="1:17">
      <c r="A197" s="112">
        <v>21</v>
      </c>
      <c r="B197" s="112"/>
      <c r="C197" s="112" t="s">
        <v>660</v>
      </c>
      <c r="D197" s="97">
        <v>34</v>
      </c>
      <c r="E197" s="97" t="s">
        <v>36</v>
      </c>
      <c r="F197" s="129">
        <f t="shared" si="36"/>
        <v>595</v>
      </c>
      <c r="G197" s="129">
        <f t="shared" si="37"/>
        <v>20230</v>
      </c>
      <c r="M197" s="172">
        <f t="shared" ref="M197:M260" si="40">SUM(J197*D197)</f>
        <v>0</v>
      </c>
      <c r="N197" s="95">
        <v>500</v>
      </c>
      <c r="O197" s="95">
        <f t="shared" si="38"/>
        <v>1.19</v>
      </c>
      <c r="P197" s="95">
        <f t="shared" si="39"/>
        <v>595</v>
      </c>
      <c r="Q197" s="172">
        <f t="shared" ref="Q197:Q260" si="41">SUM(N197*D197)</f>
        <v>17000</v>
      </c>
    </row>
    <row r="198" spans="1:17">
      <c r="A198" s="112">
        <v>22</v>
      </c>
      <c r="B198" s="112"/>
      <c r="C198" s="112" t="s">
        <v>661</v>
      </c>
      <c r="D198" s="97">
        <v>1</v>
      </c>
      <c r="E198" s="97" t="s">
        <v>36</v>
      </c>
      <c r="F198" s="129">
        <f t="shared" si="36"/>
        <v>416.5</v>
      </c>
      <c r="G198" s="129">
        <f t="shared" si="37"/>
        <v>416.5</v>
      </c>
      <c r="M198" s="172">
        <f t="shared" si="40"/>
        <v>0</v>
      </c>
      <c r="N198" s="95">
        <v>350</v>
      </c>
      <c r="O198" s="95">
        <f t="shared" si="38"/>
        <v>1.19</v>
      </c>
      <c r="P198" s="95">
        <f t="shared" si="39"/>
        <v>416.5</v>
      </c>
      <c r="Q198" s="172">
        <f t="shared" si="41"/>
        <v>350</v>
      </c>
    </row>
    <row r="199" spans="1:17">
      <c r="A199" s="112">
        <v>23</v>
      </c>
      <c r="B199" s="112"/>
      <c r="C199" s="112" t="s">
        <v>662</v>
      </c>
      <c r="D199" s="97">
        <v>1</v>
      </c>
      <c r="E199" s="97" t="s">
        <v>332</v>
      </c>
      <c r="F199" s="129">
        <f t="shared" si="36"/>
        <v>714</v>
      </c>
      <c r="G199" s="129">
        <f t="shared" si="37"/>
        <v>714</v>
      </c>
      <c r="M199" s="172">
        <f t="shared" si="40"/>
        <v>0</v>
      </c>
      <c r="N199" s="95">
        <v>600</v>
      </c>
      <c r="O199" s="95">
        <f t="shared" si="38"/>
        <v>1.19</v>
      </c>
      <c r="P199" s="95">
        <f t="shared" si="39"/>
        <v>714</v>
      </c>
      <c r="Q199" s="172">
        <f t="shared" si="41"/>
        <v>600</v>
      </c>
    </row>
    <row r="200" spans="1:17">
      <c r="A200" s="112">
        <v>24</v>
      </c>
      <c r="B200" s="112" t="s">
        <v>663</v>
      </c>
      <c r="C200" s="112" t="s">
        <v>664</v>
      </c>
      <c r="D200" s="97">
        <v>29</v>
      </c>
      <c r="E200" s="97" t="s">
        <v>36</v>
      </c>
      <c r="F200" s="129">
        <f t="shared" si="36"/>
        <v>119</v>
      </c>
      <c r="G200" s="129">
        <f t="shared" si="37"/>
        <v>3451</v>
      </c>
      <c r="M200" s="172">
        <f t="shared" si="40"/>
        <v>0</v>
      </c>
      <c r="N200" s="95">
        <v>100</v>
      </c>
      <c r="O200" s="95">
        <f t="shared" si="38"/>
        <v>1.19</v>
      </c>
      <c r="P200" s="95">
        <f t="shared" si="39"/>
        <v>119</v>
      </c>
      <c r="Q200" s="172">
        <f t="shared" si="41"/>
        <v>2900</v>
      </c>
    </row>
    <row r="201" spans="1:17">
      <c r="A201" s="112">
        <v>25</v>
      </c>
      <c r="B201" s="112" t="s">
        <v>665</v>
      </c>
      <c r="C201" s="112" t="s">
        <v>666</v>
      </c>
      <c r="D201" s="97">
        <v>29</v>
      </c>
      <c r="E201" s="97" t="s">
        <v>36</v>
      </c>
      <c r="F201" s="129">
        <f t="shared" si="36"/>
        <v>71.399999999999991</v>
      </c>
      <c r="G201" s="129">
        <f t="shared" si="37"/>
        <v>2070.6</v>
      </c>
      <c r="M201" s="172">
        <f t="shared" si="40"/>
        <v>0</v>
      </c>
      <c r="N201" s="95">
        <v>60</v>
      </c>
      <c r="O201" s="95">
        <f t="shared" si="38"/>
        <v>1.19</v>
      </c>
      <c r="P201" s="95">
        <f t="shared" si="39"/>
        <v>71.399999999999991</v>
      </c>
      <c r="Q201" s="172">
        <f t="shared" si="41"/>
        <v>1740</v>
      </c>
    </row>
    <row r="202" spans="1:17">
      <c r="A202" s="112">
        <v>26</v>
      </c>
      <c r="B202" s="112" t="s">
        <v>667</v>
      </c>
      <c r="C202" s="112" t="s">
        <v>668</v>
      </c>
      <c r="D202" s="97">
        <v>29</v>
      </c>
      <c r="E202" s="97" t="s">
        <v>36</v>
      </c>
      <c r="F202" s="129">
        <f t="shared" si="36"/>
        <v>51.169999999999995</v>
      </c>
      <c r="G202" s="129">
        <f t="shared" si="37"/>
        <v>1483.9299999999998</v>
      </c>
      <c r="M202" s="172">
        <f t="shared" si="40"/>
        <v>0</v>
      </c>
      <c r="N202" s="95">
        <v>43</v>
      </c>
      <c r="O202" s="95">
        <f t="shared" si="38"/>
        <v>1.19</v>
      </c>
      <c r="P202" s="95">
        <f t="shared" si="39"/>
        <v>51.169999999999995</v>
      </c>
      <c r="Q202" s="172">
        <f t="shared" si="41"/>
        <v>1247</v>
      </c>
    </row>
    <row r="203" spans="1:17">
      <c r="A203" s="112">
        <v>27</v>
      </c>
      <c r="B203" s="112" t="s">
        <v>669</v>
      </c>
      <c r="C203" s="112" t="s">
        <v>670</v>
      </c>
      <c r="D203" s="97">
        <v>29</v>
      </c>
      <c r="E203" s="97" t="s">
        <v>36</v>
      </c>
      <c r="F203" s="129">
        <f t="shared" si="36"/>
        <v>23.799999999999997</v>
      </c>
      <c r="G203" s="129">
        <f t="shared" si="37"/>
        <v>690.19999999999993</v>
      </c>
      <c r="M203" s="172">
        <f t="shared" si="40"/>
        <v>0</v>
      </c>
      <c r="N203" s="95">
        <v>20</v>
      </c>
      <c r="O203" s="95">
        <f t="shared" si="38"/>
        <v>1.19</v>
      </c>
      <c r="P203" s="95">
        <f t="shared" si="39"/>
        <v>23.799999999999997</v>
      </c>
      <c r="Q203" s="172">
        <f t="shared" si="41"/>
        <v>580</v>
      </c>
    </row>
    <row r="204" spans="1:17">
      <c r="A204" s="112">
        <v>28</v>
      </c>
      <c r="B204" s="112" t="s">
        <v>671</v>
      </c>
      <c r="C204" s="112" t="s">
        <v>672</v>
      </c>
      <c r="D204" s="97">
        <v>1</v>
      </c>
      <c r="E204" s="97" t="s">
        <v>36</v>
      </c>
      <c r="F204" s="129">
        <f t="shared" si="36"/>
        <v>178.5</v>
      </c>
      <c r="G204" s="129">
        <f t="shared" si="37"/>
        <v>178.5</v>
      </c>
      <c r="M204" s="172">
        <f t="shared" si="40"/>
        <v>0</v>
      </c>
      <c r="N204" s="95">
        <v>150</v>
      </c>
      <c r="O204" s="95">
        <f t="shared" si="38"/>
        <v>1.19</v>
      </c>
      <c r="P204" s="95">
        <f t="shared" si="39"/>
        <v>178.5</v>
      </c>
      <c r="Q204" s="172">
        <f t="shared" si="41"/>
        <v>150</v>
      </c>
    </row>
    <row r="205" spans="1:17">
      <c r="A205" s="112">
        <v>29</v>
      </c>
      <c r="B205" s="112"/>
      <c r="C205" s="112" t="s">
        <v>673</v>
      </c>
      <c r="D205" s="97">
        <v>1</v>
      </c>
      <c r="E205" s="97" t="s">
        <v>36</v>
      </c>
      <c r="F205" s="129">
        <f t="shared" si="36"/>
        <v>297.5</v>
      </c>
      <c r="G205" s="129">
        <f t="shared" si="37"/>
        <v>297.5</v>
      </c>
      <c r="M205" s="172">
        <f t="shared" si="40"/>
        <v>0</v>
      </c>
      <c r="N205" s="95">
        <v>250</v>
      </c>
      <c r="O205" s="95">
        <f t="shared" si="38"/>
        <v>1.19</v>
      </c>
      <c r="P205" s="95">
        <f t="shared" si="39"/>
        <v>297.5</v>
      </c>
      <c r="Q205" s="172">
        <f t="shared" si="41"/>
        <v>250</v>
      </c>
    </row>
    <row r="206" spans="1:17">
      <c r="A206" s="112">
        <v>30</v>
      </c>
      <c r="B206" s="112"/>
      <c r="C206" s="112" t="s">
        <v>674</v>
      </c>
      <c r="D206" s="97">
        <v>2</v>
      </c>
      <c r="E206" s="97" t="s">
        <v>36</v>
      </c>
      <c r="F206" s="129">
        <f t="shared" si="36"/>
        <v>178.5</v>
      </c>
      <c r="G206" s="129">
        <f t="shared" si="37"/>
        <v>357</v>
      </c>
      <c r="M206" s="172">
        <f t="shared" si="40"/>
        <v>0</v>
      </c>
      <c r="N206" s="95">
        <v>150</v>
      </c>
      <c r="O206" s="95">
        <f t="shared" si="38"/>
        <v>1.19</v>
      </c>
      <c r="P206" s="95">
        <f t="shared" si="39"/>
        <v>178.5</v>
      </c>
      <c r="Q206" s="172">
        <f t="shared" si="41"/>
        <v>300</v>
      </c>
    </row>
    <row r="207" spans="1:17">
      <c r="A207" s="112">
        <v>31</v>
      </c>
      <c r="B207" s="112" t="s">
        <v>675</v>
      </c>
      <c r="C207" s="112" t="s">
        <v>676</v>
      </c>
      <c r="D207" s="97">
        <v>232</v>
      </c>
      <c r="E207" s="97" t="s">
        <v>677</v>
      </c>
      <c r="F207" s="129">
        <f t="shared" si="36"/>
        <v>11.899999999999999</v>
      </c>
      <c r="G207" s="129">
        <f t="shared" si="37"/>
        <v>2760.7999999999997</v>
      </c>
      <c r="M207" s="172">
        <f t="shared" si="40"/>
        <v>0</v>
      </c>
      <c r="N207" s="95">
        <v>10</v>
      </c>
      <c r="O207" s="95">
        <f t="shared" si="38"/>
        <v>1.19</v>
      </c>
      <c r="P207" s="95">
        <f t="shared" si="39"/>
        <v>11.899999999999999</v>
      </c>
      <c r="Q207" s="172">
        <f t="shared" si="41"/>
        <v>2320</v>
      </c>
    </row>
    <row r="208" spans="1:17">
      <c r="A208" s="112">
        <v>32</v>
      </c>
      <c r="B208" s="112" t="s">
        <v>678</v>
      </c>
      <c r="C208" s="112" t="s">
        <v>679</v>
      </c>
      <c r="D208" s="97">
        <v>31</v>
      </c>
      <c r="E208" s="97" t="s">
        <v>36</v>
      </c>
      <c r="F208" s="129">
        <f t="shared" si="36"/>
        <v>14.28</v>
      </c>
      <c r="G208" s="129">
        <f t="shared" si="37"/>
        <v>442.68</v>
      </c>
      <c r="M208" s="172">
        <f t="shared" si="40"/>
        <v>0</v>
      </c>
      <c r="N208" s="95">
        <v>12</v>
      </c>
      <c r="O208" s="95">
        <f t="shared" si="38"/>
        <v>1.19</v>
      </c>
      <c r="P208" s="95">
        <f t="shared" si="39"/>
        <v>14.28</v>
      </c>
      <c r="Q208" s="172">
        <f t="shared" si="41"/>
        <v>372</v>
      </c>
    </row>
    <row r="209" spans="1:17">
      <c r="A209" s="112">
        <v>33</v>
      </c>
      <c r="B209" s="112" t="s">
        <v>680</v>
      </c>
      <c r="C209" s="112" t="s">
        <v>681</v>
      </c>
      <c r="D209" s="97">
        <v>4</v>
      </c>
      <c r="E209" s="97" t="s">
        <v>36</v>
      </c>
      <c r="F209" s="129">
        <f t="shared" ref="F209:F234" si="42">L209+P209</f>
        <v>57.12</v>
      </c>
      <c r="G209" s="129">
        <f t="shared" ref="G209:G234" si="43">D209*F209</f>
        <v>228.48</v>
      </c>
      <c r="M209" s="172">
        <f t="shared" si="40"/>
        <v>0</v>
      </c>
      <c r="N209" s="95">
        <v>48</v>
      </c>
      <c r="O209" s="95">
        <f t="shared" ref="O209:O234" si="44">$O$1</f>
        <v>1.19</v>
      </c>
      <c r="P209" s="95">
        <f t="shared" ref="P209:P234" si="45">O209*N209</f>
        <v>57.12</v>
      </c>
      <c r="Q209" s="172">
        <f t="shared" si="41"/>
        <v>192</v>
      </c>
    </row>
    <row r="210" spans="1:17">
      <c r="A210" s="112">
        <v>34</v>
      </c>
      <c r="B210" s="112" t="s">
        <v>682</v>
      </c>
      <c r="C210" s="112" t="s">
        <v>683</v>
      </c>
      <c r="D210" s="97">
        <v>4</v>
      </c>
      <c r="E210" s="97" t="s">
        <v>36</v>
      </c>
      <c r="F210" s="129">
        <f t="shared" si="42"/>
        <v>53.55</v>
      </c>
      <c r="G210" s="129">
        <f t="shared" si="43"/>
        <v>214.2</v>
      </c>
      <c r="M210" s="172">
        <f t="shared" si="40"/>
        <v>0</v>
      </c>
      <c r="N210" s="95">
        <v>45</v>
      </c>
      <c r="O210" s="95">
        <f t="shared" si="44"/>
        <v>1.19</v>
      </c>
      <c r="P210" s="95">
        <f t="shared" si="45"/>
        <v>53.55</v>
      </c>
      <c r="Q210" s="172">
        <f t="shared" si="41"/>
        <v>180</v>
      </c>
    </row>
    <row r="211" spans="1:17">
      <c r="A211" s="112">
        <v>35</v>
      </c>
      <c r="B211" s="112" t="s">
        <v>684</v>
      </c>
      <c r="C211" s="112" t="s">
        <v>685</v>
      </c>
      <c r="D211" s="97">
        <v>4</v>
      </c>
      <c r="E211" s="97" t="s">
        <v>36</v>
      </c>
      <c r="F211" s="129">
        <f t="shared" si="42"/>
        <v>71.399999999999991</v>
      </c>
      <c r="G211" s="129">
        <f t="shared" si="43"/>
        <v>285.59999999999997</v>
      </c>
      <c r="M211" s="172">
        <f t="shared" si="40"/>
        <v>0</v>
      </c>
      <c r="N211" s="95">
        <v>60</v>
      </c>
      <c r="O211" s="95">
        <f t="shared" si="44"/>
        <v>1.19</v>
      </c>
      <c r="P211" s="95">
        <f t="shared" si="45"/>
        <v>71.399999999999991</v>
      </c>
      <c r="Q211" s="172">
        <f t="shared" si="41"/>
        <v>240</v>
      </c>
    </row>
    <row r="212" spans="1:17">
      <c r="A212" s="112">
        <v>36</v>
      </c>
      <c r="B212" s="112" t="s">
        <v>686</v>
      </c>
      <c r="C212" s="112" t="s">
        <v>687</v>
      </c>
      <c r="D212" s="97">
        <v>4</v>
      </c>
      <c r="E212" s="97" t="s">
        <v>36</v>
      </c>
      <c r="F212" s="129">
        <f t="shared" si="42"/>
        <v>17.849999999999998</v>
      </c>
      <c r="G212" s="129">
        <f t="shared" si="43"/>
        <v>71.399999999999991</v>
      </c>
      <c r="M212" s="172">
        <f t="shared" si="40"/>
        <v>0</v>
      </c>
      <c r="N212" s="95">
        <v>15</v>
      </c>
      <c r="O212" s="95">
        <f t="shared" si="44"/>
        <v>1.19</v>
      </c>
      <c r="P212" s="95">
        <f t="shared" si="45"/>
        <v>17.849999999999998</v>
      </c>
      <c r="Q212" s="172">
        <f t="shared" si="41"/>
        <v>60</v>
      </c>
    </row>
    <row r="213" spans="1:17">
      <c r="A213" s="112">
        <v>37</v>
      </c>
      <c r="B213" s="112" t="s">
        <v>688</v>
      </c>
      <c r="C213" s="112" t="s">
        <v>689</v>
      </c>
      <c r="D213" s="97">
        <v>4</v>
      </c>
      <c r="E213" s="97" t="s">
        <v>36</v>
      </c>
      <c r="F213" s="129">
        <f t="shared" si="42"/>
        <v>58.309999999999995</v>
      </c>
      <c r="G213" s="129">
        <f t="shared" si="43"/>
        <v>233.23999999999998</v>
      </c>
      <c r="M213" s="172">
        <f t="shared" si="40"/>
        <v>0</v>
      </c>
      <c r="N213" s="95">
        <v>49</v>
      </c>
      <c r="O213" s="95">
        <f t="shared" si="44"/>
        <v>1.19</v>
      </c>
      <c r="P213" s="95">
        <f t="shared" si="45"/>
        <v>58.309999999999995</v>
      </c>
      <c r="Q213" s="172">
        <f t="shared" si="41"/>
        <v>196</v>
      </c>
    </row>
    <row r="214" spans="1:17">
      <c r="A214" s="112">
        <v>38</v>
      </c>
      <c r="B214" s="112"/>
      <c r="C214" s="112" t="s">
        <v>690</v>
      </c>
      <c r="D214" s="97">
        <v>4</v>
      </c>
      <c r="E214" s="97" t="s">
        <v>36</v>
      </c>
      <c r="F214" s="129">
        <f t="shared" si="42"/>
        <v>178.5</v>
      </c>
      <c r="G214" s="129">
        <f t="shared" si="43"/>
        <v>714</v>
      </c>
      <c r="M214" s="172">
        <f t="shared" si="40"/>
        <v>0</v>
      </c>
      <c r="N214" s="95">
        <v>150</v>
      </c>
      <c r="O214" s="95">
        <f t="shared" si="44"/>
        <v>1.19</v>
      </c>
      <c r="P214" s="95">
        <f t="shared" si="45"/>
        <v>178.5</v>
      </c>
      <c r="Q214" s="172">
        <f t="shared" si="41"/>
        <v>600</v>
      </c>
    </row>
    <row r="215" spans="1:17">
      <c r="A215" s="112">
        <v>39</v>
      </c>
      <c r="B215" s="112"/>
      <c r="C215" s="112" t="s">
        <v>691</v>
      </c>
      <c r="D215" s="97">
        <v>4</v>
      </c>
      <c r="E215" s="97" t="s">
        <v>36</v>
      </c>
      <c r="F215" s="129">
        <f t="shared" si="42"/>
        <v>71.399999999999991</v>
      </c>
      <c r="G215" s="129">
        <f t="shared" si="43"/>
        <v>285.59999999999997</v>
      </c>
      <c r="M215" s="172">
        <f t="shared" si="40"/>
        <v>0</v>
      </c>
      <c r="N215" s="95">
        <v>60</v>
      </c>
      <c r="O215" s="95">
        <f t="shared" si="44"/>
        <v>1.19</v>
      </c>
      <c r="P215" s="95">
        <f t="shared" si="45"/>
        <v>71.399999999999991</v>
      </c>
      <c r="Q215" s="172">
        <f t="shared" si="41"/>
        <v>240</v>
      </c>
    </row>
    <row r="216" spans="1:17">
      <c r="A216" s="112">
        <v>40</v>
      </c>
      <c r="B216" s="112" t="s">
        <v>692</v>
      </c>
      <c r="C216" s="112" t="s">
        <v>693</v>
      </c>
      <c r="D216" s="97">
        <v>780</v>
      </c>
      <c r="E216" s="97" t="s">
        <v>188</v>
      </c>
      <c r="F216" s="129">
        <f t="shared" si="42"/>
        <v>19.04</v>
      </c>
      <c r="G216" s="129">
        <f t="shared" si="43"/>
        <v>14851.199999999999</v>
      </c>
      <c r="M216" s="172">
        <f t="shared" si="40"/>
        <v>0</v>
      </c>
      <c r="N216" s="95">
        <v>16</v>
      </c>
      <c r="O216" s="95">
        <f t="shared" si="44"/>
        <v>1.19</v>
      </c>
      <c r="P216" s="95">
        <f t="shared" si="45"/>
        <v>19.04</v>
      </c>
      <c r="Q216" s="172">
        <f t="shared" si="41"/>
        <v>12480</v>
      </c>
    </row>
    <row r="217" spans="1:17">
      <c r="A217" s="112">
        <v>41</v>
      </c>
      <c r="B217" s="112" t="s">
        <v>694</v>
      </c>
      <c r="C217" s="112" t="s">
        <v>695</v>
      </c>
      <c r="D217" s="97">
        <v>232</v>
      </c>
      <c r="E217" s="97" t="s">
        <v>188</v>
      </c>
      <c r="F217" s="129">
        <f t="shared" si="42"/>
        <v>16.66</v>
      </c>
      <c r="G217" s="129">
        <f t="shared" si="43"/>
        <v>3865.12</v>
      </c>
      <c r="M217" s="172">
        <f t="shared" si="40"/>
        <v>0</v>
      </c>
      <c r="N217" s="95">
        <v>14</v>
      </c>
      <c r="O217" s="95">
        <f t="shared" si="44"/>
        <v>1.19</v>
      </c>
      <c r="P217" s="95">
        <f t="shared" si="45"/>
        <v>16.66</v>
      </c>
      <c r="Q217" s="172">
        <f t="shared" si="41"/>
        <v>3248</v>
      </c>
    </row>
    <row r="218" spans="1:17">
      <c r="A218" s="112">
        <v>42</v>
      </c>
      <c r="B218" s="112" t="s">
        <v>696</v>
      </c>
      <c r="C218" s="112" t="s">
        <v>697</v>
      </c>
      <c r="D218" s="97">
        <v>232</v>
      </c>
      <c r="E218" s="97" t="s">
        <v>188</v>
      </c>
      <c r="F218" s="129">
        <f t="shared" si="42"/>
        <v>16.66</v>
      </c>
      <c r="G218" s="129">
        <f t="shared" si="43"/>
        <v>3865.12</v>
      </c>
      <c r="M218" s="172">
        <f t="shared" si="40"/>
        <v>0</v>
      </c>
      <c r="N218" s="95">
        <v>14</v>
      </c>
      <c r="O218" s="95">
        <f t="shared" si="44"/>
        <v>1.19</v>
      </c>
      <c r="P218" s="95">
        <f t="shared" si="45"/>
        <v>16.66</v>
      </c>
      <c r="Q218" s="172">
        <f t="shared" si="41"/>
        <v>3248</v>
      </c>
    </row>
    <row r="219" spans="1:17">
      <c r="A219" s="112">
        <v>43</v>
      </c>
      <c r="B219" s="112" t="s">
        <v>698</v>
      </c>
      <c r="C219" s="112" t="s">
        <v>699</v>
      </c>
      <c r="D219" s="97">
        <v>36</v>
      </c>
      <c r="E219" s="97" t="s">
        <v>36</v>
      </c>
      <c r="F219" s="129">
        <f t="shared" si="42"/>
        <v>97.58</v>
      </c>
      <c r="G219" s="129">
        <f t="shared" si="43"/>
        <v>3512.88</v>
      </c>
      <c r="M219" s="172">
        <f t="shared" si="40"/>
        <v>0</v>
      </c>
      <c r="N219" s="95">
        <v>82</v>
      </c>
      <c r="O219" s="95">
        <f t="shared" si="44"/>
        <v>1.19</v>
      </c>
      <c r="P219" s="95">
        <f t="shared" si="45"/>
        <v>97.58</v>
      </c>
      <c r="Q219" s="172">
        <f t="shared" si="41"/>
        <v>2952</v>
      </c>
    </row>
    <row r="220" spans="1:17">
      <c r="A220" s="112">
        <v>44</v>
      </c>
      <c r="B220" s="112" t="s">
        <v>700</v>
      </c>
      <c r="C220" s="112" t="s">
        <v>701</v>
      </c>
      <c r="D220" s="97">
        <v>62</v>
      </c>
      <c r="E220" s="97" t="s">
        <v>36</v>
      </c>
      <c r="F220" s="129">
        <f t="shared" si="42"/>
        <v>90.44</v>
      </c>
      <c r="G220" s="129">
        <f t="shared" si="43"/>
        <v>5607.28</v>
      </c>
      <c r="M220" s="172">
        <f t="shared" si="40"/>
        <v>0</v>
      </c>
      <c r="N220" s="95">
        <v>76</v>
      </c>
      <c r="O220" s="95">
        <f t="shared" si="44"/>
        <v>1.19</v>
      </c>
      <c r="P220" s="95">
        <f t="shared" si="45"/>
        <v>90.44</v>
      </c>
      <c r="Q220" s="172">
        <f t="shared" si="41"/>
        <v>4712</v>
      </c>
    </row>
    <row r="221" spans="1:17">
      <c r="A221" s="112">
        <v>45</v>
      </c>
      <c r="B221" s="112" t="s">
        <v>702</v>
      </c>
      <c r="C221" s="112" t="s">
        <v>703</v>
      </c>
      <c r="D221" s="97">
        <v>36</v>
      </c>
      <c r="E221" s="97" t="s">
        <v>36</v>
      </c>
      <c r="F221" s="129">
        <f t="shared" si="42"/>
        <v>61.879999999999995</v>
      </c>
      <c r="G221" s="129">
        <f t="shared" si="43"/>
        <v>2227.6799999999998</v>
      </c>
      <c r="M221" s="172">
        <f t="shared" si="40"/>
        <v>0</v>
      </c>
      <c r="N221" s="95">
        <v>52</v>
      </c>
      <c r="O221" s="95">
        <f t="shared" si="44"/>
        <v>1.19</v>
      </c>
      <c r="P221" s="95">
        <f t="shared" si="45"/>
        <v>61.879999999999995</v>
      </c>
      <c r="Q221" s="172">
        <f t="shared" si="41"/>
        <v>1872</v>
      </c>
    </row>
    <row r="222" spans="1:17">
      <c r="A222" s="112">
        <v>46</v>
      </c>
      <c r="B222" s="112" t="s">
        <v>704</v>
      </c>
      <c r="C222" s="112" t="s">
        <v>705</v>
      </c>
      <c r="D222" s="177">
        <v>4488</v>
      </c>
      <c r="E222" s="177" t="s">
        <v>188</v>
      </c>
      <c r="F222" s="178">
        <f t="shared" si="42"/>
        <v>16.66</v>
      </c>
      <c r="G222" s="178">
        <f t="shared" si="43"/>
        <v>74770.080000000002</v>
      </c>
      <c r="I222" s="179">
        <f>(D222-1528)*F222</f>
        <v>49313.599999999999</v>
      </c>
      <c r="M222" s="172">
        <f t="shared" si="40"/>
        <v>0</v>
      </c>
      <c r="N222" s="95">
        <v>14</v>
      </c>
      <c r="O222" s="95">
        <f t="shared" si="44"/>
        <v>1.19</v>
      </c>
      <c r="P222" s="95">
        <f t="shared" si="45"/>
        <v>16.66</v>
      </c>
      <c r="Q222" s="172">
        <f t="shared" si="41"/>
        <v>62832</v>
      </c>
    </row>
    <row r="223" spans="1:17">
      <c r="A223" s="112">
        <v>47</v>
      </c>
      <c r="B223" s="112" t="s">
        <v>706</v>
      </c>
      <c r="C223" s="112" t="s">
        <v>707</v>
      </c>
      <c r="D223" s="97">
        <v>36</v>
      </c>
      <c r="E223" s="97" t="s">
        <v>36</v>
      </c>
      <c r="F223" s="129">
        <f t="shared" si="42"/>
        <v>77.349999999999994</v>
      </c>
      <c r="G223" s="129">
        <f t="shared" si="43"/>
        <v>2784.6</v>
      </c>
      <c r="M223" s="172">
        <f t="shared" si="40"/>
        <v>0</v>
      </c>
      <c r="N223" s="95">
        <v>65</v>
      </c>
      <c r="O223" s="95">
        <f t="shared" si="44"/>
        <v>1.19</v>
      </c>
      <c r="P223" s="95">
        <f t="shared" si="45"/>
        <v>77.349999999999994</v>
      </c>
      <c r="Q223" s="172">
        <f t="shared" si="41"/>
        <v>2340</v>
      </c>
    </row>
    <row r="224" spans="1:17">
      <c r="A224" s="112">
        <v>48</v>
      </c>
      <c r="B224" s="112"/>
      <c r="C224" s="112" t="s">
        <v>439</v>
      </c>
      <c r="D224" s="97">
        <v>12</v>
      </c>
      <c r="E224" s="97" t="s">
        <v>323</v>
      </c>
      <c r="F224" s="129">
        <f t="shared" si="42"/>
        <v>535.5</v>
      </c>
      <c r="G224" s="129">
        <f t="shared" si="43"/>
        <v>6426</v>
      </c>
      <c r="M224" s="172">
        <f t="shared" si="40"/>
        <v>0</v>
      </c>
      <c r="N224" s="95">
        <v>450</v>
      </c>
      <c r="O224" s="95">
        <f t="shared" si="44"/>
        <v>1.19</v>
      </c>
      <c r="P224" s="95">
        <f t="shared" si="45"/>
        <v>535.5</v>
      </c>
      <c r="Q224" s="172">
        <f t="shared" si="41"/>
        <v>5400</v>
      </c>
    </row>
    <row r="225" spans="1:17">
      <c r="A225" s="112">
        <v>49</v>
      </c>
      <c r="B225" s="112"/>
      <c r="C225" s="112" t="s">
        <v>440</v>
      </c>
      <c r="D225" s="97">
        <v>12</v>
      </c>
      <c r="E225" s="97" t="s">
        <v>323</v>
      </c>
      <c r="F225" s="129">
        <f t="shared" si="42"/>
        <v>535.5</v>
      </c>
      <c r="G225" s="129">
        <f t="shared" si="43"/>
        <v>6426</v>
      </c>
      <c r="M225" s="172">
        <f t="shared" si="40"/>
        <v>0</v>
      </c>
      <c r="N225" s="95">
        <v>450</v>
      </c>
      <c r="O225" s="95">
        <f t="shared" si="44"/>
        <v>1.19</v>
      </c>
      <c r="P225" s="95">
        <f t="shared" si="45"/>
        <v>535.5</v>
      </c>
      <c r="Q225" s="172">
        <f t="shared" si="41"/>
        <v>5400</v>
      </c>
    </row>
    <row r="226" spans="1:17">
      <c r="A226" s="112">
        <v>50</v>
      </c>
      <c r="B226" s="112"/>
      <c r="C226" s="112" t="s">
        <v>708</v>
      </c>
      <c r="D226" s="97">
        <v>8</v>
      </c>
      <c r="E226" s="97" t="s">
        <v>323</v>
      </c>
      <c r="F226" s="129">
        <f t="shared" si="42"/>
        <v>535.5</v>
      </c>
      <c r="G226" s="129">
        <f t="shared" si="43"/>
        <v>4284</v>
      </c>
      <c r="M226" s="172">
        <f t="shared" si="40"/>
        <v>0</v>
      </c>
      <c r="N226" s="95">
        <v>450</v>
      </c>
      <c r="O226" s="95">
        <f t="shared" si="44"/>
        <v>1.19</v>
      </c>
      <c r="P226" s="95">
        <f t="shared" si="45"/>
        <v>535.5</v>
      </c>
      <c r="Q226" s="172">
        <f t="shared" si="41"/>
        <v>3600</v>
      </c>
    </row>
    <row r="227" spans="1:17">
      <c r="A227" s="112">
        <v>51</v>
      </c>
      <c r="B227" s="112"/>
      <c r="C227" s="112" t="s">
        <v>709</v>
      </c>
      <c r="D227" s="97">
        <v>7</v>
      </c>
      <c r="E227" s="97" t="s">
        <v>710</v>
      </c>
      <c r="F227" s="129">
        <f t="shared" si="42"/>
        <v>1785</v>
      </c>
      <c r="G227" s="129">
        <f t="shared" si="43"/>
        <v>12495</v>
      </c>
      <c r="M227" s="172">
        <f t="shared" si="40"/>
        <v>0</v>
      </c>
      <c r="N227" s="95">
        <v>1500</v>
      </c>
      <c r="O227" s="95">
        <f t="shared" si="44"/>
        <v>1.19</v>
      </c>
      <c r="P227" s="95">
        <f t="shared" si="45"/>
        <v>1785</v>
      </c>
      <c r="Q227" s="172">
        <f t="shared" si="41"/>
        <v>10500</v>
      </c>
    </row>
    <row r="228" spans="1:17">
      <c r="A228" s="112">
        <v>52</v>
      </c>
      <c r="B228" s="112"/>
      <c r="C228" s="112" t="s">
        <v>711</v>
      </c>
      <c r="D228" s="97">
        <v>8</v>
      </c>
      <c r="E228" s="97" t="s">
        <v>323</v>
      </c>
      <c r="F228" s="129">
        <f t="shared" si="42"/>
        <v>1011.5</v>
      </c>
      <c r="G228" s="129">
        <f t="shared" si="43"/>
        <v>8092</v>
      </c>
      <c r="M228" s="172">
        <f t="shared" si="40"/>
        <v>0</v>
      </c>
      <c r="N228" s="95">
        <v>850</v>
      </c>
      <c r="O228" s="95">
        <f t="shared" si="44"/>
        <v>1.19</v>
      </c>
      <c r="P228" s="95">
        <f t="shared" si="45"/>
        <v>1011.5</v>
      </c>
      <c r="Q228" s="172">
        <f t="shared" si="41"/>
        <v>6800</v>
      </c>
    </row>
    <row r="229" spans="1:17">
      <c r="A229" s="112">
        <v>53</v>
      </c>
      <c r="B229" s="112" t="s">
        <v>653</v>
      </c>
      <c r="C229" s="112" t="s">
        <v>712</v>
      </c>
      <c r="D229" s="97">
        <v>1</v>
      </c>
      <c r="E229" s="97" t="s">
        <v>36</v>
      </c>
      <c r="F229" s="129">
        <f t="shared" si="42"/>
        <v>416.5</v>
      </c>
      <c r="G229" s="129">
        <f t="shared" si="43"/>
        <v>416.5</v>
      </c>
      <c r="M229" s="172">
        <f t="shared" si="40"/>
        <v>0</v>
      </c>
      <c r="N229" s="95">
        <v>350</v>
      </c>
      <c r="O229" s="95">
        <f t="shared" si="44"/>
        <v>1.19</v>
      </c>
      <c r="P229" s="95">
        <f t="shared" si="45"/>
        <v>416.5</v>
      </c>
      <c r="Q229" s="172">
        <f t="shared" si="41"/>
        <v>350</v>
      </c>
    </row>
    <row r="230" spans="1:17">
      <c r="A230" s="112">
        <v>54</v>
      </c>
      <c r="B230" s="112" t="s">
        <v>713</v>
      </c>
      <c r="C230" s="112" t="s">
        <v>714</v>
      </c>
      <c r="D230" s="97">
        <v>2</v>
      </c>
      <c r="E230" s="97" t="s">
        <v>36</v>
      </c>
      <c r="F230" s="129">
        <f t="shared" si="42"/>
        <v>357</v>
      </c>
      <c r="G230" s="129">
        <f t="shared" si="43"/>
        <v>714</v>
      </c>
      <c r="M230" s="172">
        <f t="shared" si="40"/>
        <v>0</v>
      </c>
      <c r="N230" s="95">
        <v>300</v>
      </c>
      <c r="O230" s="95">
        <f t="shared" si="44"/>
        <v>1.19</v>
      </c>
      <c r="P230" s="95">
        <f t="shared" si="45"/>
        <v>357</v>
      </c>
      <c r="Q230" s="172">
        <f t="shared" si="41"/>
        <v>600</v>
      </c>
    </row>
    <row r="231" spans="1:17">
      <c r="A231" s="112">
        <v>55</v>
      </c>
      <c r="B231" s="112" t="s">
        <v>715</v>
      </c>
      <c r="C231" s="112" t="s">
        <v>716</v>
      </c>
      <c r="D231" s="97">
        <v>2</v>
      </c>
      <c r="E231" s="97" t="s">
        <v>36</v>
      </c>
      <c r="F231" s="129">
        <f t="shared" si="42"/>
        <v>261.8</v>
      </c>
      <c r="G231" s="129">
        <f t="shared" si="43"/>
        <v>523.6</v>
      </c>
      <c r="M231" s="172">
        <f t="shared" si="40"/>
        <v>0</v>
      </c>
      <c r="N231" s="95">
        <v>220</v>
      </c>
      <c r="O231" s="95">
        <f t="shared" si="44"/>
        <v>1.19</v>
      </c>
      <c r="P231" s="95">
        <f t="shared" si="45"/>
        <v>261.8</v>
      </c>
      <c r="Q231" s="172">
        <f t="shared" si="41"/>
        <v>440</v>
      </c>
    </row>
    <row r="232" spans="1:17">
      <c r="A232" s="112">
        <v>56</v>
      </c>
      <c r="B232" s="112" t="s">
        <v>717</v>
      </c>
      <c r="C232" s="112" t="s">
        <v>718</v>
      </c>
      <c r="D232" s="177">
        <v>2244</v>
      </c>
      <c r="E232" s="177" t="s">
        <v>188</v>
      </c>
      <c r="F232" s="178">
        <f t="shared" si="42"/>
        <v>29.75</v>
      </c>
      <c r="G232" s="178">
        <f t="shared" si="43"/>
        <v>66759</v>
      </c>
      <c r="I232" s="179">
        <f>(D232-500)*F232</f>
        <v>51884</v>
      </c>
      <c r="M232" s="172">
        <f t="shared" si="40"/>
        <v>0</v>
      </c>
      <c r="N232" s="95">
        <v>25</v>
      </c>
      <c r="O232" s="95">
        <f t="shared" si="44"/>
        <v>1.19</v>
      </c>
      <c r="P232" s="95">
        <f t="shared" si="45"/>
        <v>29.75</v>
      </c>
      <c r="Q232" s="172">
        <f t="shared" si="41"/>
        <v>56100</v>
      </c>
    </row>
    <row r="233" spans="1:17">
      <c r="A233" s="112">
        <v>57</v>
      </c>
      <c r="B233" s="112" t="s">
        <v>719</v>
      </c>
      <c r="C233" s="112" t="s">
        <v>720</v>
      </c>
      <c r="D233" s="97">
        <v>34</v>
      </c>
      <c r="E233" s="97" t="s">
        <v>36</v>
      </c>
      <c r="F233" s="129">
        <f t="shared" si="42"/>
        <v>23.799999999999997</v>
      </c>
      <c r="G233" s="129">
        <f t="shared" si="43"/>
        <v>809.19999999999993</v>
      </c>
      <c r="M233" s="172">
        <f t="shared" si="40"/>
        <v>0</v>
      </c>
      <c r="N233" s="95">
        <v>20</v>
      </c>
      <c r="O233" s="95">
        <f t="shared" si="44"/>
        <v>1.19</v>
      </c>
      <c r="P233" s="95">
        <f t="shared" si="45"/>
        <v>23.799999999999997</v>
      </c>
      <c r="Q233" s="172">
        <f t="shared" si="41"/>
        <v>680</v>
      </c>
    </row>
    <row r="234" spans="1:17">
      <c r="A234" s="112">
        <v>58</v>
      </c>
      <c r="B234" s="112" t="s">
        <v>721</v>
      </c>
      <c r="C234" s="112" t="s">
        <v>722</v>
      </c>
      <c r="D234" s="97">
        <v>34</v>
      </c>
      <c r="E234" s="97" t="s">
        <v>36</v>
      </c>
      <c r="F234" s="129">
        <f t="shared" si="42"/>
        <v>29.75</v>
      </c>
      <c r="G234" s="129">
        <f t="shared" si="43"/>
        <v>1011.5</v>
      </c>
      <c r="M234" s="172">
        <f t="shared" si="40"/>
        <v>0</v>
      </c>
      <c r="N234" s="95">
        <v>25</v>
      </c>
      <c r="O234" s="95">
        <f t="shared" si="44"/>
        <v>1.19</v>
      </c>
      <c r="P234" s="95">
        <f t="shared" si="45"/>
        <v>29.75</v>
      </c>
      <c r="Q234" s="172">
        <f t="shared" si="41"/>
        <v>850</v>
      </c>
    </row>
    <row r="235" spans="1:17">
      <c r="A235" s="29"/>
      <c r="B235" s="29"/>
      <c r="C235" s="115" t="s">
        <v>366</v>
      </c>
      <c r="D235" s="116"/>
      <c r="E235" s="105"/>
      <c r="F235" s="130"/>
      <c r="G235" s="130">
        <f>SUM(G177:G234)</f>
        <v>289242.59000000003</v>
      </c>
      <c r="M235" s="172">
        <f t="shared" si="40"/>
        <v>0</v>
      </c>
      <c r="Q235" s="172">
        <f t="shared" si="41"/>
        <v>0</v>
      </c>
    </row>
    <row r="236" spans="1:17">
      <c r="D236" s="31"/>
      <c r="E236" s="31"/>
      <c r="M236" s="172">
        <f t="shared" si="40"/>
        <v>0</v>
      </c>
      <c r="Q236" s="172">
        <f t="shared" si="41"/>
        <v>0</v>
      </c>
    </row>
    <row r="237" spans="1:17" ht="15.45">
      <c r="C237" s="110" t="s">
        <v>723</v>
      </c>
      <c r="D237" s="31"/>
      <c r="E237" s="31"/>
      <c r="M237" s="172">
        <f t="shared" si="40"/>
        <v>0</v>
      </c>
      <c r="Q237" s="172">
        <f t="shared" si="41"/>
        <v>0</v>
      </c>
    </row>
    <row r="238" spans="1:17">
      <c r="A238" s="111" t="s">
        <v>362</v>
      </c>
      <c r="B238" s="111" t="s">
        <v>363</v>
      </c>
      <c r="C238" s="111" t="s">
        <v>364</v>
      </c>
      <c r="D238" s="106"/>
      <c r="E238" s="106" t="s">
        <v>18</v>
      </c>
      <c r="F238" s="128" t="s">
        <v>365</v>
      </c>
      <c r="G238" s="128" t="s">
        <v>366</v>
      </c>
      <c r="M238" s="172">
        <f t="shared" si="40"/>
        <v>0</v>
      </c>
      <c r="Q238" s="172">
        <f t="shared" si="41"/>
        <v>0</v>
      </c>
    </row>
    <row r="239" spans="1:17">
      <c r="A239" s="112">
        <v>1</v>
      </c>
      <c r="B239" s="112" t="s">
        <v>724</v>
      </c>
      <c r="C239" s="112" t="s">
        <v>725</v>
      </c>
      <c r="D239" s="97">
        <v>1</v>
      </c>
      <c r="E239" s="97" t="s">
        <v>36</v>
      </c>
      <c r="F239" s="129">
        <f t="shared" ref="F239:F281" si="46">L239+P239</f>
        <v>19557.649999999998</v>
      </c>
      <c r="G239" s="129">
        <f t="shared" ref="G239:G281" si="47">D239*F239</f>
        <v>19557.649999999998</v>
      </c>
      <c r="J239" s="104">
        <v>16435</v>
      </c>
      <c r="K239" s="93">
        <f t="shared" ref="K239:K281" si="48">$K$1</f>
        <v>1.19</v>
      </c>
      <c r="L239" s="93">
        <f t="shared" ref="L239:L281" si="49">K239*J239</f>
        <v>19557.649999999998</v>
      </c>
      <c r="M239" s="172">
        <f t="shared" si="40"/>
        <v>16435</v>
      </c>
      <c r="Q239" s="172">
        <f t="shared" si="41"/>
        <v>0</v>
      </c>
    </row>
    <row r="240" spans="1:17">
      <c r="A240" s="112">
        <v>2</v>
      </c>
      <c r="B240" s="112" t="s">
        <v>726</v>
      </c>
      <c r="C240" s="112" t="s">
        <v>727</v>
      </c>
      <c r="D240" s="97">
        <v>15</v>
      </c>
      <c r="E240" s="97" t="s">
        <v>36</v>
      </c>
      <c r="F240" s="129">
        <f t="shared" si="46"/>
        <v>703.29</v>
      </c>
      <c r="G240" s="129">
        <f t="shared" si="47"/>
        <v>10549.349999999999</v>
      </c>
      <c r="J240" s="104">
        <v>591</v>
      </c>
      <c r="K240" s="93">
        <f t="shared" si="48"/>
        <v>1.19</v>
      </c>
      <c r="L240" s="93">
        <f t="shared" si="49"/>
        <v>703.29</v>
      </c>
      <c r="M240" s="172">
        <f t="shared" si="40"/>
        <v>8865</v>
      </c>
      <c r="Q240" s="172">
        <f t="shared" si="41"/>
        <v>0</v>
      </c>
    </row>
    <row r="241" spans="1:17">
      <c r="A241" s="112">
        <v>3</v>
      </c>
      <c r="B241" s="112" t="s">
        <v>728</v>
      </c>
      <c r="C241" s="112" t="s">
        <v>729</v>
      </c>
      <c r="D241" s="97">
        <v>1</v>
      </c>
      <c r="E241" s="97" t="s">
        <v>36</v>
      </c>
      <c r="F241" s="129">
        <f t="shared" si="46"/>
        <v>9261.77</v>
      </c>
      <c r="G241" s="129">
        <f t="shared" si="47"/>
        <v>9261.77</v>
      </c>
      <c r="J241" s="104">
        <v>7783</v>
      </c>
      <c r="K241" s="93">
        <f t="shared" si="48"/>
        <v>1.19</v>
      </c>
      <c r="L241" s="93">
        <f t="shared" si="49"/>
        <v>9261.77</v>
      </c>
      <c r="M241" s="172">
        <f t="shared" si="40"/>
        <v>7783</v>
      </c>
      <c r="Q241" s="172">
        <f t="shared" si="41"/>
        <v>0</v>
      </c>
    </row>
    <row r="242" spans="1:17">
      <c r="A242" s="112">
        <v>4</v>
      </c>
      <c r="B242" s="112" t="s">
        <v>730</v>
      </c>
      <c r="C242" s="112" t="s">
        <v>731</v>
      </c>
      <c r="D242" s="97">
        <v>4</v>
      </c>
      <c r="E242" s="97" t="s">
        <v>36</v>
      </c>
      <c r="F242" s="129">
        <f t="shared" si="46"/>
        <v>2769.1299999999997</v>
      </c>
      <c r="G242" s="129">
        <f t="shared" si="47"/>
        <v>11076.519999999999</v>
      </c>
      <c r="J242" s="104">
        <v>2327</v>
      </c>
      <c r="K242" s="93">
        <f t="shared" si="48"/>
        <v>1.19</v>
      </c>
      <c r="L242" s="93">
        <f t="shared" si="49"/>
        <v>2769.1299999999997</v>
      </c>
      <c r="M242" s="172">
        <f t="shared" si="40"/>
        <v>9308</v>
      </c>
      <c r="Q242" s="172">
        <f t="shared" si="41"/>
        <v>0</v>
      </c>
    </row>
    <row r="243" spans="1:17">
      <c r="A243" s="112">
        <v>5</v>
      </c>
      <c r="B243" s="112" t="s">
        <v>732</v>
      </c>
      <c r="C243" s="112" t="s">
        <v>733</v>
      </c>
      <c r="D243" s="97">
        <v>4</v>
      </c>
      <c r="E243" s="97" t="s">
        <v>36</v>
      </c>
      <c r="F243" s="129">
        <f t="shared" si="46"/>
        <v>684.25</v>
      </c>
      <c r="G243" s="129">
        <f t="shared" si="47"/>
        <v>2737</v>
      </c>
      <c r="J243" s="104">
        <v>575</v>
      </c>
      <c r="K243" s="93">
        <f t="shared" si="48"/>
        <v>1.19</v>
      </c>
      <c r="L243" s="93">
        <f t="shared" si="49"/>
        <v>684.25</v>
      </c>
      <c r="M243" s="172">
        <f t="shared" si="40"/>
        <v>2300</v>
      </c>
      <c r="Q243" s="172">
        <f t="shared" si="41"/>
        <v>0</v>
      </c>
    </row>
    <row r="244" spans="1:17">
      <c r="A244" s="112">
        <v>6</v>
      </c>
      <c r="B244" s="112" t="s">
        <v>734</v>
      </c>
      <c r="C244" s="112" t="s">
        <v>735</v>
      </c>
      <c r="D244" s="97">
        <v>0</v>
      </c>
      <c r="E244" s="97" t="s">
        <v>36</v>
      </c>
      <c r="F244" s="129">
        <f t="shared" si="46"/>
        <v>5357.38</v>
      </c>
      <c r="G244" s="129">
        <f t="shared" si="47"/>
        <v>0</v>
      </c>
      <c r="J244" s="104">
        <v>4502</v>
      </c>
      <c r="K244" s="93">
        <f t="shared" si="48"/>
        <v>1.19</v>
      </c>
      <c r="L244" s="93">
        <f t="shared" si="49"/>
        <v>5357.38</v>
      </c>
      <c r="M244" s="172">
        <f t="shared" si="40"/>
        <v>0</v>
      </c>
      <c r="Q244" s="172">
        <f t="shared" si="41"/>
        <v>0</v>
      </c>
    </row>
    <row r="245" spans="1:17">
      <c r="A245" s="112">
        <v>7</v>
      </c>
      <c r="B245" s="112" t="s">
        <v>736</v>
      </c>
      <c r="C245" s="112" t="s">
        <v>737</v>
      </c>
      <c r="D245" s="97">
        <v>1</v>
      </c>
      <c r="E245" s="97" t="s">
        <v>36</v>
      </c>
      <c r="F245" s="129">
        <f t="shared" si="46"/>
        <v>1989.6799999999998</v>
      </c>
      <c r="G245" s="129">
        <f t="shared" si="47"/>
        <v>1989.6799999999998</v>
      </c>
      <c r="J245" s="104">
        <v>1672</v>
      </c>
      <c r="K245" s="93">
        <f t="shared" si="48"/>
        <v>1.19</v>
      </c>
      <c r="L245" s="93">
        <f t="shared" si="49"/>
        <v>1989.6799999999998</v>
      </c>
      <c r="M245" s="172">
        <f t="shared" si="40"/>
        <v>1672</v>
      </c>
      <c r="Q245" s="172">
        <f t="shared" si="41"/>
        <v>0</v>
      </c>
    </row>
    <row r="246" spans="1:17">
      <c r="A246" s="112">
        <v>8</v>
      </c>
      <c r="B246" s="112" t="s">
        <v>738</v>
      </c>
      <c r="C246" s="112" t="s">
        <v>739</v>
      </c>
      <c r="D246" s="97">
        <v>1</v>
      </c>
      <c r="E246" s="97" t="s">
        <v>36</v>
      </c>
      <c r="F246" s="129">
        <f t="shared" si="46"/>
        <v>449.82</v>
      </c>
      <c r="G246" s="129">
        <f t="shared" si="47"/>
        <v>449.82</v>
      </c>
      <c r="J246" s="104">
        <v>378</v>
      </c>
      <c r="K246" s="93">
        <f t="shared" si="48"/>
        <v>1.19</v>
      </c>
      <c r="L246" s="93">
        <f t="shared" si="49"/>
        <v>449.82</v>
      </c>
      <c r="M246" s="172">
        <f t="shared" si="40"/>
        <v>378</v>
      </c>
      <c r="Q246" s="172">
        <f t="shared" si="41"/>
        <v>0</v>
      </c>
    </row>
    <row r="247" spans="1:17">
      <c r="A247" s="112">
        <v>9</v>
      </c>
      <c r="B247" s="112" t="s">
        <v>740</v>
      </c>
      <c r="C247" s="112" t="s">
        <v>741</v>
      </c>
      <c r="D247" s="97">
        <v>3</v>
      </c>
      <c r="E247" s="97" t="s">
        <v>36</v>
      </c>
      <c r="F247" s="129">
        <f t="shared" si="46"/>
        <v>428.4</v>
      </c>
      <c r="G247" s="129">
        <f t="shared" si="47"/>
        <v>1285.1999999999998</v>
      </c>
      <c r="J247" s="104">
        <v>360</v>
      </c>
      <c r="K247" s="93">
        <f t="shared" si="48"/>
        <v>1.19</v>
      </c>
      <c r="L247" s="93">
        <f t="shared" si="49"/>
        <v>428.4</v>
      </c>
      <c r="M247" s="172">
        <f t="shared" si="40"/>
        <v>1080</v>
      </c>
      <c r="Q247" s="172">
        <f t="shared" si="41"/>
        <v>0</v>
      </c>
    </row>
    <row r="248" spans="1:17">
      <c r="A248" s="112">
        <v>10</v>
      </c>
      <c r="B248" s="112"/>
      <c r="C248" s="112" t="s">
        <v>742</v>
      </c>
      <c r="D248" s="97">
        <v>3</v>
      </c>
      <c r="E248" s="97" t="s">
        <v>36</v>
      </c>
      <c r="F248" s="129">
        <f t="shared" si="46"/>
        <v>29.75</v>
      </c>
      <c r="G248" s="129">
        <f t="shared" si="47"/>
        <v>89.25</v>
      </c>
      <c r="J248" s="104">
        <v>25</v>
      </c>
      <c r="K248" s="93">
        <f t="shared" si="48"/>
        <v>1.19</v>
      </c>
      <c r="L248" s="93">
        <f t="shared" si="49"/>
        <v>29.75</v>
      </c>
      <c r="M248" s="172">
        <f t="shared" si="40"/>
        <v>75</v>
      </c>
      <c r="Q248" s="172">
        <f t="shared" si="41"/>
        <v>0</v>
      </c>
    </row>
    <row r="249" spans="1:17">
      <c r="A249" s="112">
        <v>11</v>
      </c>
      <c r="B249" s="112" t="s">
        <v>743</v>
      </c>
      <c r="C249" s="112" t="s">
        <v>744</v>
      </c>
      <c r="D249" s="97">
        <v>3</v>
      </c>
      <c r="E249" s="97" t="s">
        <v>36</v>
      </c>
      <c r="F249" s="129">
        <f t="shared" si="46"/>
        <v>986.51</v>
      </c>
      <c r="G249" s="129">
        <f t="shared" si="47"/>
        <v>2959.5299999999997</v>
      </c>
      <c r="J249" s="104">
        <v>829</v>
      </c>
      <c r="K249" s="93">
        <f t="shared" si="48"/>
        <v>1.19</v>
      </c>
      <c r="L249" s="93">
        <f t="shared" si="49"/>
        <v>986.51</v>
      </c>
      <c r="M249" s="172">
        <f t="shared" si="40"/>
        <v>2487</v>
      </c>
      <c r="Q249" s="172">
        <f t="shared" si="41"/>
        <v>0</v>
      </c>
    </row>
    <row r="250" spans="1:17">
      <c r="A250" s="112">
        <v>12</v>
      </c>
      <c r="B250" s="112" t="s">
        <v>745</v>
      </c>
      <c r="C250" s="112" t="s">
        <v>746</v>
      </c>
      <c r="D250" s="97">
        <v>4</v>
      </c>
      <c r="E250" s="97" t="s">
        <v>36</v>
      </c>
      <c r="F250" s="129">
        <f t="shared" si="46"/>
        <v>2076.5499999999997</v>
      </c>
      <c r="G250" s="129">
        <f t="shared" si="47"/>
        <v>8306.1999999999989</v>
      </c>
      <c r="J250" s="104">
        <v>1745</v>
      </c>
      <c r="K250" s="93">
        <f t="shared" si="48"/>
        <v>1.19</v>
      </c>
      <c r="L250" s="93">
        <f t="shared" si="49"/>
        <v>2076.5499999999997</v>
      </c>
      <c r="M250" s="172">
        <f t="shared" si="40"/>
        <v>6980</v>
      </c>
      <c r="Q250" s="172">
        <f t="shared" si="41"/>
        <v>0</v>
      </c>
    </row>
    <row r="251" spans="1:17">
      <c r="A251" s="112">
        <v>13</v>
      </c>
      <c r="B251" s="112" t="s">
        <v>747</v>
      </c>
      <c r="C251" s="112" t="s">
        <v>748</v>
      </c>
      <c r="D251" s="97">
        <v>7</v>
      </c>
      <c r="E251" s="97" t="s">
        <v>36</v>
      </c>
      <c r="F251" s="129">
        <f t="shared" si="46"/>
        <v>11424</v>
      </c>
      <c r="G251" s="129">
        <f t="shared" si="47"/>
        <v>79968</v>
      </c>
      <c r="J251" s="104">
        <v>9600</v>
      </c>
      <c r="K251" s="93">
        <f t="shared" si="48"/>
        <v>1.19</v>
      </c>
      <c r="L251" s="93">
        <f t="shared" si="49"/>
        <v>11424</v>
      </c>
      <c r="M251" s="172">
        <f t="shared" si="40"/>
        <v>67200</v>
      </c>
      <c r="Q251" s="172">
        <f t="shared" si="41"/>
        <v>0</v>
      </c>
    </row>
    <row r="252" spans="1:17">
      <c r="A252" s="112">
        <v>14</v>
      </c>
      <c r="B252" s="112" t="s">
        <v>749</v>
      </c>
      <c r="C252" s="112" t="s">
        <v>750</v>
      </c>
      <c r="D252" s="97">
        <v>10</v>
      </c>
      <c r="E252" s="97" t="s">
        <v>36</v>
      </c>
      <c r="F252" s="129">
        <f t="shared" si="46"/>
        <v>11781</v>
      </c>
      <c r="G252" s="129">
        <f t="shared" si="47"/>
        <v>117810</v>
      </c>
      <c r="J252" s="104">
        <v>9900</v>
      </c>
      <c r="K252" s="93">
        <f t="shared" si="48"/>
        <v>1.19</v>
      </c>
      <c r="L252" s="93">
        <f t="shared" si="49"/>
        <v>11781</v>
      </c>
      <c r="M252" s="172">
        <f t="shared" si="40"/>
        <v>99000</v>
      </c>
      <c r="Q252" s="172">
        <f t="shared" si="41"/>
        <v>0</v>
      </c>
    </row>
    <row r="253" spans="1:17">
      <c r="A253" s="112">
        <v>15</v>
      </c>
      <c r="B253" s="112" t="s">
        <v>751</v>
      </c>
      <c r="C253" s="112" t="s">
        <v>752</v>
      </c>
      <c r="D253" s="97">
        <v>0</v>
      </c>
      <c r="E253" s="97" t="s">
        <v>36</v>
      </c>
      <c r="F253" s="129">
        <f t="shared" si="46"/>
        <v>13685</v>
      </c>
      <c r="G253" s="129">
        <f t="shared" si="47"/>
        <v>0</v>
      </c>
      <c r="J253" s="104">
        <v>11500</v>
      </c>
      <c r="K253" s="93">
        <f t="shared" si="48"/>
        <v>1.19</v>
      </c>
      <c r="L253" s="93">
        <f t="shared" si="49"/>
        <v>13685</v>
      </c>
      <c r="M253" s="172">
        <f t="shared" si="40"/>
        <v>0</v>
      </c>
      <c r="Q253" s="172">
        <f t="shared" si="41"/>
        <v>0</v>
      </c>
    </row>
    <row r="254" spans="1:17">
      <c r="A254" s="112">
        <v>16</v>
      </c>
      <c r="B254" s="112" t="s">
        <v>753</v>
      </c>
      <c r="C254" s="112" t="s">
        <v>754</v>
      </c>
      <c r="D254" s="97">
        <v>7</v>
      </c>
      <c r="E254" s="97" t="s">
        <v>36</v>
      </c>
      <c r="F254" s="129">
        <f t="shared" si="46"/>
        <v>267.75</v>
      </c>
      <c r="G254" s="129">
        <f t="shared" si="47"/>
        <v>1874.25</v>
      </c>
      <c r="J254" s="104">
        <v>225</v>
      </c>
      <c r="K254" s="93">
        <f t="shared" si="48"/>
        <v>1.19</v>
      </c>
      <c r="L254" s="93">
        <f t="shared" si="49"/>
        <v>267.75</v>
      </c>
      <c r="M254" s="172">
        <f t="shared" si="40"/>
        <v>1575</v>
      </c>
      <c r="Q254" s="172">
        <f t="shared" si="41"/>
        <v>0</v>
      </c>
    </row>
    <row r="255" spans="1:17">
      <c r="A255" s="112">
        <v>17</v>
      </c>
      <c r="B255" s="112" t="s">
        <v>755</v>
      </c>
      <c r="C255" s="112" t="s">
        <v>756</v>
      </c>
      <c r="D255" s="97">
        <v>10</v>
      </c>
      <c r="E255" s="97" t="s">
        <v>36</v>
      </c>
      <c r="F255" s="129">
        <f t="shared" si="46"/>
        <v>267.75</v>
      </c>
      <c r="G255" s="129">
        <f t="shared" si="47"/>
        <v>2677.5</v>
      </c>
      <c r="J255" s="104">
        <v>225</v>
      </c>
      <c r="K255" s="93">
        <f t="shared" si="48"/>
        <v>1.19</v>
      </c>
      <c r="L255" s="93">
        <f t="shared" si="49"/>
        <v>267.75</v>
      </c>
      <c r="M255" s="172">
        <f t="shared" si="40"/>
        <v>2250</v>
      </c>
      <c r="Q255" s="172">
        <f t="shared" si="41"/>
        <v>0</v>
      </c>
    </row>
    <row r="256" spans="1:17">
      <c r="A256" s="112">
        <v>18</v>
      </c>
      <c r="B256" s="112" t="s">
        <v>757</v>
      </c>
      <c r="C256" s="112" t="s">
        <v>758</v>
      </c>
      <c r="D256" s="97">
        <v>27</v>
      </c>
      <c r="E256" s="97" t="s">
        <v>36</v>
      </c>
      <c r="F256" s="129">
        <f t="shared" si="46"/>
        <v>1104.32</v>
      </c>
      <c r="G256" s="129">
        <f t="shared" si="47"/>
        <v>29816.639999999999</v>
      </c>
      <c r="J256" s="104">
        <v>928</v>
      </c>
      <c r="K256" s="93">
        <f t="shared" si="48"/>
        <v>1.19</v>
      </c>
      <c r="L256" s="93">
        <f t="shared" si="49"/>
        <v>1104.32</v>
      </c>
      <c r="M256" s="172">
        <f t="shared" si="40"/>
        <v>25056</v>
      </c>
      <c r="Q256" s="172">
        <f t="shared" si="41"/>
        <v>0</v>
      </c>
    </row>
    <row r="257" spans="1:20">
      <c r="A257" s="112">
        <v>19</v>
      </c>
      <c r="B257" s="112" t="s">
        <v>759</v>
      </c>
      <c r="C257" s="112" t="s">
        <v>760</v>
      </c>
      <c r="D257" s="97">
        <v>30</v>
      </c>
      <c r="E257" s="97" t="s">
        <v>36</v>
      </c>
      <c r="F257" s="129">
        <f t="shared" si="46"/>
        <v>1184.05</v>
      </c>
      <c r="G257" s="129">
        <f t="shared" si="47"/>
        <v>35521.5</v>
      </c>
      <c r="J257" s="104">
        <v>995</v>
      </c>
      <c r="K257" s="93">
        <f t="shared" si="48"/>
        <v>1.19</v>
      </c>
      <c r="L257" s="93">
        <f t="shared" si="49"/>
        <v>1184.05</v>
      </c>
      <c r="M257" s="172">
        <f t="shared" si="40"/>
        <v>29850</v>
      </c>
      <c r="Q257" s="172">
        <f t="shared" si="41"/>
        <v>0</v>
      </c>
    </row>
    <row r="258" spans="1:20">
      <c r="A258" s="112">
        <v>20</v>
      </c>
      <c r="B258" s="112"/>
      <c r="C258" s="112" t="s">
        <v>761</v>
      </c>
      <c r="D258" s="97">
        <v>34</v>
      </c>
      <c r="E258" s="97" t="s">
        <v>36</v>
      </c>
      <c r="F258" s="129">
        <f t="shared" si="46"/>
        <v>535.5</v>
      </c>
      <c r="G258" s="129">
        <f t="shared" si="47"/>
        <v>18207</v>
      </c>
      <c r="J258" s="104">
        <v>450</v>
      </c>
      <c r="K258" s="93">
        <f t="shared" si="48"/>
        <v>1.19</v>
      </c>
      <c r="L258" s="93">
        <f t="shared" si="49"/>
        <v>535.5</v>
      </c>
      <c r="M258" s="172">
        <f t="shared" si="40"/>
        <v>15300</v>
      </c>
      <c r="Q258" s="172">
        <f t="shared" si="41"/>
        <v>0</v>
      </c>
    </row>
    <row r="259" spans="1:20">
      <c r="A259" s="112">
        <v>21</v>
      </c>
      <c r="B259" s="112" t="s">
        <v>762</v>
      </c>
      <c r="C259" s="112" t="s">
        <v>763</v>
      </c>
      <c r="D259" s="97">
        <v>4</v>
      </c>
      <c r="E259" s="97" t="s">
        <v>36</v>
      </c>
      <c r="F259" s="129">
        <f t="shared" si="46"/>
        <v>1184.05</v>
      </c>
      <c r="G259" s="129">
        <f t="shared" si="47"/>
        <v>4736.2</v>
      </c>
      <c r="J259" s="104">
        <v>995</v>
      </c>
      <c r="K259" s="93">
        <f t="shared" si="48"/>
        <v>1.19</v>
      </c>
      <c r="L259" s="93">
        <f t="shared" si="49"/>
        <v>1184.05</v>
      </c>
      <c r="M259" s="172">
        <f t="shared" si="40"/>
        <v>3980</v>
      </c>
      <c r="Q259" s="172">
        <f t="shared" si="41"/>
        <v>0</v>
      </c>
    </row>
    <row r="260" spans="1:20">
      <c r="A260" s="112">
        <v>22</v>
      </c>
      <c r="B260" s="112" t="s">
        <v>764</v>
      </c>
      <c r="C260" s="112" t="s">
        <v>765</v>
      </c>
      <c r="D260" s="97">
        <v>34</v>
      </c>
      <c r="E260" s="97" t="s">
        <v>36</v>
      </c>
      <c r="F260" s="129">
        <f t="shared" si="46"/>
        <v>79.608619999999988</v>
      </c>
      <c r="G260" s="129">
        <f t="shared" si="47"/>
        <v>2706.6930799999996</v>
      </c>
      <c r="J260" s="104">
        <v>66.897999999999996</v>
      </c>
      <c r="K260" s="93">
        <f t="shared" si="48"/>
        <v>1.19</v>
      </c>
      <c r="L260" s="93">
        <f t="shared" si="49"/>
        <v>79.608619999999988</v>
      </c>
      <c r="M260" s="172">
        <f t="shared" si="40"/>
        <v>2274.5319999999997</v>
      </c>
      <c r="Q260" s="172">
        <f t="shared" si="41"/>
        <v>0</v>
      </c>
    </row>
    <row r="261" spans="1:20">
      <c r="A261" s="112">
        <v>23</v>
      </c>
      <c r="B261" s="112"/>
      <c r="C261" s="112" t="s">
        <v>766</v>
      </c>
      <c r="D261" s="97">
        <v>136</v>
      </c>
      <c r="E261" s="97" t="s">
        <v>36</v>
      </c>
      <c r="F261" s="129">
        <f t="shared" si="46"/>
        <v>9.1039759999999994</v>
      </c>
      <c r="G261" s="129">
        <f t="shared" si="47"/>
        <v>1238.1407359999998</v>
      </c>
      <c r="J261" s="104">
        <v>7.6504000000000003</v>
      </c>
      <c r="K261" s="93">
        <f t="shared" si="48"/>
        <v>1.19</v>
      </c>
      <c r="L261" s="93">
        <f t="shared" si="49"/>
        <v>9.1039759999999994</v>
      </c>
      <c r="M261" s="172">
        <f t="shared" ref="M261:M281" si="50">SUM(J261*D261)</f>
        <v>1040.4544000000001</v>
      </c>
      <c r="Q261" s="172">
        <f t="shared" ref="Q261:Q281" si="51">SUM(N261*D261)</f>
        <v>0</v>
      </c>
    </row>
    <row r="262" spans="1:20">
      <c r="A262" s="112">
        <v>24</v>
      </c>
      <c r="B262" s="112" t="s">
        <v>767</v>
      </c>
      <c r="C262" s="112" t="s">
        <v>768</v>
      </c>
      <c r="D262" s="97">
        <v>4</v>
      </c>
      <c r="E262" s="97" t="s">
        <v>36</v>
      </c>
      <c r="F262" s="129">
        <f t="shared" si="46"/>
        <v>197.54</v>
      </c>
      <c r="G262" s="129">
        <f t="shared" si="47"/>
        <v>790.16</v>
      </c>
      <c r="J262" s="104">
        <v>166</v>
      </c>
      <c r="K262" s="93">
        <f t="shared" si="48"/>
        <v>1.19</v>
      </c>
      <c r="L262" s="93">
        <f t="shared" si="49"/>
        <v>197.54</v>
      </c>
      <c r="M262" s="172">
        <f t="shared" si="50"/>
        <v>664</v>
      </c>
      <c r="Q262" s="172">
        <f t="shared" si="51"/>
        <v>0</v>
      </c>
    </row>
    <row r="263" spans="1:20">
      <c r="A263" s="112">
        <v>25</v>
      </c>
      <c r="B263" s="112" t="s">
        <v>769</v>
      </c>
      <c r="C263" s="112" t="s">
        <v>770</v>
      </c>
      <c r="D263" s="97">
        <v>2</v>
      </c>
      <c r="E263" s="97" t="s">
        <v>36</v>
      </c>
      <c r="F263" s="129">
        <f t="shared" si="46"/>
        <v>197.54</v>
      </c>
      <c r="G263" s="129">
        <f t="shared" si="47"/>
        <v>395.08</v>
      </c>
      <c r="J263" s="104">
        <v>166</v>
      </c>
      <c r="K263" s="93">
        <f t="shared" si="48"/>
        <v>1.19</v>
      </c>
      <c r="L263" s="93">
        <f t="shared" si="49"/>
        <v>197.54</v>
      </c>
      <c r="M263" s="172">
        <f t="shared" si="50"/>
        <v>332</v>
      </c>
      <c r="Q263" s="172">
        <f t="shared" si="51"/>
        <v>0</v>
      </c>
    </row>
    <row r="264" spans="1:20">
      <c r="A264" s="112">
        <v>26</v>
      </c>
      <c r="B264" s="112" t="s">
        <v>771</v>
      </c>
      <c r="C264" s="112" t="s">
        <v>772</v>
      </c>
      <c r="D264" s="97">
        <v>6</v>
      </c>
      <c r="E264" s="97" t="s">
        <v>36</v>
      </c>
      <c r="F264" s="129">
        <f t="shared" si="46"/>
        <v>3558.1</v>
      </c>
      <c r="G264" s="129">
        <f t="shared" si="47"/>
        <v>21348.6</v>
      </c>
      <c r="J264" s="104">
        <v>2990</v>
      </c>
      <c r="K264" s="93">
        <f t="shared" si="48"/>
        <v>1.19</v>
      </c>
      <c r="L264" s="93">
        <f t="shared" si="49"/>
        <v>3558.1</v>
      </c>
      <c r="M264" s="172">
        <f t="shared" si="50"/>
        <v>17940</v>
      </c>
      <c r="Q264" s="172">
        <f t="shared" si="51"/>
        <v>0</v>
      </c>
    </row>
    <row r="265" spans="1:20">
      <c r="A265" s="112">
        <v>27</v>
      </c>
      <c r="B265" s="112" t="s">
        <v>773</v>
      </c>
      <c r="C265" s="112" t="s">
        <v>774</v>
      </c>
      <c r="D265" s="97">
        <v>2</v>
      </c>
      <c r="E265" s="97" t="s">
        <v>36</v>
      </c>
      <c r="F265" s="129">
        <f t="shared" si="46"/>
        <v>2558.5</v>
      </c>
      <c r="G265" s="129">
        <f t="shared" si="47"/>
        <v>5117</v>
      </c>
      <c r="J265" s="104">
        <v>2150</v>
      </c>
      <c r="K265" s="93">
        <f t="shared" si="48"/>
        <v>1.19</v>
      </c>
      <c r="L265" s="93">
        <f t="shared" si="49"/>
        <v>2558.5</v>
      </c>
      <c r="M265" s="172">
        <f t="shared" si="50"/>
        <v>4300</v>
      </c>
      <c r="Q265" s="172">
        <f t="shared" si="51"/>
        <v>0</v>
      </c>
    </row>
    <row r="266" spans="1:20">
      <c r="A266" s="112">
        <v>28</v>
      </c>
      <c r="B266" s="112" t="s">
        <v>775</v>
      </c>
      <c r="C266" s="112" t="s">
        <v>776</v>
      </c>
      <c r="D266" s="97">
        <v>4</v>
      </c>
      <c r="E266" s="97" t="s">
        <v>36</v>
      </c>
      <c r="F266" s="129">
        <f t="shared" si="46"/>
        <v>21.419999999999998</v>
      </c>
      <c r="G266" s="129">
        <f t="shared" si="47"/>
        <v>85.679999999999993</v>
      </c>
      <c r="J266" s="104">
        <v>18</v>
      </c>
      <c r="K266" s="93">
        <f t="shared" si="48"/>
        <v>1.19</v>
      </c>
      <c r="L266" s="93">
        <f t="shared" si="49"/>
        <v>21.419999999999998</v>
      </c>
      <c r="M266" s="172">
        <f t="shared" si="50"/>
        <v>72</v>
      </c>
      <c r="Q266" s="172">
        <f t="shared" si="51"/>
        <v>0</v>
      </c>
    </row>
    <row r="267" spans="1:20">
      <c r="A267" s="112">
        <v>29</v>
      </c>
      <c r="B267" s="112" t="s">
        <v>777</v>
      </c>
      <c r="C267" s="112" t="s">
        <v>778</v>
      </c>
      <c r="D267" s="97">
        <v>780</v>
      </c>
      <c r="E267" s="97" t="s">
        <v>36</v>
      </c>
      <c r="F267" s="129">
        <f t="shared" si="46"/>
        <v>8.0303579999999997</v>
      </c>
      <c r="G267" s="129">
        <f t="shared" si="47"/>
        <v>6263.6792399999995</v>
      </c>
      <c r="J267" s="104">
        <v>6.7481999999999998</v>
      </c>
      <c r="K267" s="93">
        <f t="shared" si="48"/>
        <v>1.19</v>
      </c>
      <c r="L267" s="93">
        <f t="shared" si="49"/>
        <v>8.0303579999999997</v>
      </c>
      <c r="M267" s="172">
        <f t="shared" si="50"/>
        <v>5263.5959999999995</v>
      </c>
      <c r="Q267" s="172">
        <f t="shared" si="51"/>
        <v>0</v>
      </c>
    </row>
    <row r="268" spans="1:20">
      <c r="A268" s="112">
        <v>30</v>
      </c>
      <c r="B268" s="112" t="s">
        <v>779</v>
      </c>
      <c r="C268" s="112" t="s">
        <v>780</v>
      </c>
      <c r="D268" s="97">
        <v>232</v>
      </c>
      <c r="E268" s="97" t="s">
        <v>188</v>
      </c>
      <c r="F268" s="129">
        <f t="shared" si="46"/>
        <v>17.029613999999999</v>
      </c>
      <c r="G268" s="129">
        <f t="shared" si="47"/>
        <v>3950.8704479999997</v>
      </c>
      <c r="J268" s="104">
        <v>14.310600000000001</v>
      </c>
      <c r="K268" s="93">
        <f t="shared" si="48"/>
        <v>1.19</v>
      </c>
      <c r="L268" s="93">
        <f t="shared" si="49"/>
        <v>17.029613999999999</v>
      </c>
      <c r="M268" s="172">
        <f t="shared" si="50"/>
        <v>3320.0592000000001</v>
      </c>
      <c r="Q268" s="172">
        <f t="shared" si="51"/>
        <v>0</v>
      </c>
    </row>
    <row r="269" spans="1:20">
      <c r="A269" s="112">
        <v>31</v>
      </c>
      <c r="B269" s="112"/>
      <c r="C269" s="112" t="s">
        <v>781</v>
      </c>
      <c r="D269" s="97">
        <v>232</v>
      </c>
      <c r="E269" s="97" t="s">
        <v>188</v>
      </c>
      <c r="F269" s="129">
        <f t="shared" si="46"/>
        <v>8.3960450000000009</v>
      </c>
      <c r="G269" s="129">
        <f t="shared" si="47"/>
        <v>1947.8824400000003</v>
      </c>
      <c r="J269" s="104">
        <v>7.0555000000000003</v>
      </c>
      <c r="K269" s="93">
        <f t="shared" si="48"/>
        <v>1.19</v>
      </c>
      <c r="L269" s="93">
        <f t="shared" si="49"/>
        <v>8.3960450000000009</v>
      </c>
      <c r="M269" s="172">
        <f t="shared" si="50"/>
        <v>1636.876</v>
      </c>
      <c r="Q269" s="172">
        <f t="shared" si="51"/>
        <v>0</v>
      </c>
    </row>
    <row r="270" spans="1:20">
      <c r="A270" s="112">
        <v>32</v>
      </c>
      <c r="B270" s="112" t="s">
        <v>782</v>
      </c>
      <c r="C270" s="112" t="s">
        <v>783</v>
      </c>
      <c r="D270" s="177">
        <v>2244</v>
      </c>
      <c r="E270" s="177" t="s">
        <v>188</v>
      </c>
      <c r="F270" s="178">
        <f t="shared" si="46"/>
        <v>49.230299999999993</v>
      </c>
      <c r="G270" s="178">
        <f t="shared" si="47"/>
        <v>110472.79319999999</v>
      </c>
      <c r="I270" s="179">
        <f>(D270-500)*F270</f>
        <v>85857.643199999991</v>
      </c>
      <c r="J270" s="104">
        <v>41.37</v>
      </c>
      <c r="K270" s="93">
        <f t="shared" si="48"/>
        <v>1.19</v>
      </c>
      <c r="L270" s="93">
        <f t="shared" si="49"/>
        <v>49.230299999999993</v>
      </c>
      <c r="M270" s="172">
        <f t="shared" si="50"/>
        <v>92834.28</v>
      </c>
      <c r="Q270" s="172">
        <f t="shared" si="51"/>
        <v>0</v>
      </c>
      <c r="S270" t="s">
        <v>784</v>
      </c>
      <c r="T270">
        <v>500</v>
      </c>
    </row>
    <row r="271" spans="1:20">
      <c r="A271" s="112">
        <v>33</v>
      </c>
      <c r="B271" s="112" t="s">
        <v>785</v>
      </c>
      <c r="C271" s="112" t="s">
        <v>786</v>
      </c>
      <c r="D271" s="177">
        <v>4488</v>
      </c>
      <c r="E271" s="177" t="s">
        <v>188</v>
      </c>
      <c r="F271" s="178">
        <f t="shared" si="46"/>
        <v>16.650480000000002</v>
      </c>
      <c r="G271" s="178">
        <f t="shared" si="47"/>
        <v>74727.354240000001</v>
      </c>
      <c r="I271" s="179">
        <f>(D271-1528)*F271</f>
        <v>49285.420800000007</v>
      </c>
      <c r="J271" s="104">
        <v>13.992000000000001</v>
      </c>
      <c r="K271" s="93">
        <f t="shared" si="48"/>
        <v>1.19</v>
      </c>
      <c r="L271" s="93">
        <f t="shared" si="49"/>
        <v>16.650480000000002</v>
      </c>
      <c r="M271" s="172">
        <f t="shared" si="50"/>
        <v>62796.096000000005</v>
      </c>
      <c r="Q271" s="172">
        <f t="shared" si="51"/>
        <v>0</v>
      </c>
      <c r="S271" t="s">
        <v>784</v>
      </c>
      <c r="T271">
        <f>2*(620+18*8)</f>
        <v>1528</v>
      </c>
    </row>
    <row r="272" spans="1:20">
      <c r="A272" s="112">
        <v>34</v>
      </c>
      <c r="B272" s="112"/>
      <c r="C272" s="112" t="s">
        <v>787</v>
      </c>
      <c r="D272" s="97">
        <v>1</v>
      </c>
      <c r="E272" s="97" t="s">
        <v>36</v>
      </c>
      <c r="F272" s="129">
        <f t="shared" si="46"/>
        <v>1172.1499999999999</v>
      </c>
      <c r="G272" s="129">
        <f t="shared" si="47"/>
        <v>1172.1499999999999</v>
      </c>
      <c r="J272" s="104">
        <v>985</v>
      </c>
      <c r="K272" s="93">
        <f t="shared" si="48"/>
        <v>1.19</v>
      </c>
      <c r="L272" s="93">
        <f t="shared" si="49"/>
        <v>1172.1499999999999</v>
      </c>
      <c r="M272" s="172">
        <f t="shared" si="50"/>
        <v>985</v>
      </c>
      <c r="Q272" s="172">
        <f t="shared" si="51"/>
        <v>0</v>
      </c>
    </row>
    <row r="273" spans="1:17">
      <c r="A273" s="112">
        <v>35</v>
      </c>
      <c r="B273" s="112"/>
      <c r="C273" s="112" t="s">
        <v>788</v>
      </c>
      <c r="D273" s="97">
        <v>10</v>
      </c>
      <c r="E273" s="97" t="s">
        <v>36</v>
      </c>
      <c r="F273" s="129">
        <f t="shared" si="46"/>
        <v>323.68</v>
      </c>
      <c r="G273" s="129">
        <f t="shared" si="47"/>
        <v>3236.8</v>
      </c>
      <c r="J273" s="104">
        <v>272</v>
      </c>
      <c r="K273" s="93">
        <f t="shared" si="48"/>
        <v>1.19</v>
      </c>
      <c r="L273" s="93">
        <f t="shared" si="49"/>
        <v>323.68</v>
      </c>
      <c r="M273" s="172">
        <f t="shared" si="50"/>
        <v>2720</v>
      </c>
      <c r="Q273" s="172">
        <f t="shared" si="51"/>
        <v>0</v>
      </c>
    </row>
    <row r="274" spans="1:17">
      <c r="A274" s="112">
        <v>36</v>
      </c>
      <c r="B274" s="112"/>
      <c r="C274" s="112" t="s">
        <v>789</v>
      </c>
      <c r="D274" s="97">
        <v>2</v>
      </c>
      <c r="E274" s="97" t="s">
        <v>36</v>
      </c>
      <c r="F274" s="129">
        <f t="shared" si="46"/>
        <v>166.6</v>
      </c>
      <c r="G274" s="129">
        <f t="shared" si="47"/>
        <v>333.2</v>
      </c>
      <c r="J274" s="104">
        <v>140</v>
      </c>
      <c r="K274" s="93">
        <f t="shared" si="48"/>
        <v>1.19</v>
      </c>
      <c r="L274" s="93">
        <f t="shared" si="49"/>
        <v>166.6</v>
      </c>
      <c r="M274" s="172">
        <f t="shared" si="50"/>
        <v>280</v>
      </c>
      <c r="Q274" s="172">
        <f t="shared" si="51"/>
        <v>0</v>
      </c>
    </row>
    <row r="275" spans="1:17">
      <c r="A275" s="112">
        <v>37</v>
      </c>
      <c r="B275" s="112"/>
      <c r="C275" s="112" t="s">
        <v>790</v>
      </c>
      <c r="D275" s="97">
        <v>1</v>
      </c>
      <c r="E275" s="97" t="s">
        <v>36</v>
      </c>
      <c r="F275" s="129">
        <f t="shared" si="46"/>
        <v>535.5</v>
      </c>
      <c r="G275" s="129">
        <f t="shared" si="47"/>
        <v>535.5</v>
      </c>
      <c r="J275" s="104">
        <v>450</v>
      </c>
      <c r="K275" s="93">
        <f t="shared" si="48"/>
        <v>1.19</v>
      </c>
      <c r="L275" s="93">
        <f t="shared" si="49"/>
        <v>535.5</v>
      </c>
      <c r="M275" s="172">
        <f t="shared" si="50"/>
        <v>450</v>
      </c>
      <c r="Q275" s="172">
        <f t="shared" si="51"/>
        <v>0</v>
      </c>
    </row>
    <row r="276" spans="1:17">
      <c r="A276" s="112">
        <v>38</v>
      </c>
      <c r="B276" s="112"/>
      <c r="C276" s="112" t="s">
        <v>791</v>
      </c>
      <c r="D276" s="97">
        <v>1</v>
      </c>
      <c r="E276" s="97" t="s">
        <v>36</v>
      </c>
      <c r="F276" s="129">
        <f t="shared" si="46"/>
        <v>535.5</v>
      </c>
      <c r="G276" s="129">
        <f t="shared" si="47"/>
        <v>535.5</v>
      </c>
      <c r="J276" s="104">
        <v>450</v>
      </c>
      <c r="K276" s="93">
        <f t="shared" si="48"/>
        <v>1.19</v>
      </c>
      <c r="L276" s="93">
        <f t="shared" si="49"/>
        <v>535.5</v>
      </c>
      <c r="M276" s="172">
        <f t="shared" si="50"/>
        <v>450</v>
      </c>
      <c r="Q276" s="172">
        <f t="shared" si="51"/>
        <v>0</v>
      </c>
    </row>
    <row r="277" spans="1:17">
      <c r="A277" s="112">
        <v>39</v>
      </c>
      <c r="B277" s="112" t="s">
        <v>792</v>
      </c>
      <c r="C277" s="118" t="s">
        <v>793</v>
      </c>
      <c r="D277" s="97">
        <v>2</v>
      </c>
      <c r="E277" s="97" t="s">
        <v>36</v>
      </c>
      <c r="F277" s="129">
        <f t="shared" si="46"/>
        <v>3367.7</v>
      </c>
      <c r="G277" s="129">
        <f t="shared" si="47"/>
        <v>6735.4</v>
      </c>
      <c r="H277" t="s">
        <v>794</v>
      </c>
      <c r="J277" s="104">
        <v>2830</v>
      </c>
      <c r="K277" s="93">
        <f t="shared" si="48"/>
        <v>1.19</v>
      </c>
      <c r="L277" s="93">
        <f t="shared" si="49"/>
        <v>3367.7</v>
      </c>
      <c r="M277" s="172">
        <f t="shared" si="50"/>
        <v>5660</v>
      </c>
      <c r="Q277" s="172">
        <f t="shared" si="51"/>
        <v>0</v>
      </c>
    </row>
    <row r="278" spans="1:17">
      <c r="A278" s="112">
        <v>40</v>
      </c>
      <c r="B278" s="112" t="s">
        <v>795</v>
      </c>
      <c r="C278" s="118" t="s">
        <v>796</v>
      </c>
      <c r="D278" s="97">
        <v>2</v>
      </c>
      <c r="E278" s="97" t="s">
        <v>36</v>
      </c>
      <c r="F278" s="129">
        <f t="shared" si="46"/>
        <v>0</v>
      </c>
      <c r="G278" s="129">
        <f t="shared" si="47"/>
        <v>0</v>
      </c>
      <c r="J278" s="104">
        <v>0</v>
      </c>
      <c r="K278" s="93">
        <f t="shared" si="48"/>
        <v>1.19</v>
      </c>
      <c r="L278" s="93">
        <f t="shared" si="49"/>
        <v>0</v>
      </c>
      <c r="M278" s="172">
        <f t="shared" si="50"/>
        <v>0</v>
      </c>
      <c r="Q278" s="172">
        <f t="shared" si="51"/>
        <v>0</v>
      </c>
    </row>
    <row r="279" spans="1:17" ht="16.5" customHeight="1">
      <c r="A279" s="121">
        <v>41</v>
      </c>
      <c r="B279" s="121" t="s">
        <v>797</v>
      </c>
      <c r="C279" s="122" t="s">
        <v>798</v>
      </c>
      <c r="D279" s="123">
        <v>2</v>
      </c>
      <c r="E279" s="123" t="s">
        <v>36</v>
      </c>
      <c r="F279" s="131">
        <f t="shared" si="46"/>
        <v>9134.4161999999997</v>
      </c>
      <c r="G279" s="131">
        <f t="shared" si="47"/>
        <v>18268.832399999999</v>
      </c>
      <c r="J279" s="104">
        <v>7675.98</v>
      </c>
      <c r="K279" s="93">
        <f t="shared" si="48"/>
        <v>1.19</v>
      </c>
      <c r="L279" s="93">
        <f t="shared" si="49"/>
        <v>9134.4161999999997</v>
      </c>
      <c r="M279" s="172">
        <f t="shared" si="50"/>
        <v>15351.96</v>
      </c>
      <c r="Q279" s="172">
        <f t="shared" si="51"/>
        <v>0</v>
      </c>
    </row>
    <row r="280" spans="1:17" ht="17.25" customHeight="1">
      <c r="A280" s="121">
        <v>42</v>
      </c>
      <c r="B280" s="121" t="s">
        <v>799</v>
      </c>
      <c r="C280" s="122" t="s">
        <v>798</v>
      </c>
      <c r="D280" s="123">
        <v>2</v>
      </c>
      <c r="E280" s="123" t="s">
        <v>36</v>
      </c>
      <c r="F280" s="131">
        <f t="shared" si="46"/>
        <v>9134.4161999999997</v>
      </c>
      <c r="G280" s="131">
        <f t="shared" si="47"/>
        <v>18268.832399999999</v>
      </c>
      <c r="J280" s="104">
        <v>7675.98</v>
      </c>
      <c r="K280" s="93">
        <f t="shared" si="48"/>
        <v>1.19</v>
      </c>
      <c r="L280" s="93">
        <f t="shared" si="49"/>
        <v>9134.4161999999997</v>
      </c>
      <c r="M280" s="172">
        <f t="shared" si="50"/>
        <v>15351.96</v>
      </c>
      <c r="Q280" s="172">
        <f t="shared" si="51"/>
        <v>0</v>
      </c>
    </row>
    <row r="281" spans="1:17">
      <c r="A281" s="112">
        <v>43</v>
      </c>
      <c r="B281" s="112"/>
      <c r="C281" s="112" t="s">
        <v>800</v>
      </c>
      <c r="D281" s="97">
        <v>4</v>
      </c>
      <c r="E281" s="97" t="s">
        <v>36</v>
      </c>
      <c r="F281" s="129">
        <f t="shared" si="46"/>
        <v>1011.5</v>
      </c>
      <c r="G281" s="129">
        <f t="shared" si="47"/>
        <v>4046</v>
      </c>
      <c r="J281" s="104">
        <v>850</v>
      </c>
      <c r="K281" s="93">
        <f t="shared" si="48"/>
        <v>1.19</v>
      </c>
      <c r="L281" s="93">
        <f t="shared" si="49"/>
        <v>1011.5</v>
      </c>
      <c r="M281" s="172">
        <f t="shared" si="50"/>
        <v>3400</v>
      </c>
      <c r="Q281" s="172">
        <f t="shared" si="51"/>
        <v>0</v>
      </c>
    </row>
    <row r="282" spans="1:17" ht="17.149999999999999">
      <c r="A282" s="29"/>
      <c r="B282" s="29"/>
      <c r="C282" s="115" t="s">
        <v>366</v>
      </c>
      <c r="D282" s="124"/>
      <c r="E282" s="107"/>
      <c r="F282" s="130"/>
      <c r="G282" s="130">
        <f>SUM(G239:G281)</f>
        <v>641049.20818399987</v>
      </c>
      <c r="M282" s="174">
        <f>SUM(M4:M281)</f>
        <v>927991.21360000013</v>
      </c>
      <c r="Q282" s="174">
        <f>SUM(Q4:Q281)</f>
        <v>556355.80000000005</v>
      </c>
    </row>
    <row r="283" spans="1:17">
      <c r="B283" s="30"/>
      <c r="C283" s="125"/>
      <c r="D283" s="112"/>
      <c r="E283" s="108"/>
      <c r="G283" s="135"/>
    </row>
    <row r="285" spans="1:17">
      <c r="C285" s="191" t="s">
        <v>356</v>
      </c>
      <c r="D285" s="191"/>
      <c r="E285" s="191"/>
      <c r="G285" s="175">
        <f>G282+G235+G173+G157+G139+G105+G66+G46</f>
        <v>1774071.1261839999</v>
      </c>
      <c r="M285" t="s">
        <v>801</v>
      </c>
      <c r="N285" s="173">
        <f>SUM(M282:Q282)</f>
        <v>1484347.0136000002</v>
      </c>
      <c r="Q285" s="162">
        <f>SUM(1-(N285/G285))</f>
        <v>0.16331031394845585</v>
      </c>
    </row>
    <row r="287" spans="1:17">
      <c r="I287" t="s">
        <v>802</v>
      </c>
      <c r="K287" s="181">
        <f>SUM(I4:I281)</f>
        <v>297175.84399999998</v>
      </c>
      <c r="N287" s="176">
        <f>SUM(G285-N285)</f>
        <v>289724.11258399975</v>
      </c>
      <c r="O287" t="s">
        <v>357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REK</vt:lpstr>
      <vt:lpstr>SIL</vt:lpstr>
      <vt:lpstr>SLP_R1</vt:lpstr>
      <vt:lpstr>NN + VO</vt:lpstr>
      <vt:lpstr>Přípojka VN + TS</vt:lpstr>
      <vt:lpstr>SLP_R0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Adela</dc:creator>
  <cp:keywords/>
  <dc:description/>
  <cp:lastModifiedBy>Martin Hrabcik</cp:lastModifiedBy>
  <cp:revision/>
  <dcterms:created xsi:type="dcterms:W3CDTF">2024-11-27T09:07:59Z</dcterms:created>
  <dcterms:modified xsi:type="dcterms:W3CDTF">2026-02-01T20:39:29Z</dcterms:modified>
  <cp:category/>
  <cp:contentStatus/>
</cp:coreProperties>
</file>