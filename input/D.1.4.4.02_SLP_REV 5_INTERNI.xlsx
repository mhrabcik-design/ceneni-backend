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09b716a5e78c18/02_code/ceneni/input/"/>
    </mc:Choice>
  </mc:AlternateContent>
  <xr:revisionPtr revIDLastSave="229" documentId="13_ncr:1_{9088755D-4C1B-4E60-93C0-3AEE676028BE}" xr6:coauthVersionLast="47" xr6:coauthVersionMax="47" xr10:uidLastSave="{AA19DFC7-BCF4-4C30-9921-447FAC9CFDB7}"/>
  <bookViews>
    <workbookView xWindow="-103" yWindow="-103" windowWidth="33120" windowHeight="18000" xr2:uid="{00000000-000D-0000-FFFF-FFFF00000000}"/>
  </bookViews>
  <sheets>
    <sheet name="Položkově" sheetId="2" r:id="rId1"/>
  </sheets>
  <definedNames>
    <definedName name="_dph1">#REF!</definedName>
    <definedName name="_dph2">#REF!</definedName>
    <definedName name="_dph3">#REF!</definedName>
    <definedName name="_pol1">Položkově!#REF!</definedName>
    <definedName name="_pol2">Položkově!#REF!</definedName>
    <definedName name="_pol3">Položkově!#REF!</definedName>
    <definedName name="footer">#REF!</definedName>
    <definedName name="footer2">Položkově!#REF!</definedName>
    <definedName name="head1">#REF!</definedName>
    <definedName name="Header">#REF!</definedName>
    <definedName name="Header2">Položkově!#REF!</definedName>
    <definedName name="Hlava1">#REF!</definedName>
    <definedName name="Hlava2">#REF!</definedName>
    <definedName name="Hlava3">#REF!</definedName>
    <definedName name="Hlava4">#REF!</definedName>
    <definedName name="polbezcen1">Položkově!#REF!</definedName>
    <definedName name="polcen2">Položkově!#REF!</definedName>
    <definedName name="polcen3">Položkově!#REF!</definedName>
    <definedName name="Poznamka">#REF!</definedName>
    <definedName name="ZakHea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2" l="1"/>
  <c r="H30" i="2"/>
  <c r="H31" i="2"/>
  <c r="H32" i="2"/>
  <c r="H28" i="2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116" i="2"/>
  <c r="K116" i="2" s="1"/>
  <c r="F116" i="2" s="1"/>
  <c r="J117" i="2"/>
  <c r="K117" i="2" s="1"/>
  <c r="F117" i="2" s="1"/>
  <c r="J118" i="2"/>
  <c r="K118" i="2" s="1"/>
  <c r="F118" i="2" s="1"/>
  <c r="J119" i="2"/>
  <c r="K119" i="2" s="1"/>
  <c r="F119" i="2" s="1"/>
  <c r="J120" i="2"/>
  <c r="K120" i="2" s="1"/>
  <c r="F120" i="2" s="1"/>
  <c r="J121" i="2"/>
  <c r="K121" i="2" s="1"/>
  <c r="F121" i="2" s="1"/>
  <c r="J122" i="2"/>
  <c r="K122" i="2" s="1"/>
  <c r="F122" i="2" s="1"/>
  <c r="J123" i="2"/>
  <c r="K123" i="2" s="1"/>
  <c r="F123" i="2" s="1"/>
  <c r="J124" i="2"/>
  <c r="K124" i="2"/>
  <c r="F124" i="2" s="1"/>
  <c r="J125" i="2"/>
  <c r="K125" i="2" s="1"/>
  <c r="F125" i="2" s="1"/>
  <c r="J126" i="2"/>
  <c r="K126" i="2" s="1"/>
  <c r="F126" i="2" s="1"/>
  <c r="J127" i="2"/>
  <c r="K127" i="2" s="1"/>
  <c r="F127" i="2" s="1"/>
  <c r="J128" i="2"/>
  <c r="K128" i="2" s="1"/>
  <c r="F128" i="2" s="1"/>
  <c r="J129" i="2"/>
  <c r="K129" i="2" s="1"/>
  <c r="F129" i="2" s="1"/>
  <c r="J130" i="2"/>
  <c r="K130" i="2" s="1"/>
  <c r="F130" i="2" s="1"/>
  <c r="J131" i="2"/>
  <c r="K131" i="2" s="1"/>
  <c r="F131" i="2" s="1"/>
  <c r="J132" i="2"/>
  <c r="K132" i="2" s="1"/>
  <c r="F132" i="2" s="1"/>
  <c r="J133" i="2"/>
  <c r="K133" i="2" s="1"/>
  <c r="F133" i="2" s="1"/>
  <c r="J134" i="2"/>
  <c r="K134" i="2" s="1"/>
  <c r="F134" i="2" s="1"/>
  <c r="J135" i="2"/>
  <c r="K135" i="2" s="1"/>
  <c r="F135" i="2" s="1"/>
  <c r="J136" i="2"/>
  <c r="K136" i="2" s="1"/>
  <c r="F136" i="2" s="1"/>
  <c r="J137" i="2"/>
  <c r="K137" i="2" s="1"/>
  <c r="F137" i="2" s="1"/>
  <c r="J138" i="2"/>
  <c r="K138" i="2" s="1"/>
  <c r="F138" i="2" s="1"/>
  <c r="J139" i="2"/>
  <c r="K139" i="2" s="1"/>
  <c r="F139" i="2" s="1"/>
  <c r="J140" i="2"/>
  <c r="K140" i="2" s="1"/>
  <c r="F140" i="2" s="1"/>
  <c r="J141" i="2"/>
  <c r="K141" i="2"/>
  <c r="F141" i="2" s="1"/>
  <c r="J142" i="2"/>
  <c r="K142" i="2" s="1"/>
  <c r="F142" i="2" s="1"/>
  <c r="J143" i="2"/>
  <c r="K143" i="2" s="1"/>
  <c r="F143" i="2" s="1"/>
  <c r="J144" i="2"/>
  <c r="K144" i="2" s="1"/>
  <c r="F144" i="2" s="1"/>
  <c r="J145" i="2"/>
  <c r="K145" i="2" s="1"/>
  <c r="F145" i="2" s="1"/>
  <c r="J146" i="2"/>
  <c r="K146" i="2" s="1"/>
  <c r="F146" i="2" s="1"/>
  <c r="J147" i="2"/>
  <c r="K147" i="2" s="1"/>
  <c r="F147" i="2" s="1"/>
  <c r="J148" i="2"/>
  <c r="K148" i="2" s="1"/>
  <c r="F148" i="2" s="1"/>
  <c r="J149" i="2"/>
  <c r="K149" i="2" s="1"/>
  <c r="F149" i="2" s="1"/>
  <c r="J150" i="2"/>
  <c r="K150" i="2" s="1"/>
  <c r="F150" i="2" s="1"/>
  <c r="J151" i="2"/>
  <c r="K151" i="2" s="1"/>
  <c r="F151" i="2" s="1"/>
  <c r="J152" i="2"/>
  <c r="K152" i="2" s="1"/>
  <c r="F152" i="2" s="1"/>
  <c r="J153" i="2"/>
  <c r="K153" i="2" s="1"/>
  <c r="F153" i="2" s="1"/>
  <c r="J154" i="2"/>
  <c r="K154" i="2" s="1"/>
  <c r="F154" i="2" s="1"/>
  <c r="J155" i="2"/>
  <c r="K155" i="2" s="1"/>
  <c r="F155" i="2" s="1"/>
  <c r="J180" i="2"/>
  <c r="K180" i="2" s="1"/>
  <c r="F180" i="2" s="1"/>
  <c r="J181" i="2"/>
  <c r="K181" i="2" s="1"/>
  <c r="F181" i="2" s="1"/>
  <c r="J182" i="2"/>
  <c r="K182" i="2" s="1"/>
  <c r="F182" i="2" s="1"/>
  <c r="J183" i="2"/>
  <c r="K183" i="2" s="1"/>
  <c r="F183" i="2" s="1"/>
  <c r="J184" i="2"/>
  <c r="K184" i="2" s="1"/>
  <c r="F184" i="2" s="1"/>
  <c r="J185" i="2"/>
  <c r="K185" i="2"/>
  <c r="F185" i="2" s="1"/>
  <c r="J186" i="2"/>
  <c r="K186" i="2" s="1"/>
  <c r="F186" i="2" s="1"/>
  <c r="J187" i="2"/>
  <c r="K187" i="2" s="1"/>
  <c r="F187" i="2" s="1"/>
  <c r="J188" i="2"/>
  <c r="K188" i="2" s="1"/>
  <c r="F188" i="2" s="1"/>
  <c r="J189" i="2"/>
  <c r="K189" i="2" s="1"/>
  <c r="F189" i="2" s="1"/>
  <c r="J259" i="2"/>
  <c r="K259" i="2" s="1"/>
  <c r="F259" i="2" s="1"/>
  <c r="J260" i="2"/>
  <c r="K260" i="2" s="1"/>
  <c r="F260" i="2" s="1"/>
  <c r="J261" i="2"/>
  <c r="K261" i="2" s="1"/>
  <c r="F261" i="2" s="1"/>
  <c r="J262" i="2"/>
  <c r="K262" i="2" s="1"/>
  <c r="F262" i="2" s="1"/>
  <c r="J263" i="2"/>
  <c r="K263" i="2" s="1"/>
  <c r="F263" i="2" s="1"/>
  <c r="J264" i="2"/>
  <c r="K264" i="2" s="1"/>
  <c r="F264" i="2" s="1"/>
  <c r="J265" i="2"/>
  <c r="K265" i="2" s="1"/>
  <c r="F265" i="2" s="1"/>
  <c r="J266" i="2"/>
  <c r="K266" i="2" s="1"/>
  <c r="F266" i="2" s="1"/>
  <c r="J267" i="2"/>
  <c r="K267" i="2" s="1"/>
  <c r="F267" i="2" s="1"/>
  <c r="J268" i="2"/>
  <c r="K268" i="2" s="1"/>
  <c r="F268" i="2" s="1"/>
  <c r="J269" i="2"/>
  <c r="K269" i="2" s="1"/>
  <c r="F269" i="2" s="1"/>
  <c r="J270" i="2"/>
  <c r="K270" i="2" s="1"/>
  <c r="F270" i="2" s="1"/>
  <c r="J271" i="2"/>
  <c r="K271" i="2" s="1"/>
  <c r="F271" i="2" s="1"/>
  <c r="J272" i="2"/>
  <c r="K272" i="2" s="1"/>
  <c r="F272" i="2" s="1"/>
  <c r="J273" i="2"/>
  <c r="K273" i="2" s="1"/>
  <c r="F273" i="2" s="1"/>
  <c r="J274" i="2"/>
  <c r="K274" i="2" s="1"/>
  <c r="F274" i="2" s="1"/>
  <c r="J275" i="2"/>
  <c r="K275" i="2" s="1"/>
  <c r="F275" i="2" s="1"/>
  <c r="J276" i="2"/>
  <c r="K276" i="2" s="1"/>
  <c r="F276" i="2" s="1"/>
  <c r="J277" i="2"/>
  <c r="K277" i="2" s="1"/>
  <c r="F277" i="2" s="1"/>
  <c r="J278" i="2"/>
  <c r="K278" i="2" s="1"/>
  <c r="F278" i="2" s="1"/>
  <c r="J279" i="2"/>
  <c r="K279" i="2" s="1"/>
  <c r="F279" i="2" s="1"/>
  <c r="J280" i="2"/>
  <c r="K280" i="2"/>
  <c r="F280" i="2" s="1"/>
  <c r="J281" i="2"/>
  <c r="K281" i="2" s="1"/>
  <c r="F281" i="2" s="1"/>
  <c r="J282" i="2"/>
  <c r="K282" i="2" s="1"/>
  <c r="F282" i="2" s="1"/>
  <c r="J283" i="2"/>
  <c r="K283" i="2" s="1"/>
  <c r="F283" i="2" s="1"/>
  <c r="J284" i="2"/>
  <c r="K284" i="2" s="1"/>
  <c r="F284" i="2" s="1"/>
  <c r="J285" i="2"/>
  <c r="K285" i="2"/>
  <c r="F285" i="2" s="1"/>
  <c r="J286" i="2"/>
  <c r="K286" i="2" s="1"/>
  <c r="F286" i="2" s="1"/>
  <c r="J287" i="2"/>
  <c r="K287" i="2" s="1"/>
  <c r="F287" i="2" s="1"/>
  <c r="J288" i="2"/>
  <c r="K288" i="2" s="1"/>
  <c r="F288" i="2" s="1"/>
  <c r="J289" i="2"/>
  <c r="K289" i="2" s="1"/>
  <c r="F289" i="2" s="1"/>
  <c r="J290" i="2"/>
  <c r="K290" i="2" s="1"/>
  <c r="F290" i="2" s="1"/>
  <c r="J291" i="2"/>
  <c r="K291" i="2" s="1"/>
  <c r="F291" i="2" s="1"/>
  <c r="J292" i="2"/>
  <c r="K292" i="2" s="1"/>
  <c r="F292" i="2" s="1"/>
  <c r="J293" i="2"/>
  <c r="K293" i="2" s="1"/>
  <c r="F293" i="2" s="1"/>
  <c r="J294" i="2"/>
  <c r="K294" i="2" s="1"/>
  <c r="F294" i="2" s="1"/>
  <c r="J295" i="2"/>
  <c r="K295" i="2" s="1"/>
  <c r="F295" i="2" s="1"/>
  <c r="J296" i="2"/>
  <c r="K296" i="2" s="1"/>
  <c r="F296" i="2" s="1"/>
  <c r="J297" i="2"/>
  <c r="K297" i="2" s="1"/>
  <c r="F297" i="2" s="1"/>
  <c r="J298" i="2"/>
  <c r="K298" i="2" s="1"/>
  <c r="F298" i="2" s="1"/>
  <c r="J299" i="2"/>
  <c r="K299" i="2" s="1"/>
  <c r="F299" i="2" s="1"/>
  <c r="J330" i="2"/>
  <c r="K330" i="2"/>
  <c r="F330" i="2" s="1"/>
  <c r="J331" i="2"/>
  <c r="K331" i="2" s="1"/>
  <c r="F331" i="2" s="1"/>
  <c r="J332" i="2"/>
  <c r="K332" i="2" s="1"/>
  <c r="F332" i="2" s="1"/>
  <c r="J333" i="2"/>
  <c r="K333" i="2" s="1"/>
  <c r="F333" i="2" s="1"/>
  <c r="J334" i="2"/>
  <c r="K334" i="2" s="1"/>
  <c r="F334" i="2" s="1"/>
  <c r="J335" i="2"/>
  <c r="K335" i="2" s="1"/>
  <c r="F335" i="2" s="1"/>
  <c r="J336" i="2"/>
  <c r="K336" i="2" s="1"/>
  <c r="F336" i="2" s="1"/>
  <c r="J337" i="2"/>
  <c r="K337" i="2" s="1"/>
  <c r="F337" i="2" s="1"/>
  <c r="J338" i="2"/>
  <c r="K338" i="2"/>
  <c r="F338" i="2" s="1"/>
  <c r="J339" i="2"/>
  <c r="K339" i="2" s="1"/>
  <c r="F339" i="2" s="1"/>
  <c r="J340" i="2"/>
  <c r="K340" i="2" s="1"/>
  <c r="F340" i="2" s="1"/>
  <c r="J341" i="2"/>
  <c r="K341" i="2" s="1"/>
  <c r="F341" i="2" s="1"/>
  <c r="J9" i="2"/>
  <c r="K9" i="2" s="1"/>
  <c r="N1" i="2"/>
  <c r="N9" i="2" s="1"/>
  <c r="O9" i="2" s="1"/>
  <c r="F9" i="2" l="1"/>
  <c r="N307" i="2"/>
  <c r="O307" i="2" s="1"/>
  <c r="F307" i="2" s="1"/>
  <c r="N164" i="2"/>
  <c r="O164" i="2" s="1"/>
  <c r="F164" i="2" s="1"/>
  <c r="N163" i="2"/>
  <c r="O163" i="2" s="1"/>
  <c r="F163" i="2" s="1"/>
  <c r="N204" i="2"/>
  <c r="O204" i="2" s="1"/>
  <c r="F204" i="2" s="1"/>
  <c r="N162" i="2"/>
  <c r="O162" i="2" s="1"/>
  <c r="F162" i="2" s="1"/>
  <c r="N251" i="2"/>
  <c r="O251" i="2" s="1"/>
  <c r="F251" i="2" s="1"/>
  <c r="N39" i="2"/>
  <c r="O39" i="2" s="1"/>
  <c r="F39" i="2" s="1"/>
  <c r="N246" i="2"/>
  <c r="O246" i="2" s="1"/>
  <c r="F246" i="2" s="1"/>
  <c r="N245" i="2"/>
  <c r="O245" i="2" s="1"/>
  <c r="F245" i="2" s="1"/>
  <c r="N98" i="2"/>
  <c r="O98" i="2" s="1"/>
  <c r="F98" i="2" s="1"/>
  <c r="N97" i="2"/>
  <c r="O97" i="2" s="1"/>
  <c r="F97" i="2" s="1"/>
  <c r="N26" i="2"/>
  <c r="O26" i="2" s="1"/>
  <c r="F26" i="2" s="1"/>
  <c r="N230" i="2"/>
  <c r="O230" i="2" s="1"/>
  <c r="F230" i="2" s="1"/>
  <c r="N61" i="2"/>
  <c r="O61" i="2" s="1"/>
  <c r="F61" i="2" s="1"/>
  <c r="N229" i="2"/>
  <c r="O229" i="2" s="1"/>
  <c r="F229" i="2" s="1"/>
  <c r="N96" i="2"/>
  <c r="O96" i="2" s="1"/>
  <c r="F96" i="2" s="1"/>
  <c r="N323" i="2"/>
  <c r="O323" i="2" s="1"/>
  <c r="F323" i="2" s="1"/>
  <c r="N60" i="2"/>
  <c r="O60" i="2" s="1"/>
  <c r="N228" i="2"/>
  <c r="O228" i="2" s="1"/>
  <c r="F228" i="2" s="1"/>
  <c r="N310" i="2"/>
  <c r="O310" i="2" s="1"/>
  <c r="F310" i="2" s="1"/>
  <c r="N206" i="2"/>
  <c r="O206" i="2" s="1"/>
  <c r="F206" i="2" s="1"/>
  <c r="N68" i="2"/>
  <c r="O68" i="2" s="1"/>
  <c r="N205" i="2"/>
  <c r="O205" i="2" s="1"/>
  <c r="F205" i="2" s="1"/>
  <c r="N309" i="2"/>
  <c r="O309" i="2" s="1"/>
  <c r="F309" i="2" s="1"/>
  <c r="N198" i="2"/>
  <c r="O198" i="2" s="1"/>
  <c r="F198" i="2" s="1"/>
  <c r="N90" i="2"/>
  <c r="O90" i="2" s="1"/>
  <c r="F90" i="2" s="1"/>
  <c r="N31" i="2"/>
  <c r="O31" i="2" s="1"/>
  <c r="F31" i="2" s="1"/>
  <c r="N320" i="2"/>
  <c r="O320" i="2" s="1"/>
  <c r="F320" i="2" s="1"/>
  <c r="N244" i="2"/>
  <c r="O244" i="2" s="1"/>
  <c r="F244" i="2" s="1"/>
  <c r="N222" i="2"/>
  <c r="O222" i="2" s="1"/>
  <c r="F222" i="2" s="1"/>
  <c r="N197" i="2"/>
  <c r="O197" i="2" s="1"/>
  <c r="F197" i="2" s="1"/>
  <c r="N89" i="2"/>
  <c r="O89" i="2" s="1"/>
  <c r="F89" i="2" s="1"/>
  <c r="N38" i="2"/>
  <c r="O38" i="2" s="1"/>
  <c r="F38" i="2" s="1"/>
  <c r="N14" i="2"/>
  <c r="O14" i="2" s="1"/>
  <c r="F14" i="2" s="1"/>
  <c r="N319" i="2"/>
  <c r="O319" i="2" s="1"/>
  <c r="F319" i="2" s="1"/>
  <c r="N221" i="2"/>
  <c r="O221" i="2" s="1"/>
  <c r="F221" i="2" s="1"/>
  <c r="N65" i="2"/>
  <c r="O65" i="2" s="1"/>
  <c r="N30" i="2"/>
  <c r="O30" i="2" s="1"/>
  <c r="F30" i="2" s="1"/>
  <c r="N243" i="2"/>
  <c r="O243" i="2" s="1"/>
  <c r="F243" i="2" s="1"/>
  <c r="N196" i="2"/>
  <c r="O196" i="2" s="1"/>
  <c r="F196" i="2" s="1"/>
  <c r="N88" i="2"/>
  <c r="O88" i="2" s="1"/>
  <c r="F88" i="2" s="1"/>
  <c r="N318" i="2"/>
  <c r="O318" i="2" s="1"/>
  <c r="F318" i="2" s="1"/>
  <c r="N220" i="2"/>
  <c r="O220" i="2" s="1"/>
  <c r="F220" i="2" s="1"/>
  <c r="N238" i="2"/>
  <c r="O238" i="2" s="1"/>
  <c r="F238" i="2" s="1"/>
  <c r="N82" i="2"/>
  <c r="O82" i="2" s="1"/>
  <c r="F82" i="2" s="1"/>
  <c r="N317" i="2"/>
  <c r="O317" i="2" s="1"/>
  <c r="F317" i="2" s="1"/>
  <c r="N237" i="2"/>
  <c r="O237" i="2" s="1"/>
  <c r="F237" i="2" s="1"/>
  <c r="N214" i="2"/>
  <c r="O214" i="2" s="1"/>
  <c r="F214" i="2" s="1"/>
  <c r="N172" i="2"/>
  <c r="O172" i="2" s="1"/>
  <c r="F172" i="2" s="1"/>
  <c r="N106" i="2"/>
  <c r="O106" i="2" s="1"/>
  <c r="F106" i="2" s="1"/>
  <c r="N81" i="2"/>
  <c r="O81" i="2" s="1"/>
  <c r="F81" i="2" s="1"/>
  <c r="N64" i="2"/>
  <c r="O64" i="2" s="1"/>
  <c r="F64" i="2" s="1"/>
  <c r="N35" i="2"/>
  <c r="O35" i="2" s="1"/>
  <c r="F35" i="2" s="1"/>
  <c r="N315" i="2"/>
  <c r="O315" i="2" s="1"/>
  <c r="F315" i="2" s="1"/>
  <c r="N213" i="2"/>
  <c r="O213" i="2" s="1"/>
  <c r="F213" i="2" s="1"/>
  <c r="N171" i="2"/>
  <c r="O171" i="2" s="1"/>
  <c r="F171" i="2" s="1"/>
  <c r="N105" i="2"/>
  <c r="O105" i="2" s="1"/>
  <c r="F105" i="2" s="1"/>
  <c r="N56" i="2"/>
  <c r="O56" i="2" s="1"/>
  <c r="N42" i="2"/>
  <c r="O42" i="2" s="1"/>
  <c r="F42" i="2" s="1"/>
  <c r="N253" i="2"/>
  <c r="O253" i="2" s="1"/>
  <c r="N236" i="2"/>
  <c r="O236" i="2" s="1"/>
  <c r="F236" i="2" s="1"/>
  <c r="N80" i="2"/>
  <c r="O80" i="2" s="1"/>
  <c r="F80" i="2" s="1"/>
  <c r="N312" i="2"/>
  <c r="O312" i="2" s="1"/>
  <c r="F312" i="2" s="1"/>
  <c r="N212" i="2"/>
  <c r="O212" i="2" s="1"/>
  <c r="F212" i="2" s="1"/>
  <c r="N170" i="2"/>
  <c r="O170" i="2" s="1"/>
  <c r="F170" i="2" s="1"/>
  <c r="N104" i="2"/>
  <c r="O104" i="2" s="1"/>
  <c r="F104" i="2" s="1"/>
  <c r="N311" i="2"/>
  <c r="O311" i="2" s="1"/>
  <c r="F311" i="2" s="1"/>
  <c r="N252" i="2"/>
  <c r="O252" i="2" s="1"/>
  <c r="F252" i="2" s="1"/>
  <c r="N235" i="2"/>
  <c r="O235" i="2" s="1"/>
  <c r="F235" i="2" s="1"/>
  <c r="N69" i="2"/>
  <c r="O69" i="2" s="1"/>
  <c r="F69" i="2" s="1"/>
  <c r="N34" i="2"/>
  <c r="O34" i="2" s="1"/>
  <c r="F34" i="2" s="1"/>
  <c r="N18" i="2"/>
  <c r="O18" i="2" s="1"/>
  <c r="F18" i="2" s="1"/>
  <c r="N47" i="2"/>
  <c r="O47" i="2" s="1"/>
  <c r="F47" i="2" s="1"/>
  <c r="N43" i="2"/>
  <c r="O43" i="2" s="1"/>
  <c r="F43" i="2" s="1"/>
  <c r="N22" i="2"/>
  <c r="O22" i="2" s="1"/>
  <c r="F22" i="2" s="1"/>
  <c r="N13" i="2"/>
  <c r="O13" i="2" s="1"/>
  <c r="F13" i="2" s="1"/>
  <c r="N17" i="2"/>
  <c r="O17" i="2" s="1"/>
  <c r="F17" i="2" s="1"/>
  <c r="N46" i="2"/>
  <c r="O46" i="2" s="1"/>
  <c r="F46" i="2" s="1"/>
  <c r="N21" i="2"/>
  <c r="O21" i="2" s="1"/>
  <c r="F21" i="2" s="1"/>
  <c r="N12" i="2"/>
  <c r="O12" i="2" s="1"/>
  <c r="F12" i="2" s="1"/>
  <c r="N227" i="2"/>
  <c r="O227" i="2" s="1"/>
  <c r="F227" i="2" s="1"/>
  <c r="N219" i="2"/>
  <c r="O219" i="2" s="1"/>
  <c r="F219" i="2" s="1"/>
  <c r="N211" i="2"/>
  <c r="O211" i="2" s="1"/>
  <c r="F211" i="2" s="1"/>
  <c r="N203" i="2"/>
  <c r="O203" i="2" s="1"/>
  <c r="F203" i="2" s="1"/>
  <c r="N195" i="2"/>
  <c r="O195" i="2" s="1"/>
  <c r="F195" i="2" s="1"/>
  <c r="N169" i="2"/>
  <c r="O169" i="2" s="1"/>
  <c r="F169" i="2" s="1"/>
  <c r="N161" i="2"/>
  <c r="O161" i="2" s="1"/>
  <c r="F161" i="2" s="1"/>
  <c r="N103" i="2"/>
  <c r="O103" i="2" s="1"/>
  <c r="F103" i="2" s="1"/>
  <c r="N95" i="2"/>
  <c r="O95" i="2" s="1"/>
  <c r="F95" i="2" s="1"/>
  <c r="N87" i="2"/>
  <c r="O87" i="2" s="1"/>
  <c r="F87" i="2" s="1"/>
  <c r="N79" i="2"/>
  <c r="O79" i="2" s="1"/>
  <c r="F79" i="2" s="1"/>
  <c r="N59" i="2"/>
  <c r="O59" i="2" s="1"/>
  <c r="N55" i="2"/>
  <c r="O55" i="2" s="1"/>
  <c r="N29" i="2"/>
  <c r="O29" i="2" s="1"/>
  <c r="F29" i="2" s="1"/>
  <c r="N25" i="2"/>
  <c r="O25" i="2" s="1"/>
  <c r="F25" i="2" s="1"/>
  <c r="N63" i="2"/>
  <c r="O63" i="2" s="1"/>
  <c r="F63" i="2" s="1"/>
  <c r="N33" i="2"/>
  <c r="O33" i="2" s="1"/>
  <c r="F33" i="2" s="1"/>
  <c r="N324" i="2"/>
  <c r="O324" i="2" s="1"/>
  <c r="F324" i="2" s="1"/>
  <c r="N316" i="2"/>
  <c r="O316" i="2" s="1"/>
  <c r="F316" i="2" s="1"/>
  <c r="N308" i="2"/>
  <c r="O308" i="2" s="1"/>
  <c r="F308" i="2" s="1"/>
  <c r="N250" i="2"/>
  <c r="O250" i="2" s="1"/>
  <c r="F250" i="2" s="1"/>
  <c r="N242" i="2"/>
  <c r="O242" i="2" s="1"/>
  <c r="F242" i="2" s="1"/>
  <c r="N234" i="2"/>
  <c r="O234" i="2" s="1"/>
  <c r="F234" i="2" s="1"/>
  <c r="N226" i="2"/>
  <c r="O226" i="2" s="1"/>
  <c r="F226" i="2" s="1"/>
  <c r="N218" i="2"/>
  <c r="O218" i="2" s="1"/>
  <c r="F218" i="2" s="1"/>
  <c r="N210" i="2"/>
  <c r="O210" i="2" s="1"/>
  <c r="F210" i="2" s="1"/>
  <c r="N202" i="2"/>
  <c r="O202" i="2" s="1"/>
  <c r="F202" i="2" s="1"/>
  <c r="N168" i="2"/>
  <c r="O168" i="2" s="1"/>
  <c r="F168" i="2" s="1"/>
  <c r="N110" i="2"/>
  <c r="O110" i="2" s="1"/>
  <c r="F110" i="2" s="1"/>
  <c r="N102" i="2"/>
  <c r="O102" i="2" s="1"/>
  <c r="F102" i="2" s="1"/>
  <c r="N94" i="2"/>
  <c r="O94" i="2" s="1"/>
  <c r="F94" i="2" s="1"/>
  <c r="N86" i="2"/>
  <c r="O86" i="2" s="1"/>
  <c r="F86" i="2" s="1"/>
  <c r="N78" i="2"/>
  <c r="O78" i="2" s="1"/>
  <c r="F78" i="2" s="1"/>
  <c r="N67" i="2"/>
  <c r="O67" i="2" s="1"/>
  <c r="N41" i="2"/>
  <c r="O41" i="2" s="1"/>
  <c r="F41" i="2" s="1"/>
  <c r="N37" i="2"/>
  <c r="O37" i="2" s="1"/>
  <c r="F37" i="2" s="1"/>
  <c r="N16" i="2"/>
  <c r="O16" i="2" s="1"/>
  <c r="F16" i="2" s="1"/>
  <c r="N54" i="2"/>
  <c r="O54" i="2" s="1"/>
  <c r="N45" i="2"/>
  <c r="O45" i="2" s="1"/>
  <c r="F45" i="2" s="1"/>
  <c r="N24" i="2"/>
  <c r="O24" i="2" s="1"/>
  <c r="F24" i="2" s="1"/>
  <c r="N20" i="2"/>
  <c r="O20" i="2" s="1"/>
  <c r="F20" i="2" s="1"/>
  <c r="N11" i="2"/>
  <c r="O11" i="2" s="1"/>
  <c r="F11" i="2" s="1"/>
  <c r="N249" i="2"/>
  <c r="O249" i="2" s="1"/>
  <c r="F249" i="2" s="1"/>
  <c r="N241" i="2"/>
  <c r="O241" i="2" s="1"/>
  <c r="F241" i="2" s="1"/>
  <c r="N233" i="2"/>
  <c r="O233" i="2" s="1"/>
  <c r="F233" i="2" s="1"/>
  <c r="N225" i="2"/>
  <c r="O225" i="2" s="1"/>
  <c r="F225" i="2" s="1"/>
  <c r="N217" i="2"/>
  <c r="O217" i="2" s="1"/>
  <c r="F217" i="2" s="1"/>
  <c r="N209" i="2"/>
  <c r="O209" i="2" s="1"/>
  <c r="F209" i="2" s="1"/>
  <c r="N201" i="2"/>
  <c r="O201" i="2" s="1"/>
  <c r="F201" i="2" s="1"/>
  <c r="N167" i="2"/>
  <c r="O167" i="2" s="1"/>
  <c r="F167" i="2" s="1"/>
  <c r="N109" i="2"/>
  <c r="O109" i="2" s="1"/>
  <c r="F109" i="2" s="1"/>
  <c r="N101" i="2"/>
  <c r="O101" i="2" s="1"/>
  <c r="F101" i="2" s="1"/>
  <c r="N93" i="2"/>
  <c r="O93" i="2" s="1"/>
  <c r="F93" i="2" s="1"/>
  <c r="N85" i="2"/>
  <c r="O85" i="2" s="1"/>
  <c r="F85" i="2" s="1"/>
  <c r="N77" i="2"/>
  <c r="O77" i="2" s="1"/>
  <c r="F77" i="2" s="1"/>
  <c r="N58" i="2"/>
  <c r="O58" i="2" s="1"/>
  <c r="N28" i="2"/>
  <c r="O28" i="2" s="1"/>
  <c r="F28" i="2" s="1"/>
  <c r="N66" i="2"/>
  <c r="O66" i="2" s="1"/>
  <c r="N62" i="2"/>
  <c r="O62" i="2" s="1"/>
  <c r="F62" i="2" s="1"/>
  <c r="N36" i="2"/>
  <c r="O36" i="2" s="1"/>
  <c r="F36" i="2" s="1"/>
  <c r="N32" i="2"/>
  <c r="O32" i="2" s="1"/>
  <c r="F32" i="2" s="1"/>
  <c r="N322" i="2"/>
  <c r="O322" i="2" s="1"/>
  <c r="F322" i="2" s="1"/>
  <c r="N314" i="2"/>
  <c r="O314" i="2" s="1"/>
  <c r="F314" i="2" s="1"/>
  <c r="N306" i="2"/>
  <c r="O306" i="2" s="1"/>
  <c r="F306" i="2" s="1"/>
  <c r="N248" i="2"/>
  <c r="O248" i="2" s="1"/>
  <c r="F248" i="2" s="1"/>
  <c r="N240" i="2"/>
  <c r="O240" i="2" s="1"/>
  <c r="F240" i="2" s="1"/>
  <c r="N232" i="2"/>
  <c r="O232" i="2" s="1"/>
  <c r="F232" i="2" s="1"/>
  <c r="N224" i="2"/>
  <c r="O224" i="2" s="1"/>
  <c r="F224" i="2" s="1"/>
  <c r="N216" i="2"/>
  <c r="O216" i="2" s="1"/>
  <c r="F216" i="2" s="1"/>
  <c r="N208" i="2"/>
  <c r="O208" i="2" s="1"/>
  <c r="F208" i="2" s="1"/>
  <c r="N200" i="2"/>
  <c r="O200" i="2" s="1"/>
  <c r="F200" i="2" s="1"/>
  <c r="N174" i="2"/>
  <c r="O174" i="2" s="1"/>
  <c r="F174" i="2" s="1"/>
  <c r="N166" i="2"/>
  <c r="O166" i="2" s="1"/>
  <c r="F166" i="2" s="1"/>
  <c r="N108" i="2"/>
  <c r="O108" i="2" s="1"/>
  <c r="F108" i="2" s="1"/>
  <c r="N100" i="2"/>
  <c r="O100" i="2" s="1"/>
  <c r="F100" i="2" s="1"/>
  <c r="N92" i="2"/>
  <c r="O92" i="2" s="1"/>
  <c r="F92" i="2" s="1"/>
  <c r="N84" i="2"/>
  <c r="O84" i="2" s="1"/>
  <c r="F84" i="2" s="1"/>
  <c r="N76" i="2"/>
  <c r="O76" i="2" s="1"/>
  <c r="F76" i="2" s="1"/>
  <c r="N40" i="2"/>
  <c r="O40" i="2" s="1"/>
  <c r="F40" i="2" s="1"/>
  <c r="N15" i="2"/>
  <c r="O15" i="2" s="1"/>
  <c r="F15" i="2" s="1"/>
  <c r="N10" i="2"/>
  <c r="O10" i="2" s="1"/>
  <c r="F10" i="2" s="1"/>
  <c r="N48" i="2"/>
  <c r="O48" i="2" s="1"/>
  <c r="F48" i="2" s="1"/>
  <c r="N44" i="2"/>
  <c r="O44" i="2" s="1"/>
  <c r="F44" i="2" s="1"/>
  <c r="N23" i="2"/>
  <c r="O23" i="2" s="1"/>
  <c r="F23" i="2" s="1"/>
  <c r="N19" i="2"/>
  <c r="O19" i="2" s="1"/>
  <c r="F19" i="2" s="1"/>
  <c r="N321" i="2"/>
  <c r="O321" i="2" s="1"/>
  <c r="F321" i="2" s="1"/>
  <c r="N313" i="2"/>
  <c r="O313" i="2" s="1"/>
  <c r="F313" i="2" s="1"/>
  <c r="N305" i="2"/>
  <c r="O305" i="2" s="1"/>
  <c r="F305" i="2" s="1"/>
  <c r="N247" i="2"/>
  <c r="O247" i="2" s="1"/>
  <c r="F247" i="2" s="1"/>
  <c r="N239" i="2"/>
  <c r="O239" i="2" s="1"/>
  <c r="F239" i="2" s="1"/>
  <c r="N231" i="2"/>
  <c r="O231" i="2" s="1"/>
  <c r="F231" i="2" s="1"/>
  <c r="N223" i="2"/>
  <c r="O223" i="2" s="1"/>
  <c r="F223" i="2" s="1"/>
  <c r="N215" i="2"/>
  <c r="O215" i="2" s="1"/>
  <c r="F215" i="2" s="1"/>
  <c r="N207" i="2"/>
  <c r="O207" i="2" s="1"/>
  <c r="F207" i="2" s="1"/>
  <c r="N199" i="2"/>
  <c r="O199" i="2" s="1"/>
  <c r="F199" i="2" s="1"/>
  <c r="N173" i="2"/>
  <c r="O173" i="2" s="1"/>
  <c r="F173" i="2" s="1"/>
  <c r="N165" i="2"/>
  <c r="O165" i="2" s="1"/>
  <c r="F165" i="2" s="1"/>
  <c r="N107" i="2"/>
  <c r="O107" i="2" s="1"/>
  <c r="F107" i="2" s="1"/>
  <c r="N99" i="2"/>
  <c r="O99" i="2" s="1"/>
  <c r="F99" i="2" s="1"/>
  <c r="N91" i="2"/>
  <c r="O91" i="2" s="1"/>
  <c r="F91" i="2" s="1"/>
  <c r="N83" i="2"/>
  <c r="O83" i="2" s="1"/>
  <c r="F83" i="2" s="1"/>
  <c r="N75" i="2"/>
  <c r="O75" i="2" s="1"/>
  <c r="F75" i="2" s="1"/>
  <c r="N57" i="2"/>
  <c r="O57" i="2" s="1"/>
  <c r="N27" i="2"/>
  <c r="O27" i="2" s="1"/>
  <c r="F27" i="2" s="1"/>
  <c r="G337" i="2"/>
  <c r="F253" i="2" l="1"/>
  <c r="G253" i="2" s="1"/>
  <c r="G341" i="2"/>
  <c r="G340" i="2"/>
  <c r="G339" i="2"/>
  <c r="G338" i="2"/>
  <c r="G336" i="2"/>
  <c r="G335" i="2"/>
  <c r="G334" i="2"/>
  <c r="G333" i="2"/>
  <c r="G332" i="2"/>
  <c r="G331" i="2"/>
  <c r="G33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89" i="2"/>
  <c r="G188" i="2"/>
  <c r="G187" i="2"/>
  <c r="G186" i="2"/>
  <c r="G185" i="2"/>
  <c r="G184" i="2"/>
  <c r="G183" i="2"/>
  <c r="G182" i="2"/>
  <c r="G181" i="2"/>
  <c r="G180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23" i="2"/>
  <c r="G122" i="2"/>
  <c r="G121" i="2"/>
  <c r="G120" i="2"/>
  <c r="G119" i="2"/>
  <c r="G118" i="2"/>
  <c r="G117" i="2"/>
  <c r="G116" i="2"/>
  <c r="G300" i="2" l="1"/>
  <c r="G301" i="2" s="1"/>
  <c r="G254" i="2"/>
  <c r="G342" i="2"/>
  <c r="G190" i="2"/>
  <c r="G175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156" i="2" l="1"/>
  <c r="G111" i="2"/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 l="1"/>
  <c r="G69" i="2" l="1"/>
  <c r="G68" i="2"/>
  <c r="G67" i="2"/>
  <c r="G48" i="2" l="1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324" i="2" l="1"/>
  <c r="G323" i="2"/>
  <c r="G322" i="2"/>
  <c r="G321" i="2"/>
  <c r="G320" i="2" l="1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25" i="2" l="1"/>
  <c r="G343" i="2" l="1"/>
  <c r="G326" i="2"/>
  <c r="G112" i="2" l="1"/>
  <c r="G157" i="2"/>
  <c r="G66" i="2" l="1"/>
  <c r="G65" i="2" l="1"/>
  <c r="G64" i="2"/>
  <c r="G63" i="2"/>
  <c r="G62" i="2"/>
  <c r="G61" i="2"/>
  <c r="G60" i="2"/>
  <c r="G59" i="2"/>
  <c r="G58" i="2"/>
  <c r="G57" i="2"/>
  <c r="G56" i="2"/>
  <c r="G55" i="2"/>
  <c r="G54" i="2"/>
  <c r="G49" i="2"/>
  <c r="G70" i="2" l="1"/>
  <c r="G255" i="2"/>
  <c r="G71" i="2" l="1"/>
  <c r="G191" i="2"/>
  <c r="G176" i="2"/>
  <c r="G50" i="2"/>
</calcChain>
</file>

<file path=xl/sharedStrings.xml><?xml version="1.0" encoding="utf-8"?>
<sst xmlns="http://schemas.openxmlformats.org/spreadsheetml/2006/main" count="891" uniqueCount="514">
  <si>
    <t>Celkem</t>
  </si>
  <si>
    <t>No.</t>
  </si>
  <si>
    <t>Číslo položky</t>
  </si>
  <si>
    <t>Popis položky</t>
  </si>
  <si>
    <t>Počet</t>
  </si>
  <si>
    <t>Jedn. cena</t>
  </si>
  <si>
    <t>Sazba 21 proc.</t>
  </si>
  <si>
    <t>Příprava kabelových tras, montáž + dodávka</t>
  </si>
  <si>
    <t>220 111761</t>
  </si>
  <si>
    <t>Svorka uzemňovací (mont. vč. materiálu)</t>
  </si>
  <si>
    <t>ks</t>
  </si>
  <si>
    <t>220 111765</t>
  </si>
  <si>
    <t>Změření zemního odporu</t>
  </si>
  <si>
    <t>KEV.000.8940</t>
  </si>
  <si>
    <t>m</t>
  </si>
  <si>
    <t>220 270329</t>
  </si>
  <si>
    <t>220 260021</t>
  </si>
  <si>
    <t>Krabice KO 68 pod omítku vč. vysekání lůžka  (mont. vč. materiálu)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</si>
  <si>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</si>
  <si>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</si>
  <si>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</si>
  <si>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</si>
  <si>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</si>
  <si>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</si>
  <si>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</si>
  <si>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</si>
  <si>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</si>
  <si>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</si>
  <si>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</si>
  <si>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</si>
  <si>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</si>
  <si>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</si>
  <si>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</si>
  <si>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</si>
  <si>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</si>
  <si>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</si>
  <si>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</si>
  <si>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</si>
  <si>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</si>
  <si>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</si>
  <si>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</si>
  <si>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</si>
  <si>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</si>
  <si>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</si>
  <si>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</si>
  <si>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</si>
  <si>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</si>
  <si>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</si>
  <si>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</si>
  <si>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</si>
  <si>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</si>
  <si>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</si>
  <si>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</si>
  <si>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</si>
  <si>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</si>
  <si>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</si>
  <si>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</si>
  <si>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</si>
  <si>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</si>
  <si>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</si>
  <si>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</si>
  <si>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</si>
  <si>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</si>
  <si>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</si>
  <si>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</si>
  <si>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</si>
  <si>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</si>
  <si>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</si>
  <si>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</si>
  <si>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m2</t>
  </si>
  <si>
    <t>210 020922</t>
  </si>
  <si>
    <t>Protipož.ucpávka průch.stěnou  t= do 30 cm (mont. vč. materiálu)</t>
  </si>
  <si>
    <t>Koordinace zařízení v zárubních či dveřích</t>
  </si>
  <si>
    <t>hod</t>
  </si>
  <si>
    <t>Značení kabeláží, tras a rozvaděčů</t>
  </si>
  <si>
    <t>kpl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</si>
  <si>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</si>
  <si>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</si>
  <si>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</si>
  <si>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</si>
  <si>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</si>
  <si>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Zemní práce při montážích, montáž + dodávka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</si>
  <si>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</si>
  <si>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</si>
  <si>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</si>
  <si>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</si>
  <si>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</si>
  <si>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</si>
  <si>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</si>
  <si>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</si>
  <si>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</si>
  <si>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</si>
  <si>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</si>
  <si>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</si>
  <si>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</si>
  <si>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</si>
  <si>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</si>
  <si>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</si>
  <si>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</si>
  <si>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</si>
  <si>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</si>
  <si>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</si>
  <si>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</si>
  <si>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</si>
  <si>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</si>
  <si>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</si>
  <si>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</si>
  <si>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</si>
  <si>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</si>
  <si>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</si>
  <si>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220 280222</t>
  </si>
  <si>
    <t>220 300002</t>
  </si>
  <si>
    <t>220 110643</t>
  </si>
  <si>
    <t>220 300911</t>
  </si>
  <si>
    <t>220 111502</t>
  </si>
  <si>
    <t>220 111501</t>
  </si>
  <si>
    <t>220 110341</t>
  </si>
  <si>
    <t>Objímka kabelová značkovací</t>
  </si>
  <si>
    <t>220 110346</t>
  </si>
  <si>
    <t>Štítek kabelový</t>
  </si>
  <si>
    <t>220 111431</t>
  </si>
  <si>
    <t>Stejnosměrná měření na míst.kabelu</t>
  </si>
  <si>
    <t>pa</t>
  </si>
  <si>
    <t>Závěrečné práce ve skříni RACK</t>
  </si>
  <si>
    <t>Rozvod univ.kabelové sítě - montáž</t>
  </si>
  <si>
    <t>Montáž 19" pomocného panelu do 4U</t>
  </si>
  <si>
    <t>Sestavení a montáž zásuvky do 2 modulů RJ 45</t>
  </si>
  <si>
    <t>Kompletace a vyhotovení měřícího protokolu</t>
  </si>
  <si>
    <t>PC0066660</t>
  </si>
  <si>
    <t>Montáž stojanové 19" skříně (RACKu) nad 40U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</si>
  <si>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</si>
  <si>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</si>
  <si>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</si>
  <si>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</si>
  <si>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</si>
  <si>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</si>
  <si>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</si>
  <si>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</si>
  <si>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</si>
  <si>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</si>
  <si>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</si>
  <si>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Rozvod univ.kabelové sítě - dodávka</t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</si>
  <si>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</si>
  <si>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</si>
  <si>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</si>
  <si>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</si>
  <si>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</si>
  <si>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</si>
  <si>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</si>
  <si>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</si>
  <si>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</si>
  <si>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</si>
  <si>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</si>
  <si>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</si>
  <si>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</si>
  <si>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</si>
  <si>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</si>
  <si>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</si>
  <si>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</si>
  <si>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</si>
  <si>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</si>
  <si>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</si>
  <si>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</si>
  <si>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</si>
  <si>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</si>
  <si>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SUA750RMI1U</t>
  </si>
  <si>
    <t>APC Smart-UPS 750I RM 1U black/USB</t>
  </si>
  <si>
    <t>Rozvod e.zabezpečovací signalizace - montáž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</si>
  <si>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</si>
  <si>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</si>
  <si>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</si>
  <si>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</si>
  <si>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</si>
  <si>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</si>
  <si>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</si>
  <si>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</si>
  <si>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</si>
  <si>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</si>
  <si>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</si>
  <si>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</si>
  <si>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</si>
  <si>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</si>
  <si>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</si>
  <si>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</si>
  <si>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</si>
  <si>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</si>
  <si>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</si>
  <si>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</si>
  <si>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</si>
  <si>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</si>
  <si>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</si>
  <si>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</si>
  <si>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</si>
  <si>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</si>
  <si>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</si>
  <si>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</si>
  <si>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</si>
  <si>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</si>
  <si>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</si>
  <si>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</si>
  <si>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</si>
  <si>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</si>
  <si>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</si>
  <si>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</si>
  <si>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</si>
  <si>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</si>
  <si>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Popis čidla štítkem</t>
  </si>
  <si>
    <t>220 330166</t>
  </si>
  <si>
    <t>Montáž vnitřní nezálohované sirény</t>
  </si>
  <si>
    <t>Montáž venkovní zálohované sirény vč. akku</t>
  </si>
  <si>
    <t>Montáž optické signalizace s LED diodou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</si>
  <si>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</si>
  <si>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</si>
  <si>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</si>
  <si>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</si>
  <si>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</si>
  <si>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</si>
  <si>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Montáž svorkovnic zařezových 10x2</t>
  </si>
  <si>
    <t>Číslování svorek v rozvaděči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</si>
  <si>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</si>
  <si>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</si>
  <si>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</si>
  <si>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</si>
  <si>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</si>
  <si>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</si>
  <si>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</si>
  <si>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</si>
  <si>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</si>
  <si>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</si>
  <si>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</si>
  <si>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</si>
  <si>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Forma kabelová do délky 0,5 m na kabelu datovém</t>
  </si>
  <si>
    <t>210 800109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</si>
  <si>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</si>
  <si>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</si>
  <si>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</si>
  <si>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</si>
  <si>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</si>
  <si>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</si>
  <si>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</si>
  <si>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</si>
  <si>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</si>
  <si>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</si>
  <si>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</si>
  <si>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</si>
  <si>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Rozvod e.zabezpečovací signalizace - dodávka</t>
  </si>
  <si>
    <t>GALAXYGD-520</t>
  </si>
  <si>
    <t>Ústředna až 520 zón a 32 grup v krytu bez klávesnice s komunikátorem a zdrojem</t>
  </si>
  <si>
    <t>G8P</t>
  </si>
  <si>
    <t>Koncentrátor v plastovém krytu pro 8 zón a 4 PGM výstupy</t>
  </si>
  <si>
    <t>GRM4</t>
  </si>
  <si>
    <t>Reléový modul se 4-mi relé</t>
  </si>
  <si>
    <t>OS365</t>
  </si>
  <si>
    <t>Zálohovaná plastová siréna venkovní 110dB/1m s majákem a akumulátorem</t>
  </si>
  <si>
    <t>SA913</t>
  </si>
  <si>
    <t>Nezálohovaná plastová vnitřní siréna 110dB/1m</t>
  </si>
  <si>
    <t>JS25 COMBO</t>
  </si>
  <si>
    <t>Kombinace PIR detektoru s dosahem 12m a detektoru tříštění skla s dosahem 9m</t>
  </si>
  <si>
    <t>KSK 100</t>
  </si>
  <si>
    <t>krabice v uzavřeném provedení (plastová) s IP krytím 66</t>
  </si>
  <si>
    <t>Kabelové průchodky do krabice IP66</t>
  </si>
  <si>
    <t>MAS333</t>
  </si>
  <si>
    <t>Mag. kontakt závrtný čtyřdrátový s pracovní mezerou 16 mm</t>
  </si>
  <si>
    <t>UNIPOWER MINI/K</t>
  </si>
  <si>
    <t>Spínaný zdroj v kovovém krytu 13,8 Vss / 3A s výstupy a odpojovačem</t>
  </si>
  <si>
    <t>Univerzální bezdrátový přijímač v krytu se třemi výstupy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</si>
  <si>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</si>
  <si>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</si>
  <si>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</si>
  <si>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</si>
  <si>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</si>
  <si>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</si>
  <si>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</si>
  <si>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</si>
  <si>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</si>
  <si>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</si>
  <si>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</si>
  <si>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Krabice instalační IP66  (mont. vč. materiálu)</t>
  </si>
  <si>
    <t>WD40PURX</t>
  </si>
  <si>
    <t>Přídavný HDD k rekordérům, 4TB</t>
  </si>
  <si>
    <t>Jednostranný sloup pro IR závory Optex &amp; Takex, montáž na patku, výška 1,5 m</t>
  </si>
  <si>
    <t>Patka betonová typová pro sloupek</t>
  </si>
  <si>
    <t>Montáž sloupku pro infrazávoru vč. Patky</t>
  </si>
  <si>
    <t>CYKY 750V 2 x 2.5 uložený v zemi, kotvený pevně na stěně</t>
  </si>
  <si>
    <t>Kabel volně uložený v zemi, kotvený pevně na stěně</t>
  </si>
  <si>
    <t>Montáž dveřního kontaktu závrtného (okna, dveře)</t>
  </si>
  <si>
    <t xml:space="preserve">4-paprsková IR závora, dosah 100 m, synchronizace - 4 kanály </t>
  </si>
  <si>
    <t xml:space="preserve">SL-350QDP  </t>
  </si>
  <si>
    <t xml:space="preserve">SL-650QDP  </t>
  </si>
  <si>
    <t xml:space="preserve">4-paprsková IR závora, dosah 200 m, synchronizace - 4 kanály </t>
  </si>
  <si>
    <t>Rozvod místního rozhlasu - montáž</t>
  </si>
  <si>
    <t>CYKY (nebo pod.) 750V 4 x 1.5 uložený pod omítkou</t>
  </si>
  <si>
    <t>210 100502</t>
  </si>
  <si>
    <t>Ukončení CYKY (nebo pod.)  3 x 1.5 nebo 2.5 mm2</t>
  </si>
  <si>
    <t>Číslování svorek v rozvaděči (montáž vč. dodávky)</t>
  </si>
  <si>
    <t>Číslování rozvodné skříně, krabice (montáž vč. dodávky)</t>
  </si>
  <si>
    <t>Zakomponování nestandardního prvku do rozvaděče</t>
  </si>
  <si>
    <t>220 370422</t>
  </si>
  <si>
    <t>Montáž systémového zesilovače nebo předzesilovače</t>
  </si>
  <si>
    <t>220 370063</t>
  </si>
  <si>
    <t>220 370471</t>
  </si>
  <si>
    <t>Zkoušení reproduktorů při 1 prog.ústř.</t>
  </si>
  <si>
    <t>220 370536</t>
  </si>
  <si>
    <t>Montáž kompletního reproduktoru do 10W nástěnný/stropní</t>
  </si>
  <si>
    <t>220 370531</t>
  </si>
  <si>
    <t>Montáž kompletního reproduktoru do 30W závěsný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</si>
  <si>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</si>
  <si>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</si>
  <si>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</si>
  <si>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</si>
  <si>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</si>
  <si>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</si>
  <si>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</si>
  <si>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</si>
  <si>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Instalace kabelu koaxiálního do trubky, žlabu</t>
  </si>
  <si>
    <t>Ukončení kabelu JACK 3,5 stereo konektorem</t>
  </si>
  <si>
    <t>Přezkoušení a měření JACK 3,5 stereo spoje</t>
  </si>
  <si>
    <t>Zásuvka JACK 3,5 stereo - design dle zásuvek rozvodu NN</t>
  </si>
  <si>
    <t>Koaxiální kabel</t>
  </si>
  <si>
    <t>LX402</t>
  </si>
  <si>
    <t>Venkovní PIR detektor, det. char. 12 m / 120°, mont. výška 2,5 m / 1,2 - 1,5 m</t>
  </si>
  <si>
    <t>Naprogramování systému EZS do 96 hlásičů</t>
  </si>
  <si>
    <t>CY 6 ZZ</t>
  </si>
  <si>
    <t>Vodič v trubkovodu CY 6</t>
  </si>
  <si>
    <t xml:space="preserve">Konektor JACK 3,5 stereo </t>
  </si>
  <si>
    <t>Montáž zásuvky/konektoru JACK 3,5 stereo (typiské či atypické, viz. tech.zpráva)</t>
  </si>
  <si>
    <t>136811-1</t>
  </si>
  <si>
    <t>ABB,modul zásuvkový, 22,5x45, Profil 45</t>
  </si>
  <si>
    <t>GVM16P</t>
  </si>
  <si>
    <t xml:space="preserve">Výstupní modul v krytu s 16-ti tranzistorovými PGM výstupy </t>
  </si>
  <si>
    <t xml:space="preserve">Plastový box IP66 s kabel.průchodkami pro přijímač a diody </t>
  </si>
  <si>
    <t>460 200534</t>
  </si>
  <si>
    <t>Hloubení kabelové rýhy 60cm šir.,120cm hlub.,zem.tř.4</t>
  </si>
  <si>
    <t>460 560534</t>
  </si>
  <si>
    <t>Ruční zához kab.rýhy,šíř.60cm,hloub.120cm,zem.třídy 4</t>
  </si>
  <si>
    <t>460 510021</t>
  </si>
  <si>
    <t>220 061805</t>
  </si>
  <si>
    <t>220 061831</t>
  </si>
  <si>
    <t>220 061835</t>
  </si>
  <si>
    <t>220 061845</t>
  </si>
  <si>
    <t>220 061910</t>
  </si>
  <si>
    <t>Montáž panelu 19" pro ukončení opt.kab. do 24 portů prázdný</t>
  </si>
  <si>
    <t>220 062330</t>
  </si>
  <si>
    <t>220 062370</t>
  </si>
  <si>
    <t>220 062450</t>
  </si>
  <si>
    <t>220 062470</t>
  </si>
  <si>
    <t>220 062510</t>
  </si>
  <si>
    <t>220 062700</t>
  </si>
  <si>
    <t>SC450RMI1U</t>
  </si>
  <si>
    <t>APC Smart-UPS SC450RMI1U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</si>
  <si>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</si>
  <si>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</si>
  <si>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</si>
  <si>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</si>
  <si>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A045</t>
  </si>
  <si>
    <t>Plastová krabice na povrchovou montáž klávesnic CP045/CP046</t>
  </si>
  <si>
    <t>220 260722</t>
  </si>
  <si>
    <t>Žlab MARS 125/ 50 mm  (mont. vč. základního i instalačního materiálu)</t>
  </si>
  <si>
    <t>Kabelový prostup z KOPOFLEX rour, světlost do 150mm</t>
  </si>
  <si>
    <t>Montáž 19" panelu do 24 portů RJ 45 - nestín/stín..</t>
  </si>
  <si>
    <t>Uložení kabelu 5.-6.kat. nestín/stín.. do trubky, žlabu, na rošt</t>
  </si>
  <si>
    <t>Ukončení - forma na kabelu 5.-6.kat. nestín/stín..</t>
  </si>
  <si>
    <t>Měření 1 segmentu kabelu 5.-6.kat. nestín/stín..</t>
  </si>
  <si>
    <t>Montáž modulu zásuvky RJ 45 - nestín/stín..</t>
  </si>
  <si>
    <t>Údaj do měř. protokolu pro 1 segment sítě 5.-6. kat. nestín/stín..</t>
  </si>
  <si>
    <t>Montáž venkovní termoizolované 19" skříně (RACKu) nad 15U</t>
  </si>
  <si>
    <t>Montáž modulu vyhřívání/chlazení s termostatem</t>
  </si>
  <si>
    <t>Zatažení svetlovod.kabelu 4-12vl. ručně - vlákna MM/SM</t>
  </si>
  <si>
    <t>Svaření 1 vl. svetlovod.kabelu  - vlákna MM/SM</t>
  </si>
  <si>
    <t>Příprava svetlovod.kab. k ukonč., spojk.  4-12vl.  - vlákna MM/SM</t>
  </si>
  <si>
    <t>Uložení konce (spoj) svetlovod kab. 4-12vl. v kab. rozv.  - vlákna MM/SM</t>
  </si>
  <si>
    <t>Montáž adaptéru dvojitého (MT-RJ, SC, ST)  pro vlákna MM/SM</t>
  </si>
  <si>
    <t>Montáž pigtailu pro vlákna MM/SM</t>
  </si>
  <si>
    <t>Montáž kazety pro sváry na kabelu  - vlákna MM/SM</t>
  </si>
  <si>
    <t>Ochrana sváru vlákna MM/SM</t>
  </si>
  <si>
    <t>Uložení délkové rezervy opt.kabelu do 50m  - vlákna MM/SM</t>
  </si>
  <si>
    <t>Měření na jednom vlákně MM/SM opt.kabelu</t>
  </si>
  <si>
    <t>220 060810</t>
  </si>
  <si>
    <t>Mikrotrubička do pr. 15mm volně uložená / zatažená</t>
  </si>
  <si>
    <t>220 060840</t>
  </si>
  <si>
    <t>Tlaková zkouška mikrotrubičky do pr. 12mm, vč. protokolu</t>
  </si>
  <si>
    <t>7035 EH-400W-G</t>
  </si>
  <si>
    <t>Jednotka elektrického vytápění pro LC-07 RAL 7035</t>
  </si>
  <si>
    <t>BTR-10-C-G</t>
  </si>
  <si>
    <t xml:space="preserve">Termostatická jednotka 1U pro chlazení </t>
  </si>
  <si>
    <t xml:space="preserve">BTR-10-H-G </t>
  </si>
  <si>
    <t xml:space="preserve">Termostatická jednotka 1U pro topení </t>
  </si>
  <si>
    <t>LC-07-24U-76-25002-02-G</t>
  </si>
  <si>
    <t>Rozvaděč termoizolovaný LC-07 24U 700x600 RAL7035 ventilace v obou bočnicích</t>
  </si>
  <si>
    <t>LC-50</t>
  </si>
  <si>
    <t>VJ19-3-T-B</t>
  </si>
  <si>
    <t xml:space="preserve">Chladící jednotka 19" 1U 3 ventilátory s bimetalovým termostatem BK 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</si>
  <si>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</si>
  <si>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</si>
  <si>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</si>
  <si>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</si>
  <si>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</si>
  <si>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</si>
  <si>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</si>
  <si>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</si>
  <si>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Police do 19" rozvaděče pro uložení kabelové rezervy, h. 440MM/SM, černá</t>
  </si>
  <si>
    <t>POD-07-76-80-G</t>
  </si>
  <si>
    <t>Podstavec rozvaděče LC-07+ 800x700x600, RAL 7035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</si>
  <si>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</si>
  <si>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</si>
  <si>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</si>
  <si>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</si>
  <si>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</si>
  <si>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</si>
  <si>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</si>
  <si>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</si>
  <si>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</si>
  <si>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</si>
  <si>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</si>
  <si>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</si>
  <si>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</si>
  <si>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</si>
  <si>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</si>
  <si>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</si>
  <si>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</si>
  <si>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</si>
  <si>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SXKO-MINI-4-OS-HDPE</t>
  </si>
  <si>
    <t xml:space="preserve">Zafukovací kabel 4vl 9/125 </t>
  </si>
  <si>
    <t>SXKJ-6-UTP-BK-NA</t>
  </si>
  <si>
    <t>Rychlozařezávací keystone CAT6 UTP Component Level a 4PPoE certifikace</t>
  </si>
  <si>
    <t> SXKJ-6-STP-BK-NA</t>
  </si>
  <si>
    <t>Rychlozařezávací keystone CAT6 STP</t>
  </si>
  <si>
    <t>SX24-6-UTP-BK</t>
  </si>
  <si>
    <t>19" patch panel Solarix 24 x RJ45 CAT6 UTP 350 MHz černý 1U</t>
  </si>
  <si>
    <t>SX24-6-STP-BK</t>
  </si>
  <si>
    <t>19" patch panel Solarix 24 x RJ45 CAT6 STP černý 1U</t>
  </si>
  <si>
    <t>VP-08-1-00-B</t>
  </si>
  <si>
    <t>Solarix:  Vyvazovací panel 19" 1U BK ocelový</t>
  </si>
  <si>
    <t>SXKD-6-UTP-PVC</t>
  </si>
  <si>
    <t>Instalační kabel Solarix CAT6 UTP PVC 450MHz</t>
  </si>
  <si>
    <t>SXKD-6-FTP-PE</t>
  </si>
  <si>
    <t>Instalační kabel Solarix CAT6 FTP PE Fca venkovní 500m/cívka</t>
  </si>
  <si>
    <t>C6-114GY-0,5MB</t>
  </si>
  <si>
    <t>Patch kabel CAT6 UTP PVC 0,5m šedý snag-proof</t>
  </si>
  <si>
    <t>C6-315GY-1MB</t>
  </si>
  <si>
    <t xml:space="preserve">Patch kabel CAT6 SFTP PVC 1m šedý snag-proof 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</si>
  <si>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</si>
  <si>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</si>
  <si>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</si>
  <si>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</si>
  <si>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</si>
  <si>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</si>
  <si>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</si>
  <si>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</si>
  <si>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</si>
  <si>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</si>
  <si>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</si>
  <si>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</si>
  <si>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</si>
  <si>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</si>
  <si>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DS-2CD3646G2-IZS</t>
  </si>
  <si>
    <t>IP bullet kamera, 4MP, WDR, VCA, IR 80m, IP66</t>
  </si>
  <si>
    <t>DS-2CD3686G2-IZS</t>
  </si>
  <si>
    <t xml:space="preserve">
IP bullet kamera, 8MP, WDR, VCA, IR 60m, IP67</t>
  </si>
  <si>
    <t>DS-2CD3346G2-ISU/SL</t>
  </si>
  <si>
    <t>IP ball kamera, 4MP, f=2.8mm, IR 40m, strobe light, WDR, VA, IP67</t>
  </si>
  <si>
    <t>DS-9664NI-M8</t>
  </si>
  <si>
    <t>NVR pro 64 IP kamer, až 32MP, HDMI, bez HDD, podpora RAID, redundantní PSU</t>
  </si>
  <si>
    <t>HPE JL809A</t>
  </si>
  <si>
    <t>HPE JL681A</t>
  </si>
  <si>
    <t>E080-10</t>
  </si>
  <si>
    <t>TCP/IP komunikátor bez krytu pro GALAXYGD, verze dle EN norem. ISOM protokol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</si>
  <si>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</si>
  <si>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</si>
  <si>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</si>
  <si>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</si>
  <si>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SL-200QDP</t>
  </si>
  <si>
    <t>4-paprsková IR závora, dosah 60 m, synchronizace - 4 kanály</t>
  </si>
  <si>
    <t>TAKH</t>
  </si>
  <si>
    <t>Sada držáků (2 ks) pro montáž IR závor řady SL do sloupů MB/PB/TAx</t>
  </si>
  <si>
    <t>TWH24V</t>
  </si>
  <si>
    <t>Vyhřívací prvek pro sloupy TAS / TAW / TAD</t>
  </si>
  <si>
    <t>PTS</t>
  </si>
  <si>
    <t>Termostat pro řízení vyhřívacích prvků PTH24V, TWH24V a MAH24V</t>
  </si>
  <si>
    <t>TAD150</t>
  </si>
  <si>
    <t>Oboustranný sloup pro IR závory Optex &amp; Takex, montáž na patku, výška 1,5 m</t>
  </si>
  <si>
    <t>TAS-150</t>
  </si>
  <si>
    <t>J241</t>
  </si>
  <si>
    <t>Plastová propojovací krabice, 24+2 šroubovací svorky, s větší výškou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</si>
  <si>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</si>
  <si>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</si>
  <si>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</si>
  <si>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</si>
  <si>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</si>
  <si>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</si>
  <si>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</si>
  <si>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</si>
  <si>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</si>
  <si>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</si>
  <si>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RPT 83Z 
(Dexon)</t>
  </si>
  <si>
    <t>Závěsná reprosoustava 10 W / 100 V, 150 – 15 000 Hz, 92 dB, Ø 194 × 170 mm</t>
  </si>
  <si>
    <t>JPA 1504</t>
  </si>
  <si>
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</si>
  <si>
    <t>RPT 94 
(Dexon)</t>
  </si>
  <si>
    <t>Podhledový reproduktor, plastový koš, kovová mřížka, 6 W / 100 V, 90 dB, 90 – 20 000 Hz, Ø 187 mm</t>
  </si>
  <si>
    <t>Měření rozhlasového zařízení nad 240 W</t>
  </si>
  <si>
    <t>19" rozvaděč 600x600, 42U RAL 7035, skleněné dveře</t>
  </si>
  <si>
    <t>Panel podstavce s kartáčovou lištou 600, výška 100mm, RAL7035</t>
  </si>
  <si>
    <t xml:space="preserve">   Tato revize 2 ruší a plně nahrazuje v celém rozsahu původní výýkaz výměr v projektovou dokumentaci ve stupni pro provedení stavby z 9/2018 (včetně přípočtů odpočtů v revizi 1 z 11/2021), jelikož  jsou investorem stanoveny nové uživatelské i technické požadavky na slaboproudé rozvody.</t>
  </si>
  <si>
    <r>
      <t xml:space="preserve">LITVÍNOV, ULICE LOMSKÁ, PRODEJNA PRO DŮM A ZAHRADU
SO 01 - ADMINISTRATIVNÍ A SKLADOVACÍ OBJEKT
SO 02 - NAKLÁDACÍ HALA - TERMINÁL
D1.4.4 - Slaboproudé elektroinstalace 
DOKUMENTACE PRO PROVEDENÍ STAVBY </t>
    </r>
    <r>
      <rPr>
        <b/>
        <i/>
        <sz val="14"/>
        <color rgb="FFFF0000"/>
        <rFont val="Arial CE"/>
        <charset val="238"/>
      </rPr>
      <t>– REVIZE 2</t>
    </r>
  </si>
  <si>
    <t>S0G20A</t>
  </si>
  <si>
    <t xml:space="preserve">HPE Networking Instant On 1G LX SFP LC 10km SMF Transceiver        </t>
  </si>
  <si>
    <t>HPE Networking Instant On Switch 40p Gigabit CL4 8p Gigabit CL6 PoE 2p 10GBT 2p SFP+ 600W 1960</t>
  </si>
  <si>
    <t>HPE Networking Instant On Switch 8p Gigabit CL4 PoE 2p SFP 124W 1930</t>
  </si>
  <si>
    <t>Dodávka "A"</t>
  </si>
  <si>
    <t>Koeficient</t>
  </si>
  <si>
    <t>Dodávka "C"</t>
  </si>
  <si>
    <t>Montáž "A"</t>
  </si>
  <si>
    <t>Montáž "C"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</si>
</sst>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#,##0.00\ &quot;Kč&quot;"/>
    <numFmt numFmtId="165" formatCode="0.0"/>
  </numFmts>
  <fonts count="19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i/>
      <sz val="14"/>
      <name val="Arial CE"/>
      <family val="2"/>
      <charset val="238"/>
    </font>
    <font>
      <b/>
      <sz val="12"/>
      <name val="Arial CE"/>
      <family val="2"/>
      <charset val="238"/>
    </font>
    <font>
      <i/>
      <sz val="10"/>
      <name val="Times New Roman CE"/>
      <family val="1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sz val="9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sz val="9"/>
      <name val="Arial CE"/>
      <charset val="238"/>
    </font>
    <font>
      <b/>
      <sz val="10"/>
      <color rgb="FFFF0000"/>
      <name val="Arial CE"/>
      <charset val="238"/>
    </font>
    <font>
      <b/>
      <sz val="10"/>
      <color rgb="FF0070C0"/>
      <name val="Arial CE"/>
      <charset val="238"/>
    </font>
    <font>
      <b/>
      <i/>
      <sz val="14"/>
      <color rgb="FFFF0000"/>
      <name val="Arial CE"/>
      <charset val="238"/>
    </font>
    <font>
      <sz val="10"/>
      <name val="Arial CE"/>
    </font>
    <font>
      <sz val="10"/>
      <color rgb="FFFF0000"/>
      <name val="Arial CE"/>
    </font>
    <font>
      <sz val="10"/>
      <color rgb="FFFF0000"/>
      <name val="Arial CE"/>
      <charset val="238"/>
    </font>
    <font>
      <sz val="9"/>
      <color rgb="FFFF0000"/>
      <name val="Arial CE"/>
      <charset val="238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0" borderId="0"/>
  </cellStyleXfs>
  <cellXfs count="9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4" fillId="0" borderId="0" xfId="0" applyFont="1"/>
    <xf numFmtId="0" fontId="5" fillId="0" borderId="1" xfId="0" applyFont="1" applyBorder="1"/>
    <xf numFmtId="0" fontId="7" fillId="0" borderId="0" xfId="0" applyFont="1"/>
    <xf numFmtId="0" fontId="0" fillId="0" borderId="2" xfId="0" applyBorder="1"/>
    <xf numFmtId="164" fontId="7" fillId="0" borderId="0" xfId="0" applyNumberFormat="1" applyFont="1"/>
    <xf numFmtId="0" fontId="6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/>
    <xf numFmtId="0" fontId="9" fillId="0" borderId="2" xfId="0" applyFont="1" applyBorder="1"/>
    <xf numFmtId="0" fontId="10" fillId="0" borderId="2" xfId="0" applyFont="1" applyBorder="1"/>
    <xf numFmtId="164" fontId="9" fillId="0" borderId="2" xfId="0" applyNumberFormat="1" applyFont="1" applyBorder="1"/>
    <xf numFmtId="3" fontId="8" fillId="0" borderId="0" xfId="0" applyNumberFormat="1" applyFont="1" applyAlignment="1">
      <alignment horizontal="left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1" fillId="0" borderId="0" xfId="0" applyFont="1"/>
    <xf numFmtId="0" fontId="8" fillId="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2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2" fontId="11" fillId="3" borderId="0" xfId="0" applyNumberFormat="1" applyFont="1" applyFill="1" applyAlignment="1">
      <alignment vertical="center" wrapText="1"/>
    </xf>
    <xf numFmtId="2" fontId="0" fillId="0" borderId="0" xfId="0" applyNumberFormat="1" applyAlignment="1">
      <alignment vertical="center"/>
    </xf>
    <xf numFmtId="2" fontId="11" fillId="5" borderId="0" xfId="0" applyNumberFormat="1" applyFont="1" applyFill="1" applyAlignment="1">
      <alignment vertical="center" wrapText="1"/>
    </xf>
    <xf numFmtId="0" fontId="11" fillId="6" borderId="0" xfId="0" applyFont="1" applyFill="1" applyAlignment="1">
      <alignment vertical="center"/>
    </xf>
    <xf numFmtId="1" fontId="8" fillId="0" borderId="0" xfId="0" applyNumberFormat="1" applyFont="1" applyAlignment="1">
      <alignment vertical="center"/>
    </xf>
    <xf numFmtId="2" fontId="11" fillId="6" borderId="0" xfId="0" applyNumberFormat="1" applyFont="1" applyFill="1" applyAlignment="1">
      <alignment vertical="center" wrapText="1"/>
    </xf>
    <xf numFmtId="2" fontId="8" fillId="0" borderId="0" xfId="0" applyNumberFormat="1" applyFont="1" applyAlignment="1">
      <alignment vertical="center"/>
    </xf>
    <xf numFmtId="2" fontId="11" fillId="2" borderId="0" xfId="0" applyNumberFormat="1" applyFont="1" applyFill="1" applyAlignment="1">
      <alignment vertical="center" wrapText="1"/>
    </xf>
    <xf numFmtId="2" fontId="11" fillId="7" borderId="0" xfId="0" applyNumberFormat="1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2" borderId="0" xfId="0" applyFont="1" applyFill="1" applyAlignment="1">
      <alignment wrapText="1"/>
    </xf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8" fillId="9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11" fillId="8" borderId="0" xfId="0" applyFont="1" applyFill="1" applyAlignment="1">
      <alignment vertical="center"/>
    </xf>
    <xf numFmtId="0" fontId="11" fillId="9" borderId="0" xfId="0" applyFont="1" applyFill="1" applyAlignment="1">
      <alignment vertical="center" wrapText="1"/>
    </xf>
    <xf numFmtId="3" fontId="11" fillId="0" borderId="0" xfId="0" applyNumberFormat="1" applyFont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1" fillId="0" borderId="1" xfId="0" applyFont="1" applyBorder="1" applyAlignment="1">
      <alignment vertical="center"/>
    </xf>
    <xf numFmtId="44" fontId="15" fillId="0" borderId="0" xfId="1" applyFont="1"/>
    <xf numFmtId="0" fontId="15" fillId="0" borderId="0" xfId="4" applyFont="1"/>
    <xf numFmtId="0" fontId="16" fillId="0" borderId="0" xfId="4" applyFont="1"/>
    <xf numFmtId="44" fontId="0" fillId="11" borderId="0" xfId="3" applyNumberFormat="1" applyFont="1"/>
    <xf numFmtId="0" fontId="0" fillId="11" borderId="0" xfId="3" applyFont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164" fontId="18" fillId="0" borderId="0" xfId="0" applyNumberFormat="1" applyFont="1"/>
    <xf numFmtId="3" fontId="18" fillId="0" borderId="0" xfId="0" applyNumberFormat="1" applyFont="1" applyAlignment="1">
      <alignment horizontal="left"/>
    </xf>
    <xf numFmtId="165" fontId="11" fillId="0" borderId="1" xfId="0" applyNumberFormat="1" applyFont="1" applyBorder="1"/>
    <xf numFmtId="165" fontId="0" fillId="0" borderId="0" xfId="0" applyNumberFormat="1"/>
    <xf numFmtId="165" fontId="11" fillId="0" borderId="0" xfId="0" applyNumberFormat="1" applyFont="1"/>
    <xf numFmtId="165" fontId="11" fillId="0" borderId="1" xfId="0" applyNumberFormat="1" applyFont="1" applyBorder="1" applyAlignment="1">
      <alignment horizontal="right"/>
    </xf>
    <xf numFmtId="165" fontId="11" fillId="0" borderId="0" xfId="0" applyNumberFormat="1" applyFont="1" applyAlignment="1">
      <alignment vertical="center"/>
    </xf>
    <xf numFmtId="165" fontId="11" fillId="0" borderId="2" xfId="0" applyNumberFormat="1" applyFont="1" applyBorder="1"/>
    <xf numFmtId="165" fontId="18" fillId="0" borderId="0" xfId="0" applyNumberFormat="1" applyFont="1" applyAlignment="1">
      <alignment vertical="center"/>
    </xf>
    <xf numFmtId="0" fontId="0" fillId="12" borderId="0" xfId="3" applyFont="1" applyFill="1"/>
    <xf numFmtId="0" fontId="8" fillId="12" borderId="0" xfId="0" applyFont="1" applyFill="1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0" xfId="0"/>
    <xf numFmtId="44" fontId="0" fillId="13" borderId="3" xfId="2" applyNumberFormat="1" applyFont="1" applyFill="1" applyBorder="1"/>
    <xf numFmtId="0" fontId="0" fillId="13" borderId="4" xfId="2" applyFont="1" applyFill="1" applyBorder="1"/>
    <xf numFmtId="44" fontId="0" fillId="13" borderId="5" xfId="2" applyNumberFormat="1" applyFont="1" applyFill="1" applyBorder="1"/>
    <xf numFmtId="0" fontId="0" fillId="13" borderId="6" xfId="2" applyFont="1" applyFill="1" applyBorder="1"/>
    <xf numFmtId="0" fontId="0" fillId="13" borderId="7" xfId="2" applyFont="1" applyFill="1" applyBorder="1"/>
    <xf numFmtId="0" fontId="0" fillId="13" borderId="8" xfId="2" applyFont="1" applyFill="1" applyBorder="1"/>
    <xf numFmtId="0" fontId="0" fillId="13" borderId="6" xfId="0" applyFill="1" applyBorder="1"/>
    <xf numFmtId="0" fontId="0" fillId="13" borderId="7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3" borderId="11" xfId="0" applyFill="1" applyBorder="1"/>
  </cellXfs>
  <cellStyles count="5">
    <cellStyle name="40 % – Zvýraznění 5" xfId="2" builtinId="47"/>
    <cellStyle name="40 % – Zvýraznění 6" xfId="3" builtinId="51"/>
    <cellStyle name="Měna" xfId="1" builtinId="4"/>
    <cellStyle name="Normální" xfId="0" builtinId="0"/>
    <cellStyle name="Normální 2" xfId="4" xr:uid="{A52D162E-09EB-4B2B-B4B5-8060C9E7319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3"/>
  <sheetViews>
    <sheetView tabSelected="1" zoomScale="115" zoomScaleNormal="115" workbookViewId="0">
      <selection activeCell="C9" sqref="C9"/>
    </sheetView>
  </sheetViews>
  <sheetFormatPr defaultRowHeight="12.45" outlineLevelCol="1"/>
  <cols>
    <col min="1" max="1" width="3.15234375" bestFit="1" customWidth="1"/>
    <col min="2" max="2" width="21.61328125" bestFit="1" customWidth="1"/>
    <col min="3" max="3" width="62.23046875" bestFit="1" customWidth="1"/>
    <col min="4" max="4" width="5.23046875" style="22" bestFit="1" customWidth="1" outlineLevel="1"/>
    <col min="5" max="5" width="4.84375" bestFit="1" customWidth="1" outlineLevel="1"/>
    <col min="6" max="6" width="8.61328125" style="74" bestFit="1" customWidth="1" outlineLevel="1"/>
    <col min="7" max="7" width="14" bestFit="1" customWidth="1" outlineLevel="1"/>
    <col min="8" max="8" width="62" customWidth="1" outlineLevel="1"/>
    <col min="9" max="9" width="11.84375" bestFit="1" customWidth="1"/>
    <col min="10" max="10" width="8.61328125" bestFit="1" customWidth="1"/>
    <col min="11" max="11" width="12" bestFit="1" customWidth="1"/>
    <col min="13" max="13" width="10.61328125" bestFit="1" customWidth="1"/>
    <col min="14" max="14" width="8.61328125" bestFit="1" customWidth="1"/>
    <col min="15" max="15" width="10.69140625" bestFit="1" customWidth="1"/>
    <col min="18" max="18" width="15" customWidth="1"/>
    <col min="20" max="20" width="15" customWidth="1"/>
  </cols>
  <sheetData>
    <row r="1" spans="1:15" ht="12.9">
      <c r="A1" s="4"/>
      <c r="B1" s="4"/>
      <c r="C1" s="4"/>
      <c r="D1" s="57"/>
      <c r="E1" s="2"/>
      <c r="F1" s="72"/>
      <c r="G1" s="2"/>
      <c r="I1" s="62"/>
      <c r="J1" s="67">
        <v>1.1499999999999999</v>
      </c>
      <c r="K1" s="62"/>
      <c r="L1" s="63"/>
      <c r="M1" s="62"/>
      <c r="N1" s="64">
        <f>SUM(J1)</f>
        <v>1.1499999999999999</v>
      </c>
      <c r="O1" s="62"/>
    </row>
    <row r="2" spans="1:15">
      <c r="A2" s="81" t="s">
        <v>504</v>
      </c>
      <c r="B2" s="82"/>
      <c r="C2" s="82"/>
      <c r="D2" s="82"/>
      <c r="E2" s="82"/>
      <c r="F2" s="82"/>
      <c r="G2" s="82"/>
    </row>
    <row r="3" spans="1:15">
      <c r="A3" s="83"/>
      <c r="B3" s="83"/>
      <c r="C3" s="83"/>
      <c r="D3" s="83"/>
      <c r="E3" s="83"/>
      <c r="F3" s="83"/>
      <c r="G3" s="83"/>
    </row>
    <row r="4" spans="1:15">
      <c r="A4" s="84" t="s">
        <v>503</v>
      </c>
      <c r="B4" s="84"/>
      <c r="C4" s="84"/>
      <c r="D4" s="84"/>
      <c r="E4" s="84"/>
      <c r="F4" s="85"/>
      <c r="G4" s="85"/>
    </row>
    <row r="5" spans="1:15">
      <c r="A5" s="86"/>
      <c r="B5" s="86"/>
      <c r="C5" s="86"/>
      <c r="D5" s="86"/>
      <c r="E5" s="86"/>
      <c r="F5" s="86"/>
      <c r="G5" s="86"/>
    </row>
    <row r="6" spans="1:15" ht="12.9" thickBot="1">
      <c r="D6"/>
      <c r="F6" s="73"/>
    </row>
    <row r="7" spans="1:15" ht="15.9" thickTop="1">
      <c r="C7" s="3" t="s">
        <v>7</v>
      </c>
      <c r="I7" s="65" t="s">
        <v>509</v>
      </c>
      <c r="J7" s="66" t="s">
        <v>510</v>
      </c>
      <c r="K7" s="65" t="s">
        <v>511</v>
      </c>
      <c r="M7" s="87" t="s">
        <v>512</v>
      </c>
      <c r="N7" s="88" t="s">
        <v>510</v>
      </c>
      <c r="O7" s="89" t="s">
        <v>513</v>
      </c>
    </row>
    <row r="8" spans="1:15">
      <c r="A8" s="9" t="s">
        <v>1</v>
      </c>
      <c r="B8" s="9" t="s">
        <v>2</v>
      </c>
      <c r="C8" s="9" t="s">
        <v>3</v>
      </c>
      <c r="D8" s="58"/>
      <c r="E8" s="10" t="s">
        <v>4</v>
      </c>
      <c r="F8" s="75" t="s">
        <v>5</v>
      </c>
      <c r="G8" s="10" t="s">
        <v>0</v>
      </c>
      <c r="I8" s="66"/>
      <c r="J8" s="66"/>
      <c r="K8" s="66"/>
      <c r="M8" s="90"/>
      <c r="N8" s="91"/>
      <c r="O8" s="92"/>
    </row>
    <row r="9" spans="1:15">
      <c r="A9" s="17">
        <v>1</v>
      </c>
      <c r="B9" s="17" t="s">
        <v>8</v>
      </c>
      <c r="C9" s="25" t="s">
        <v>9</v>
      </c>
      <c r="D9" s="21">
        <v>4</v>
      </c>
      <c r="E9" s="17" t="s">
        <v>10</v>
      </c>
      <c r="F9" s="76">
        <f>K9+O9</f>
        <v>64.63</v>
      </c>
      <c r="G9" s="18">
        <f>D9*F9</f>
        <v>258.52</v>
      </c>
      <c r="I9" s="66">
        <v>11.2</v>
      </c>
      <c r="J9" s="66">
        <f t="shared" ref="J9:J67" si="0">$J$1</f>
        <v>1.1499999999999999</v>
      </c>
      <c r="K9" s="66">
        <f t="shared" ref="K9" si="1">J9*I9</f>
        <v>12.879999999999999</v>
      </c>
      <c r="M9" s="90">
        <v>45</v>
      </c>
      <c r="N9" s="91">
        <f t="shared" ref="N9:N67" si="2">$N$1</f>
        <v>1.1499999999999999</v>
      </c>
      <c r="O9" s="92">
        <f t="shared" ref="O9" si="3">N9*M9</f>
        <v>51.749999999999993</v>
      </c>
    </row>
    <row r="10" spans="1:15">
      <c r="A10" s="17">
        <v>2</v>
      </c>
      <c r="B10" s="17" t="s">
        <v>11</v>
      </c>
      <c r="C10" s="25" t="s">
        <v>12</v>
      </c>
      <c r="D10" s="21">
        <v>4</v>
      </c>
      <c r="E10" s="17" t="s">
        <v>10</v>
      </c>
      <c r="F10" s="76">
        <f t="shared" ref="F10:F48" si="4">K10+O10</f>
        <v>172.5</v>
      </c>
      <c r="G10" s="18">
        <f t="shared" ref="G10:G48" si="5">D10*F10</f>
        <v>690</v>
      </c>
      <c r="I10" s="66"/>
      <c r="J10" s="66">
        <f t="shared" si="0"/>
        <v>1.1499999999999999</v>
      </c>
      <c r="K10" s="66">
        <f t="shared" ref="K10:K69" si="6">J10*I10</f>
        <v>0</v>
      </c>
      <c r="M10" s="90">
        <v>150</v>
      </c>
      <c r="N10" s="91">
        <f t="shared" si="2"/>
        <v>1.1499999999999999</v>
      </c>
      <c r="O10" s="92">
        <f t="shared" ref="O10:O69" si="7">N10*M10</f>
        <v>172.5</v>
      </c>
    </row>
    <row r="11" spans="1:15">
      <c r="A11" s="17">
        <v>3</v>
      </c>
      <c r="B11" s="17" t="s">
        <v>13</v>
      </c>
      <c r="C11" s="25" t="s">
        <v>322</v>
      </c>
      <c r="D11" s="21">
        <v>168</v>
      </c>
      <c r="E11" s="17" t="s">
        <v>14</v>
      </c>
      <c r="F11" s="76">
        <f t="shared" si="4"/>
        <v>17.134999999999998</v>
      </c>
      <c r="G11" s="18">
        <f t="shared" si="5"/>
        <v>2878.68</v>
      </c>
      <c r="I11" s="66">
        <v>14.9</v>
      </c>
      <c r="J11" s="66">
        <f t="shared" si="0"/>
        <v>1.1499999999999999</v>
      </c>
      <c r="K11" s="66">
        <f t="shared" si="6"/>
        <v>17.134999999999998</v>
      </c>
      <c r="M11" s="90"/>
      <c r="N11" s="91">
        <f t="shared" si="2"/>
        <v>1.1499999999999999</v>
      </c>
      <c r="O11" s="92">
        <f t="shared" si="7"/>
        <v>0</v>
      </c>
    </row>
    <row r="12" spans="1:15">
      <c r="A12" s="17">
        <v>4</v>
      </c>
      <c r="B12" s="17" t="s">
        <v>15</v>
      </c>
      <c r="C12" s="25" t="s">
        <v>323</v>
      </c>
      <c r="D12" s="21">
        <v>168</v>
      </c>
      <c r="E12" s="17" t="s">
        <v>14</v>
      </c>
      <c r="F12" s="76">
        <f t="shared" si="4"/>
        <v>20.7</v>
      </c>
      <c r="G12" s="18">
        <f t="shared" si="5"/>
        <v>3477.6</v>
      </c>
      <c r="I12" s="66">
        <v>18</v>
      </c>
      <c r="J12" s="66">
        <f t="shared" si="0"/>
        <v>1.1499999999999999</v>
      </c>
      <c r="K12" s="66">
        <f t="shared" si="6"/>
        <v>20.7</v>
      </c>
      <c r="M12" s="90"/>
      <c r="N12" s="91">
        <f t="shared" si="2"/>
        <v>1.1499999999999999</v>
      </c>
      <c r="O12" s="92">
        <f t="shared" si="7"/>
        <v>0</v>
      </c>
    </row>
    <row r="13" spans="1:15">
      <c r="A13" s="17">
        <v>5</v>
      </c>
      <c r="B13" s="17" t="s">
        <v>16</v>
      </c>
      <c r="C13" s="25" t="s">
        <v>17</v>
      </c>
      <c r="D13" s="21">
        <v>283</v>
      </c>
      <c r="E13" s="17" t="s">
        <v>10</v>
      </c>
      <c r="F13" s="76">
        <f t="shared" si="4"/>
        <v>5.4624999999999995</v>
      </c>
      <c r="G13" s="18">
        <f t="shared" si="5"/>
        <v>1545.8874999999998</v>
      </c>
      <c r="I13" s="66">
        <v>4.75</v>
      </c>
      <c r="J13" s="66">
        <f t="shared" si="0"/>
        <v>1.1499999999999999</v>
      </c>
      <c r="K13" s="66">
        <f t="shared" si="6"/>
        <v>5.4624999999999995</v>
      </c>
      <c r="M13" s="90"/>
      <c r="N13" s="91">
        <f t="shared" si="2"/>
        <v>1.1499999999999999</v>
      </c>
      <c r="O13" s="92">
        <f t="shared" si="7"/>
        <v>0</v>
      </c>
    </row>
    <row r="14" spans="1:15">
      <c r="A14" s="17">
        <v>6</v>
      </c>
      <c r="B14" s="17" t="s">
        <v>18</v>
      </c>
      <c r="C14" s="25" t="s">
        <v>19</v>
      </c>
      <c r="D14" s="21">
        <v>113</v>
      </c>
      <c r="E14" s="17" t="s">
        <v>10</v>
      </c>
      <c r="F14" s="76">
        <f t="shared" si="4"/>
        <v>29.439999999999998</v>
      </c>
      <c r="G14" s="18">
        <f t="shared" si="5"/>
        <v>3326.72</v>
      </c>
      <c r="I14" s="66">
        <v>25.6</v>
      </c>
      <c r="J14" s="66">
        <f t="shared" si="0"/>
        <v>1.1499999999999999</v>
      </c>
      <c r="K14" s="66">
        <f t="shared" si="6"/>
        <v>29.439999999999998</v>
      </c>
      <c r="M14" s="90"/>
      <c r="N14" s="91">
        <f t="shared" si="2"/>
        <v>1.1499999999999999</v>
      </c>
      <c r="O14" s="92">
        <f t="shared" si="7"/>
        <v>0</v>
      </c>
    </row>
    <row r="15" spans="1:15">
      <c r="A15" s="17">
        <v>7</v>
      </c>
      <c r="B15" s="17" t="s">
        <v>20</v>
      </c>
      <c r="C15" s="25" t="s">
        <v>21</v>
      </c>
      <c r="D15" s="21">
        <v>16</v>
      </c>
      <c r="E15" s="17" t="s">
        <v>10</v>
      </c>
      <c r="F15" s="76">
        <f t="shared" si="4"/>
        <v>105.271</v>
      </c>
      <c r="G15" s="18">
        <f t="shared" si="5"/>
        <v>1684.336</v>
      </c>
      <c r="I15" s="66">
        <v>91.54</v>
      </c>
      <c r="J15" s="66">
        <f t="shared" si="0"/>
        <v>1.1499999999999999</v>
      </c>
      <c r="K15" s="66">
        <f t="shared" si="6"/>
        <v>105.271</v>
      </c>
      <c r="M15" s="90"/>
      <c r="N15" s="91">
        <f t="shared" si="2"/>
        <v>1.1499999999999999</v>
      </c>
      <c r="O15" s="92">
        <f t="shared" si="7"/>
        <v>0</v>
      </c>
    </row>
    <row r="16" spans="1:15">
      <c r="A16" s="17">
        <v>8</v>
      </c>
      <c r="B16" s="17" t="s">
        <v>22</v>
      </c>
      <c r="C16" s="25" t="s">
        <v>23</v>
      </c>
      <c r="D16" s="21">
        <v>16</v>
      </c>
      <c r="E16" s="17" t="s">
        <v>10</v>
      </c>
      <c r="F16" s="76">
        <f t="shared" si="4"/>
        <v>324.64499999999998</v>
      </c>
      <c r="G16" s="18">
        <f t="shared" si="5"/>
        <v>5194.32</v>
      </c>
      <c r="I16" s="66">
        <v>282.3</v>
      </c>
      <c r="J16" s="66">
        <f t="shared" si="0"/>
        <v>1.1499999999999999</v>
      </c>
      <c r="K16" s="66">
        <f t="shared" si="6"/>
        <v>324.64499999999998</v>
      </c>
      <c r="M16" s="90"/>
      <c r="N16" s="91">
        <f t="shared" si="2"/>
        <v>1.1499999999999999</v>
      </c>
      <c r="O16" s="92">
        <f t="shared" si="7"/>
        <v>0</v>
      </c>
    </row>
    <row r="17" spans="1:15">
      <c r="A17" s="17">
        <v>9</v>
      </c>
      <c r="B17" s="17" t="s">
        <v>24</v>
      </c>
      <c r="C17" s="25" t="s">
        <v>277</v>
      </c>
      <c r="D17" s="21">
        <v>46</v>
      </c>
      <c r="E17" s="17" t="s">
        <v>10</v>
      </c>
      <c r="F17" s="76">
        <f t="shared" si="4"/>
        <v>100.76299999999998</v>
      </c>
      <c r="G17" s="18">
        <f t="shared" si="5"/>
        <v>4635.097999999999</v>
      </c>
      <c r="I17" s="66">
        <v>42.62</v>
      </c>
      <c r="J17" s="66">
        <f t="shared" si="0"/>
        <v>1.1499999999999999</v>
      </c>
      <c r="K17" s="66">
        <f t="shared" si="6"/>
        <v>49.012999999999991</v>
      </c>
      <c r="M17" s="90">
        <v>45</v>
      </c>
      <c r="N17" s="91">
        <f t="shared" si="2"/>
        <v>1.1499999999999999</v>
      </c>
      <c r="O17" s="92">
        <f t="shared" si="7"/>
        <v>51.749999999999993</v>
      </c>
    </row>
    <row r="18" spans="1:15">
      <c r="A18" s="17">
        <v>10</v>
      </c>
      <c r="B18" s="17" t="s">
        <v>25</v>
      </c>
      <c r="C18" s="25" t="s">
        <v>26</v>
      </c>
      <c r="D18" s="21">
        <v>434</v>
      </c>
      <c r="E18" s="17" t="s">
        <v>10</v>
      </c>
      <c r="F18" s="76">
        <f t="shared" si="4"/>
        <v>10.35</v>
      </c>
      <c r="G18" s="18">
        <f t="shared" si="5"/>
        <v>4491.8999999999996</v>
      </c>
      <c r="I18" s="66"/>
      <c r="J18" s="66">
        <f t="shared" si="0"/>
        <v>1.1499999999999999</v>
      </c>
      <c r="K18" s="66">
        <f t="shared" si="6"/>
        <v>0</v>
      </c>
      <c r="M18" s="90">
        <v>9</v>
      </c>
      <c r="N18" s="91">
        <f t="shared" si="2"/>
        <v>1.1499999999999999</v>
      </c>
      <c r="O18" s="92">
        <f t="shared" si="7"/>
        <v>10.35</v>
      </c>
    </row>
    <row r="19" spans="1:15">
      <c r="A19" s="17">
        <v>11</v>
      </c>
      <c r="B19" s="17" t="s">
        <v>27</v>
      </c>
      <c r="C19" s="25" t="s">
        <v>28</v>
      </c>
      <c r="D19" s="21">
        <v>398</v>
      </c>
      <c r="E19" s="17" t="s">
        <v>10</v>
      </c>
      <c r="F19" s="76">
        <f t="shared" si="4"/>
        <v>4.5999999999999996</v>
      </c>
      <c r="G19" s="18">
        <f t="shared" si="5"/>
        <v>1830.8</v>
      </c>
      <c r="I19" s="66"/>
      <c r="J19" s="66">
        <f t="shared" si="0"/>
        <v>1.1499999999999999</v>
      </c>
      <c r="K19" s="66">
        <f t="shared" si="6"/>
        <v>0</v>
      </c>
      <c r="M19" s="90">
        <v>4</v>
      </c>
      <c r="N19" s="91">
        <f t="shared" si="2"/>
        <v>1.1499999999999999</v>
      </c>
      <c r="O19" s="92">
        <f t="shared" si="7"/>
        <v>4.5999999999999996</v>
      </c>
    </row>
    <row r="20" spans="1:15">
      <c r="A20" s="17">
        <v>12</v>
      </c>
      <c r="B20" s="17" t="s">
        <v>29</v>
      </c>
      <c r="C20" s="25" t="s">
        <v>30</v>
      </c>
      <c r="D20" s="21">
        <v>36</v>
      </c>
      <c r="E20" s="17" t="s">
        <v>10</v>
      </c>
      <c r="F20" s="76">
        <f t="shared" si="4"/>
        <v>4.5999999999999996</v>
      </c>
      <c r="G20" s="18">
        <f t="shared" si="5"/>
        <v>165.6</v>
      </c>
      <c r="I20" s="66"/>
      <c r="J20" s="66">
        <f t="shared" si="0"/>
        <v>1.1499999999999999</v>
      </c>
      <c r="K20" s="66">
        <f t="shared" si="6"/>
        <v>0</v>
      </c>
      <c r="M20" s="90">
        <v>4</v>
      </c>
      <c r="N20" s="91">
        <f t="shared" si="2"/>
        <v>1.1499999999999999</v>
      </c>
      <c r="O20" s="92">
        <f t="shared" si="7"/>
        <v>4.5999999999999996</v>
      </c>
    </row>
    <row r="21" spans="1:15">
      <c r="A21" s="17">
        <v>13</v>
      </c>
      <c r="B21" s="17" t="s">
        <v>31</v>
      </c>
      <c r="C21" s="25" t="s">
        <v>32</v>
      </c>
      <c r="D21" s="21">
        <v>144</v>
      </c>
      <c r="E21" s="17" t="s">
        <v>14</v>
      </c>
      <c r="F21" s="76">
        <f t="shared" si="4"/>
        <v>27.944999999999997</v>
      </c>
      <c r="G21" s="18">
        <f t="shared" si="5"/>
        <v>4024.0799999999995</v>
      </c>
      <c r="I21" s="66">
        <v>5.3</v>
      </c>
      <c r="J21" s="66">
        <f t="shared" si="0"/>
        <v>1.1499999999999999</v>
      </c>
      <c r="K21" s="66">
        <f t="shared" si="6"/>
        <v>6.0949999999999998</v>
      </c>
      <c r="M21" s="90">
        <v>19</v>
      </c>
      <c r="N21" s="91">
        <f t="shared" si="2"/>
        <v>1.1499999999999999</v>
      </c>
      <c r="O21" s="92">
        <f t="shared" si="7"/>
        <v>21.849999999999998</v>
      </c>
    </row>
    <row r="22" spans="1:15">
      <c r="A22" s="17">
        <v>15</v>
      </c>
      <c r="B22" s="17" t="s">
        <v>33</v>
      </c>
      <c r="C22" s="25" t="s">
        <v>34</v>
      </c>
      <c r="D22" s="21">
        <v>128</v>
      </c>
      <c r="E22" s="17" t="s">
        <v>14</v>
      </c>
      <c r="F22" s="76">
        <f t="shared" si="4"/>
        <v>39.789999999999992</v>
      </c>
      <c r="G22" s="18">
        <f t="shared" si="5"/>
        <v>5093.119999999999</v>
      </c>
      <c r="I22" s="66">
        <v>15.6</v>
      </c>
      <c r="J22" s="66">
        <f t="shared" si="0"/>
        <v>1.1499999999999999</v>
      </c>
      <c r="K22" s="66">
        <f t="shared" si="6"/>
        <v>17.939999999999998</v>
      </c>
      <c r="M22" s="90">
        <v>19</v>
      </c>
      <c r="N22" s="91">
        <f t="shared" si="2"/>
        <v>1.1499999999999999</v>
      </c>
      <c r="O22" s="92">
        <f t="shared" si="7"/>
        <v>21.849999999999998</v>
      </c>
    </row>
    <row r="23" spans="1:15">
      <c r="A23" s="17">
        <v>16</v>
      </c>
      <c r="B23" s="17" t="s">
        <v>35</v>
      </c>
      <c r="C23" s="25" t="s">
        <v>36</v>
      </c>
      <c r="D23" s="21">
        <v>312</v>
      </c>
      <c r="E23" s="17" t="s">
        <v>14</v>
      </c>
      <c r="F23" s="76">
        <f t="shared" si="4"/>
        <v>39.33</v>
      </c>
      <c r="G23" s="18">
        <f t="shared" si="5"/>
        <v>12270.96</v>
      </c>
      <c r="I23" s="66">
        <v>15.2</v>
      </c>
      <c r="J23" s="66">
        <f t="shared" si="0"/>
        <v>1.1499999999999999</v>
      </c>
      <c r="K23" s="66">
        <f t="shared" si="6"/>
        <v>17.479999999999997</v>
      </c>
      <c r="M23" s="90">
        <v>19</v>
      </c>
      <c r="N23" s="91">
        <f t="shared" si="2"/>
        <v>1.1499999999999999</v>
      </c>
      <c r="O23" s="92">
        <f t="shared" si="7"/>
        <v>21.849999999999998</v>
      </c>
    </row>
    <row r="24" spans="1:15">
      <c r="A24" s="17">
        <v>18</v>
      </c>
      <c r="B24" s="17" t="s">
        <v>37</v>
      </c>
      <c r="C24" s="25" t="s">
        <v>38</v>
      </c>
      <c r="D24" s="21">
        <v>194</v>
      </c>
      <c r="E24" s="17" t="s">
        <v>14</v>
      </c>
      <c r="F24" s="76">
        <f t="shared" si="4"/>
        <v>54.164999999999992</v>
      </c>
      <c r="G24" s="18">
        <f t="shared" si="5"/>
        <v>10508.009999999998</v>
      </c>
      <c r="I24" s="66">
        <v>28.1</v>
      </c>
      <c r="J24" s="66">
        <f t="shared" si="0"/>
        <v>1.1499999999999999</v>
      </c>
      <c r="K24" s="66">
        <f t="shared" si="6"/>
        <v>32.314999999999998</v>
      </c>
      <c r="M24" s="90">
        <v>19</v>
      </c>
      <c r="N24" s="91">
        <f t="shared" si="2"/>
        <v>1.1499999999999999</v>
      </c>
      <c r="O24" s="92">
        <f t="shared" si="7"/>
        <v>21.849999999999998</v>
      </c>
    </row>
    <row r="25" spans="1:15">
      <c r="A25" s="17">
        <v>19</v>
      </c>
      <c r="B25" s="17" t="s">
        <v>39</v>
      </c>
      <c r="C25" s="25" t="s">
        <v>40</v>
      </c>
      <c r="D25" s="21">
        <v>392</v>
      </c>
      <c r="E25" s="17" t="s">
        <v>14</v>
      </c>
      <c r="F25" s="76">
        <f t="shared" si="4"/>
        <v>4.5999999999999996</v>
      </c>
      <c r="G25" s="18">
        <f t="shared" si="5"/>
        <v>1803.1999999999998</v>
      </c>
      <c r="I25" s="66">
        <v>4</v>
      </c>
      <c r="J25" s="66">
        <f t="shared" si="0"/>
        <v>1.1499999999999999</v>
      </c>
      <c r="K25" s="66">
        <f t="shared" si="6"/>
        <v>4.5999999999999996</v>
      </c>
      <c r="M25" s="90"/>
      <c r="N25" s="91">
        <f t="shared" si="2"/>
        <v>1.1499999999999999</v>
      </c>
      <c r="O25" s="92">
        <f t="shared" si="7"/>
        <v>0</v>
      </c>
    </row>
    <row r="26" spans="1:15">
      <c r="A26" s="17">
        <v>20</v>
      </c>
      <c r="B26" s="17" t="s">
        <v>41</v>
      </c>
      <c r="C26" s="25" t="s">
        <v>42</v>
      </c>
      <c r="D26" s="21">
        <v>392</v>
      </c>
      <c r="E26" s="17" t="s">
        <v>14</v>
      </c>
      <c r="F26" s="76">
        <f t="shared" si="4"/>
        <v>4.83</v>
      </c>
      <c r="G26" s="18">
        <f t="shared" si="5"/>
        <v>1893.3600000000001</v>
      </c>
      <c r="I26" s="66"/>
      <c r="J26" s="66">
        <f t="shared" si="0"/>
        <v>1.1499999999999999</v>
      </c>
      <c r="K26" s="66">
        <f t="shared" si="6"/>
        <v>0</v>
      </c>
      <c r="M26" s="90">
        <v>4.2</v>
      </c>
      <c r="N26" s="91">
        <f t="shared" si="2"/>
        <v>1.1499999999999999</v>
      </c>
      <c r="O26" s="92">
        <f t="shared" si="7"/>
        <v>4.83</v>
      </c>
    </row>
    <row r="27" spans="1:15">
      <c r="A27" s="17">
        <v>21</v>
      </c>
      <c r="B27" s="17" t="s">
        <v>43</v>
      </c>
      <c r="C27" s="25" t="s">
        <v>44</v>
      </c>
      <c r="D27" s="21">
        <v>392</v>
      </c>
      <c r="E27" s="17" t="s">
        <v>14</v>
      </c>
      <c r="F27" s="76">
        <f t="shared" si="4"/>
        <v>4.5999999999999996</v>
      </c>
      <c r="G27" s="18">
        <f t="shared" si="5"/>
        <v>1803.1999999999998</v>
      </c>
      <c r="I27" s="66"/>
      <c r="J27" s="66">
        <f t="shared" si="0"/>
        <v>1.1499999999999999</v>
      </c>
      <c r="K27" s="66">
        <f t="shared" si="6"/>
        <v>0</v>
      </c>
      <c r="M27" s="90">
        <v>4</v>
      </c>
      <c r="N27" s="91">
        <f t="shared" si="2"/>
        <v>1.1499999999999999</v>
      </c>
      <c r="O27" s="92">
        <f t="shared" si="7"/>
        <v>4.5999999999999996</v>
      </c>
    </row>
    <row r="28" spans="1:15">
      <c r="A28" s="17">
        <v>22</v>
      </c>
      <c r="B28" s="17" t="s">
        <v>356</v>
      </c>
      <c r="C28" s="80" t="s">
        <v>357</v>
      </c>
      <c r="D28" s="21">
        <v>126</v>
      </c>
      <c r="E28" s="17" t="s">
        <v>14</v>
      </c>
      <c r="F28" s="76">
        <f t="shared" si="4"/>
        <v>437</v>
      </c>
      <c r="G28" s="18">
        <f t="shared" si="5"/>
        <v>55062</v>
      </c>
      <c r="H28">
        <f>SUM(I28*D28)</f>
        <v>27720</v>
      </c>
      <c r="I28" s="66">
        <v>220</v>
      </c>
      <c r="J28" s="66">
        <f t="shared" si="0"/>
        <v>1.1499999999999999</v>
      </c>
      <c r="K28" s="66">
        <f t="shared" si="6"/>
        <v>252.99999999999997</v>
      </c>
      <c r="M28" s="90">
        <v>160</v>
      </c>
      <c r="N28" s="91">
        <f t="shared" si="2"/>
        <v>1.1499999999999999</v>
      </c>
      <c r="O28" s="92">
        <f t="shared" si="7"/>
        <v>184</v>
      </c>
    </row>
    <row r="29" spans="1:15">
      <c r="A29" s="17">
        <v>23</v>
      </c>
      <c r="B29" s="17" t="s">
        <v>45</v>
      </c>
      <c r="C29" s="80" t="s">
        <v>46</v>
      </c>
      <c r="D29" s="21">
        <v>4</v>
      </c>
      <c r="E29" s="17" t="s">
        <v>14</v>
      </c>
      <c r="F29" s="76">
        <f t="shared" si="4"/>
        <v>885.5</v>
      </c>
      <c r="G29" s="18">
        <f t="shared" si="5"/>
        <v>3542</v>
      </c>
      <c r="H29">
        <f>SUM(I29*D29)</f>
        <v>2520</v>
      </c>
      <c r="I29" s="66">
        <v>630</v>
      </c>
      <c r="J29" s="66">
        <f t="shared" si="0"/>
        <v>1.1499999999999999</v>
      </c>
      <c r="K29" s="66">
        <f t="shared" si="6"/>
        <v>724.5</v>
      </c>
      <c r="M29" s="90">
        <v>140</v>
      </c>
      <c r="N29" s="91">
        <f t="shared" si="2"/>
        <v>1.1499999999999999</v>
      </c>
      <c r="O29" s="92">
        <f t="shared" si="7"/>
        <v>161</v>
      </c>
    </row>
    <row r="30" spans="1:15">
      <c r="A30" s="17">
        <v>24</v>
      </c>
      <c r="B30" s="17" t="s">
        <v>47</v>
      </c>
      <c r="C30" s="80" t="s">
        <v>48</v>
      </c>
      <c r="D30" s="21">
        <v>0</v>
      </c>
      <c r="E30" s="17" t="s">
        <v>10</v>
      </c>
      <c r="F30" s="76">
        <f t="shared" si="4"/>
        <v>51.749999999999993</v>
      </c>
      <c r="G30" s="18">
        <f t="shared" si="5"/>
        <v>0</v>
      </c>
      <c r="H30">
        <f>SUM(I30*D30)</f>
        <v>0</v>
      </c>
      <c r="I30" s="66">
        <v>45</v>
      </c>
      <c r="J30" s="66">
        <f t="shared" si="0"/>
        <v>1.1499999999999999</v>
      </c>
      <c r="K30" s="66">
        <f t="shared" si="6"/>
        <v>51.749999999999993</v>
      </c>
      <c r="M30" s="90"/>
      <c r="N30" s="91">
        <f t="shared" si="2"/>
        <v>1.1499999999999999</v>
      </c>
      <c r="O30" s="92">
        <f t="shared" si="7"/>
        <v>0</v>
      </c>
    </row>
    <row r="31" spans="1:15">
      <c r="A31" s="17">
        <v>25</v>
      </c>
      <c r="B31" s="17" t="s">
        <v>49</v>
      </c>
      <c r="C31" s="80" t="s">
        <v>50</v>
      </c>
      <c r="D31" s="21">
        <v>126</v>
      </c>
      <c r="E31" s="17" t="s">
        <v>10</v>
      </c>
      <c r="F31" s="76">
        <f t="shared" si="4"/>
        <v>74.75</v>
      </c>
      <c r="G31" s="18">
        <f t="shared" si="5"/>
        <v>9418.5</v>
      </c>
      <c r="H31">
        <f>SUM(I31*D31)</f>
        <v>8190</v>
      </c>
      <c r="I31" s="66">
        <v>65</v>
      </c>
      <c r="J31" s="66">
        <f t="shared" si="0"/>
        <v>1.1499999999999999</v>
      </c>
      <c r="K31" s="66">
        <f t="shared" si="6"/>
        <v>74.75</v>
      </c>
      <c r="M31" s="90"/>
      <c r="N31" s="91">
        <f t="shared" si="2"/>
        <v>1.1499999999999999</v>
      </c>
      <c r="O31" s="92">
        <f t="shared" si="7"/>
        <v>0</v>
      </c>
    </row>
    <row r="32" spans="1:15">
      <c r="A32" s="17">
        <v>26</v>
      </c>
      <c r="B32" s="17" t="s">
        <v>51</v>
      </c>
      <c r="C32" s="80" t="s">
        <v>52</v>
      </c>
      <c r="D32" s="21">
        <v>126</v>
      </c>
      <c r="E32" s="17" t="s">
        <v>10</v>
      </c>
      <c r="F32" s="76">
        <f t="shared" si="4"/>
        <v>74.75</v>
      </c>
      <c r="G32" s="18">
        <f t="shared" si="5"/>
        <v>9418.5</v>
      </c>
      <c r="H32">
        <f>SUM(I32*D32)</f>
        <v>0</v>
      </c>
      <c r="I32" s="66"/>
      <c r="J32" s="66">
        <f t="shared" si="0"/>
        <v>1.1499999999999999</v>
      </c>
      <c r="K32" s="66">
        <f t="shared" si="6"/>
        <v>0</v>
      </c>
      <c r="M32" s="90">
        <v>65</v>
      </c>
      <c r="N32" s="91">
        <f t="shared" si="2"/>
        <v>1.1499999999999999</v>
      </c>
      <c r="O32" s="92">
        <f t="shared" si="7"/>
        <v>74.75</v>
      </c>
    </row>
    <row r="33" spans="1:15">
      <c r="A33" s="17">
        <v>27</v>
      </c>
      <c r="B33" s="17" t="s">
        <v>53</v>
      </c>
      <c r="C33" s="25" t="s">
        <v>54</v>
      </c>
      <c r="D33" s="21">
        <v>672</v>
      </c>
      <c r="E33" s="17" t="s">
        <v>10</v>
      </c>
      <c r="F33" s="76">
        <f t="shared" si="4"/>
        <v>6.8999999999999995</v>
      </c>
      <c r="G33" s="18">
        <f t="shared" si="5"/>
        <v>4636.7999999999993</v>
      </c>
      <c r="I33" s="66"/>
      <c r="J33" s="66">
        <f t="shared" si="0"/>
        <v>1.1499999999999999</v>
      </c>
      <c r="K33" s="66">
        <f t="shared" si="6"/>
        <v>0</v>
      </c>
      <c r="M33" s="90">
        <v>6</v>
      </c>
      <c r="N33" s="91">
        <f t="shared" si="2"/>
        <v>1.1499999999999999</v>
      </c>
      <c r="O33" s="92">
        <f t="shared" si="7"/>
        <v>6.8999999999999995</v>
      </c>
    </row>
    <row r="34" spans="1:15">
      <c r="A34" s="17">
        <v>28</v>
      </c>
      <c r="B34" s="17" t="s">
        <v>55</v>
      </c>
      <c r="C34" s="25" t="s">
        <v>56</v>
      </c>
      <c r="D34" s="21">
        <v>738</v>
      </c>
      <c r="E34" s="17" t="s">
        <v>10</v>
      </c>
      <c r="F34" s="76">
        <f t="shared" si="4"/>
        <v>6.8999999999999995</v>
      </c>
      <c r="G34" s="18">
        <f t="shared" si="5"/>
        <v>5092.2</v>
      </c>
      <c r="I34" s="66"/>
      <c r="J34" s="66">
        <f t="shared" si="0"/>
        <v>1.1499999999999999</v>
      </c>
      <c r="K34" s="66">
        <f t="shared" si="6"/>
        <v>0</v>
      </c>
      <c r="M34" s="90">
        <v>6</v>
      </c>
      <c r="N34" s="91">
        <f t="shared" si="2"/>
        <v>1.1499999999999999</v>
      </c>
      <c r="O34" s="92">
        <f t="shared" si="7"/>
        <v>6.8999999999999995</v>
      </c>
    </row>
    <row r="35" spans="1:15">
      <c r="A35" s="17">
        <v>29</v>
      </c>
      <c r="B35" s="17" t="s">
        <v>57</v>
      </c>
      <c r="C35" s="25" t="s">
        <v>58</v>
      </c>
      <c r="D35" s="21">
        <v>234</v>
      </c>
      <c r="E35" s="17" t="s">
        <v>10</v>
      </c>
      <c r="F35" s="76">
        <f t="shared" si="4"/>
        <v>8.0499999999999989</v>
      </c>
      <c r="G35" s="18">
        <f t="shared" si="5"/>
        <v>1883.6999999999998</v>
      </c>
      <c r="I35" s="66"/>
      <c r="J35" s="66">
        <f t="shared" si="0"/>
        <v>1.1499999999999999</v>
      </c>
      <c r="K35" s="66">
        <f t="shared" si="6"/>
        <v>0</v>
      </c>
      <c r="M35" s="90">
        <v>7</v>
      </c>
      <c r="N35" s="91">
        <f t="shared" si="2"/>
        <v>1.1499999999999999</v>
      </c>
      <c r="O35" s="92">
        <f t="shared" si="7"/>
        <v>8.0499999999999989</v>
      </c>
    </row>
    <row r="36" spans="1:15">
      <c r="A36" s="17">
        <v>30</v>
      </c>
      <c r="B36" s="17" t="s">
        <v>59</v>
      </c>
      <c r="C36" s="25" t="s">
        <v>60</v>
      </c>
      <c r="D36" s="21">
        <v>88</v>
      </c>
      <c r="E36" s="17" t="s">
        <v>10</v>
      </c>
      <c r="F36" s="76">
        <f t="shared" si="4"/>
        <v>8.0499999999999989</v>
      </c>
      <c r="G36" s="18">
        <f t="shared" si="5"/>
        <v>708.39999999999986</v>
      </c>
      <c r="I36" s="66"/>
      <c r="J36" s="66">
        <f t="shared" si="0"/>
        <v>1.1499999999999999</v>
      </c>
      <c r="K36" s="66">
        <f t="shared" si="6"/>
        <v>0</v>
      </c>
      <c r="M36" s="90">
        <v>7</v>
      </c>
      <c r="N36" s="91">
        <f t="shared" si="2"/>
        <v>1.1499999999999999</v>
      </c>
      <c r="O36" s="92">
        <f t="shared" si="7"/>
        <v>8.0499999999999989</v>
      </c>
    </row>
    <row r="37" spans="1:15">
      <c r="A37" s="17">
        <v>31</v>
      </c>
      <c r="B37" s="17" t="s">
        <v>61</v>
      </c>
      <c r="C37" s="25" t="s">
        <v>62</v>
      </c>
      <c r="D37" s="21">
        <v>1</v>
      </c>
      <c r="E37" s="17" t="s">
        <v>10</v>
      </c>
      <c r="F37" s="76">
        <f t="shared" si="4"/>
        <v>172.5</v>
      </c>
      <c r="G37" s="18">
        <f t="shared" si="5"/>
        <v>172.5</v>
      </c>
      <c r="I37" s="66"/>
      <c r="J37" s="66">
        <f t="shared" si="0"/>
        <v>1.1499999999999999</v>
      </c>
      <c r="K37" s="66">
        <f t="shared" si="6"/>
        <v>0</v>
      </c>
      <c r="M37" s="90">
        <v>150</v>
      </c>
      <c r="N37" s="91">
        <f t="shared" si="2"/>
        <v>1.1499999999999999</v>
      </c>
      <c r="O37" s="92">
        <f t="shared" si="7"/>
        <v>172.5</v>
      </c>
    </row>
    <row r="38" spans="1:15">
      <c r="A38" s="17">
        <v>32</v>
      </c>
      <c r="B38" s="17" t="s">
        <v>63</v>
      </c>
      <c r="C38" s="25" t="s">
        <v>64</v>
      </c>
      <c r="D38" s="21">
        <v>1</v>
      </c>
      <c r="E38" s="17" t="s">
        <v>10</v>
      </c>
      <c r="F38" s="76">
        <f t="shared" si="4"/>
        <v>345</v>
      </c>
      <c r="G38" s="18">
        <f t="shared" si="5"/>
        <v>345</v>
      </c>
      <c r="I38" s="66"/>
      <c r="J38" s="66">
        <f t="shared" si="0"/>
        <v>1.1499999999999999</v>
      </c>
      <c r="K38" s="66">
        <f t="shared" si="6"/>
        <v>0</v>
      </c>
      <c r="M38" s="90">
        <v>300</v>
      </c>
      <c r="N38" s="91">
        <f t="shared" si="2"/>
        <v>1.1499999999999999</v>
      </c>
      <c r="O38" s="92">
        <f t="shared" si="7"/>
        <v>345</v>
      </c>
    </row>
    <row r="39" spans="1:15">
      <c r="A39" s="17">
        <v>33</v>
      </c>
      <c r="B39" s="17" t="s">
        <v>65</v>
      </c>
      <c r="C39" s="25" t="s">
        <v>66</v>
      </c>
      <c r="D39" s="21">
        <v>1</v>
      </c>
      <c r="E39" s="17" t="s">
        <v>10</v>
      </c>
      <c r="F39" s="76">
        <f t="shared" si="4"/>
        <v>172.5</v>
      </c>
      <c r="G39" s="18">
        <f t="shared" si="5"/>
        <v>172.5</v>
      </c>
      <c r="I39" s="66"/>
      <c r="J39" s="66">
        <f t="shared" si="0"/>
        <v>1.1499999999999999</v>
      </c>
      <c r="K39" s="66">
        <f t="shared" si="6"/>
        <v>0</v>
      </c>
      <c r="M39" s="90">
        <v>150</v>
      </c>
      <c r="N39" s="91">
        <f t="shared" si="2"/>
        <v>1.1499999999999999</v>
      </c>
      <c r="O39" s="92">
        <f t="shared" si="7"/>
        <v>172.5</v>
      </c>
    </row>
    <row r="40" spans="1:15">
      <c r="A40" s="17">
        <v>34</v>
      </c>
      <c r="B40" s="17" t="s">
        <v>67</v>
      </c>
      <c r="C40" s="25" t="s">
        <v>68</v>
      </c>
      <c r="D40" s="21">
        <v>1</v>
      </c>
      <c r="E40" s="17" t="s">
        <v>10</v>
      </c>
      <c r="F40" s="76">
        <f t="shared" si="4"/>
        <v>172.5</v>
      </c>
      <c r="G40" s="18">
        <f t="shared" si="5"/>
        <v>172.5</v>
      </c>
      <c r="I40" s="66"/>
      <c r="J40" s="66">
        <f t="shared" si="0"/>
        <v>1.1499999999999999</v>
      </c>
      <c r="K40" s="66">
        <f t="shared" si="6"/>
        <v>0</v>
      </c>
      <c r="M40" s="90">
        <v>150</v>
      </c>
      <c r="N40" s="91">
        <f t="shared" si="2"/>
        <v>1.1499999999999999</v>
      </c>
      <c r="O40" s="92">
        <f t="shared" si="7"/>
        <v>172.5</v>
      </c>
    </row>
    <row r="41" spans="1:15">
      <c r="A41" s="17">
        <v>35</v>
      </c>
      <c r="B41" s="17" t="s">
        <v>70</v>
      </c>
      <c r="C41" s="25" t="s">
        <v>71</v>
      </c>
      <c r="D41" s="21">
        <v>0.5</v>
      </c>
      <c r="E41" s="17" t="s">
        <v>69</v>
      </c>
      <c r="F41" s="76">
        <f t="shared" si="4"/>
        <v>0</v>
      </c>
      <c r="G41" s="18">
        <f t="shared" si="5"/>
        <v>0</v>
      </c>
      <c r="I41" s="66"/>
      <c r="J41" s="66">
        <f t="shared" si="0"/>
        <v>1.1499999999999999</v>
      </c>
      <c r="K41" s="66">
        <f t="shared" si="6"/>
        <v>0</v>
      </c>
      <c r="M41" s="90"/>
      <c r="N41" s="91">
        <f t="shared" si="2"/>
        <v>1.1499999999999999</v>
      </c>
      <c r="O41" s="92">
        <f t="shared" si="7"/>
        <v>0</v>
      </c>
    </row>
    <row r="42" spans="1:15">
      <c r="A42" s="17">
        <v>37</v>
      </c>
      <c r="B42" s="17"/>
      <c r="C42" s="25" t="s">
        <v>72</v>
      </c>
      <c r="D42" s="21">
        <v>8</v>
      </c>
      <c r="E42" s="17" t="s">
        <v>73</v>
      </c>
      <c r="F42" s="76">
        <f t="shared" si="4"/>
        <v>345</v>
      </c>
      <c r="G42" s="18">
        <f t="shared" si="5"/>
        <v>2760</v>
      </c>
      <c r="I42" s="66"/>
      <c r="J42" s="66">
        <f t="shared" si="0"/>
        <v>1.1499999999999999</v>
      </c>
      <c r="K42" s="66">
        <f t="shared" si="6"/>
        <v>0</v>
      </c>
      <c r="M42" s="90">
        <v>300</v>
      </c>
      <c r="N42" s="91">
        <f t="shared" si="2"/>
        <v>1.1499999999999999</v>
      </c>
      <c r="O42" s="92">
        <f t="shared" si="7"/>
        <v>345</v>
      </c>
    </row>
    <row r="43" spans="1:15">
      <c r="A43" s="17">
        <v>38</v>
      </c>
      <c r="B43" s="17"/>
      <c r="C43" s="25" t="s">
        <v>74</v>
      </c>
      <c r="D43" s="21">
        <v>1</v>
      </c>
      <c r="E43" s="17" t="s">
        <v>75</v>
      </c>
      <c r="F43" s="76">
        <f t="shared" si="4"/>
        <v>1724.9999999999998</v>
      </c>
      <c r="G43" s="18">
        <f t="shared" si="5"/>
        <v>1724.9999999999998</v>
      </c>
      <c r="I43" s="66"/>
      <c r="J43" s="66">
        <f t="shared" si="0"/>
        <v>1.1499999999999999</v>
      </c>
      <c r="K43" s="66">
        <f t="shared" si="6"/>
        <v>0</v>
      </c>
      <c r="M43" s="90">
        <v>1500</v>
      </c>
      <c r="N43" s="91">
        <f t="shared" si="2"/>
        <v>1.1499999999999999</v>
      </c>
      <c r="O43" s="92">
        <f t="shared" si="7"/>
        <v>1724.9999999999998</v>
      </c>
    </row>
    <row r="44" spans="1:15">
      <c r="A44" s="17">
        <v>39</v>
      </c>
      <c r="B44" s="17"/>
      <c r="C44" s="25" t="s">
        <v>76</v>
      </c>
      <c r="D44" s="21">
        <v>11</v>
      </c>
      <c r="E44" s="17" t="s">
        <v>73</v>
      </c>
      <c r="F44" s="76">
        <f t="shared" si="4"/>
        <v>517.5</v>
      </c>
      <c r="G44" s="18">
        <f t="shared" si="5"/>
        <v>5692.5</v>
      </c>
      <c r="I44" s="66"/>
      <c r="J44" s="66">
        <f t="shared" si="0"/>
        <v>1.1499999999999999</v>
      </c>
      <c r="K44" s="66">
        <f t="shared" si="6"/>
        <v>0</v>
      </c>
      <c r="M44" s="90">
        <v>450</v>
      </c>
      <c r="N44" s="91">
        <f t="shared" si="2"/>
        <v>1.1499999999999999</v>
      </c>
      <c r="O44" s="92">
        <f t="shared" si="7"/>
        <v>517.5</v>
      </c>
    </row>
    <row r="45" spans="1:15">
      <c r="A45" s="17">
        <v>40</v>
      </c>
      <c r="B45" s="17"/>
      <c r="C45" s="25" t="s">
        <v>77</v>
      </c>
      <c r="D45" s="21">
        <v>11</v>
      </c>
      <c r="E45" s="17" t="s">
        <v>73</v>
      </c>
      <c r="F45" s="76">
        <f t="shared" si="4"/>
        <v>517.5</v>
      </c>
      <c r="G45" s="18">
        <f t="shared" si="5"/>
        <v>5692.5</v>
      </c>
      <c r="I45" s="66"/>
      <c r="J45" s="66">
        <f t="shared" si="0"/>
        <v>1.1499999999999999</v>
      </c>
      <c r="K45" s="66">
        <f t="shared" si="6"/>
        <v>0</v>
      </c>
      <c r="M45" s="90">
        <v>450</v>
      </c>
      <c r="N45" s="91">
        <f t="shared" si="2"/>
        <v>1.1499999999999999</v>
      </c>
      <c r="O45" s="92">
        <f t="shared" si="7"/>
        <v>517.5</v>
      </c>
    </row>
    <row r="46" spans="1:15">
      <c r="A46" s="17">
        <v>41</v>
      </c>
      <c r="B46" s="17"/>
      <c r="C46" s="25" t="s">
        <v>78</v>
      </c>
      <c r="D46" s="21">
        <v>1</v>
      </c>
      <c r="E46" s="17" t="s">
        <v>75</v>
      </c>
      <c r="F46" s="76">
        <f t="shared" si="4"/>
        <v>4600</v>
      </c>
      <c r="G46" s="18">
        <f t="shared" si="5"/>
        <v>4600</v>
      </c>
      <c r="I46" s="66"/>
      <c r="J46" s="66">
        <f t="shared" si="0"/>
        <v>1.1499999999999999</v>
      </c>
      <c r="K46" s="66">
        <f t="shared" si="6"/>
        <v>0</v>
      </c>
      <c r="M46" s="90">
        <v>4000</v>
      </c>
      <c r="N46" s="91">
        <f t="shared" si="2"/>
        <v>1.1499999999999999</v>
      </c>
      <c r="O46" s="92">
        <f t="shared" si="7"/>
        <v>4600</v>
      </c>
    </row>
    <row r="47" spans="1:15">
      <c r="A47" s="17">
        <v>42</v>
      </c>
      <c r="B47" s="17"/>
      <c r="C47" s="25" t="s">
        <v>79</v>
      </c>
      <c r="D47" s="21">
        <v>6</v>
      </c>
      <c r="E47" s="17" t="s">
        <v>73</v>
      </c>
      <c r="F47" s="76">
        <f t="shared" si="4"/>
        <v>517.5</v>
      </c>
      <c r="G47" s="18">
        <f t="shared" si="5"/>
        <v>3105</v>
      </c>
      <c r="I47" s="66"/>
      <c r="J47" s="66">
        <f t="shared" si="0"/>
        <v>1.1499999999999999</v>
      </c>
      <c r="K47" s="66">
        <f t="shared" si="6"/>
        <v>0</v>
      </c>
      <c r="M47" s="90">
        <v>450</v>
      </c>
      <c r="N47" s="91">
        <f t="shared" si="2"/>
        <v>1.1499999999999999</v>
      </c>
      <c r="O47" s="92">
        <f t="shared" si="7"/>
        <v>517.5</v>
      </c>
    </row>
    <row r="48" spans="1:15">
      <c r="A48" s="17">
        <v>43</v>
      </c>
      <c r="B48" s="17"/>
      <c r="C48" s="25" t="s">
        <v>80</v>
      </c>
      <c r="D48" s="21">
        <v>12</v>
      </c>
      <c r="E48" s="17" t="s">
        <v>75</v>
      </c>
      <c r="F48" s="76">
        <f t="shared" si="4"/>
        <v>517.5</v>
      </c>
      <c r="G48" s="18">
        <f t="shared" si="5"/>
        <v>6210</v>
      </c>
      <c r="I48" s="66"/>
      <c r="J48" s="66">
        <f t="shared" si="0"/>
        <v>1.1499999999999999</v>
      </c>
      <c r="K48" s="66">
        <f t="shared" si="6"/>
        <v>0</v>
      </c>
      <c r="M48" s="90">
        <v>450</v>
      </c>
      <c r="N48" s="91">
        <f t="shared" si="2"/>
        <v>1.1499999999999999</v>
      </c>
      <c r="O48" s="92">
        <f t="shared" si="7"/>
        <v>517.5</v>
      </c>
    </row>
    <row r="49" spans="1:15" ht="14.15">
      <c r="A49" s="6"/>
      <c r="B49" s="6"/>
      <c r="C49" s="13" t="s">
        <v>0</v>
      </c>
      <c r="D49" s="59"/>
      <c r="E49" s="14"/>
      <c r="F49" s="77"/>
      <c r="G49" s="15">
        <f>SUM(G9:G48)</f>
        <v>187984.99149999997</v>
      </c>
      <c r="M49" s="93"/>
      <c r="N49" s="94"/>
      <c r="O49" s="95"/>
    </row>
    <row r="50" spans="1:15">
      <c r="B50" s="1"/>
      <c r="C50" s="5" t="s">
        <v>6</v>
      </c>
      <c r="D50" s="17"/>
      <c r="E50" s="8"/>
      <c r="G50" s="7">
        <f>0.21*G49</f>
        <v>39476.848214999991</v>
      </c>
      <c r="M50" s="93"/>
      <c r="N50" s="94"/>
      <c r="O50" s="95"/>
    </row>
    <row r="51" spans="1:15">
      <c r="M51" s="93"/>
      <c r="N51" s="94"/>
      <c r="O51" s="95"/>
    </row>
    <row r="52" spans="1:15" ht="15.45">
      <c r="C52" s="3" t="s">
        <v>81</v>
      </c>
      <c r="M52" s="93"/>
      <c r="N52" s="94"/>
      <c r="O52" s="95"/>
    </row>
    <row r="53" spans="1:15">
      <c r="A53" s="9" t="s">
        <v>1</v>
      </c>
      <c r="B53" s="9" t="s">
        <v>2</v>
      </c>
      <c r="C53" s="9" t="s">
        <v>3</v>
      </c>
      <c r="D53" s="58"/>
      <c r="E53" s="10" t="s">
        <v>4</v>
      </c>
      <c r="F53" s="75" t="s">
        <v>5</v>
      </c>
      <c r="G53" s="10" t="s">
        <v>0</v>
      </c>
      <c r="M53" s="93"/>
      <c r="N53" s="94"/>
      <c r="O53" s="95"/>
    </row>
    <row r="54" spans="1:15">
      <c r="A54" s="68">
        <v>1</v>
      </c>
      <c r="B54" s="68" t="s">
        <v>82</v>
      </c>
      <c r="C54" s="68" t="s">
        <v>83</v>
      </c>
      <c r="D54" s="69">
        <v>0.8</v>
      </c>
      <c r="E54" s="68" t="s">
        <v>84</v>
      </c>
      <c r="F54" s="78">
        <v>0</v>
      </c>
      <c r="G54" s="70">
        <f t="shared" ref="G54:G69" si="8">D54*F54</f>
        <v>0</v>
      </c>
      <c r="I54" s="66"/>
      <c r="J54" s="66">
        <f t="shared" si="0"/>
        <v>1.1499999999999999</v>
      </c>
      <c r="K54" s="66">
        <f t="shared" si="6"/>
        <v>0</v>
      </c>
      <c r="M54" s="90"/>
      <c r="N54" s="91">
        <f t="shared" si="2"/>
        <v>1.1499999999999999</v>
      </c>
      <c r="O54" s="92">
        <f t="shared" si="7"/>
        <v>0</v>
      </c>
    </row>
    <row r="55" spans="1:15">
      <c r="A55" s="68">
        <v>2</v>
      </c>
      <c r="B55" s="68" t="s">
        <v>85</v>
      </c>
      <c r="C55" s="68" t="s">
        <v>86</v>
      </c>
      <c r="D55" s="69">
        <v>2.4</v>
      </c>
      <c r="E55" s="68" t="s">
        <v>87</v>
      </c>
      <c r="F55" s="78">
        <v>0</v>
      </c>
      <c r="G55" s="70">
        <f t="shared" si="8"/>
        <v>0</v>
      </c>
      <c r="I55" s="66"/>
      <c r="J55" s="66">
        <f t="shared" si="0"/>
        <v>1.1499999999999999</v>
      </c>
      <c r="K55" s="66">
        <f t="shared" si="6"/>
        <v>0</v>
      </c>
      <c r="M55" s="90"/>
      <c r="N55" s="91">
        <f t="shared" si="2"/>
        <v>1.1499999999999999</v>
      </c>
      <c r="O55" s="92">
        <f t="shared" si="7"/>
        <v>0</v>
      </c>
    </row>
    <row r="56" spans="1:15">
      <c r="A56" s="68">
        <v>3</v>
      </c>
      <c r="B56" s="68" t="s">
        <v>88</v>
      </c>
      <c r="C56" s="68" t="s">
        <v>89</v>
      </c>
      <c r="D56" s="69">
        <v>17.18</v>
      </c>
      <c r="E56" s="68" t="s">
        <v>87</v>
      </c>
      <c r="F56" s="78">
        <v>0</v>
      </c>
      <c r="G56" s="70">
        <f t="shared" si="8"/>
        <v>0</v>
      </c>
      <c r="I56" s="66"/>
      <c r="J56" s="66">
        <f t="shared" si="0"/>
        <v>1.1499999999999999</v>
      </c>
      <c r="K56" s="66">
        <f t="shared" si="6"/>
        <v>0</v>
      </c>
      <c r="M56" s="90"/>
      <c r="N56" s="91">
        <f t="shared" si="2"/>
        <v>1.1499999999999999</v>
      </c>
      <c r="O56" s="92">
        <f t="shared" si="7"/>
        <v>0</v>
      </c>
    </row>
    <row r="57" spans="1:15">
      <c r="A57" s="68">
        <v>4</v>
      </c>
      <c r="B57" s="68" t="s">
        <v>90</v>
      </c>
      <c r="C57" s="68" t="s">
        <v>91</v>
      </c>
      <c r="D57" s="69">
        <v>17.18</v>
      </c>
      <c r="E57" s="68" t="s">
        <v>87</v>
      </c>
      <c r="F57" s="78">
        <v>0</v>
      </c>
      <c r="G57" s="70">
        <f t="shared" si="8"/>
        <v>0</v>
      </c>
      <c r="I57" s="66"/>
      <c r="J57" s="66">
        <f t="shared" si="0"/>
        <v>1.1499999999999999</v>
      </c>
      <c r="K57" s="66">
        <f t="shared" si="6"/>
        <v>0</v>
      </c>
      <c r="M57" s="90"/>
      <c r="N57" s="91">
        <f t="shared" si="2"/>
        <v>1.1499999999999999</v>
      </c>
      <c r="O57" s="92">
        <f t="shared" si="7"/>
        <v>0</v>
      </c>
    </row>
    <row r="58" spans="1:15">
      <c r="A58" s="68">
        <v>5</v>
      </c>
      <c r="B58" s="68" t="s">
        <v>92</v>
      </c>
      <c r="C58" s="68" t="s">
        <v>93</v>
      </c>
      <c r="D58" s="69">
        <v>17.18</v>
      </c>
      <c r="E58" s="68" t="s">
        <v>87</v>
      </c>
      <c r="F58" s="78">
        <v>0</v>
      </c>
      <c r="G58" s="70">
        <f t="shared" si="8"/>
        <v>0</v>
      </c>
      <c r="I58" s="66"/>
      <c r="J58" s="66">
        <f t="shared" si="0"/>
        <v>1.1499999999999999</v>
      </c>
      <c r="K58" s="66">
        <f t="shared" si="6"/>
        <v>0</v>
      </c>
      <c r="M58" s="90"/>
      <c r="N58" s="91">
        <f t="shared" si="2"/>
        <v>1.1499999999999999</v>
      </c>
      <c r="O58" s="92">
        <f t="shared" si="7"/>
        <v>0</v>
      </c>
    </row>
    <row r="59" spans="1:15">
      <c r="A59" s="68">
        <v>6</v>
      </c>
      <c r="B59" s="68" t="s">
        <v>94</v>
      </c>
      <c r="C59" s="68" t="s">
        <v>95</v>
      </c>
      <c r="D59" s="69">
        <v>229</v>
      </c>
      <c r="E59" s="68" t="s">
        <v>14</v>
      </c>
      <c r="F59" s="78">
        <v>0</v>
      </c>
      <c r="G59" s="70">
        <f t="shared" si="8"/>
        <v>0</v>
      </c>
      <c r="I59" s="66"/>
      <c r="J59" s="66">
        <f t="shared" si="0"/>
        <v>1.1499999999999999</v>
      </c>
      <c r="K59" s="66">
        <f t="shared" si="6"/>
        <v>0</v>
      </c>
      <c r="M59" s="90"/>
      <c r="N59" s="91">
        <f t="shared" si="2"/>
        <v>1.1499999999999999</v>
      </c>
      <c r="O59" s="92">
        <f t="shared" si="7"/>
        <v>0</v>
      </c>
    </row>
    <row r="60" spans="1:15">
      <c r="A60" s="68">
        <v>8</v>
      </c>
      <c r="B60" s="68" t="s">
        <v>96</v>
      </c>
      <c r="C60" s="68" t="s">
        <v>97</v>
      </c>
      <c r="D60" s="69">
        <v>229</v>
      </c>
      <c r="E60" s="68" t="s">
        <v>14</v>
      </c>
      <c r="F60" s="78">
        <v>0</v>
      </c>
      <c r="G60" s="70">
        <f t="shared" si="8"/>
        <v>0</v>
      </c>
      <c r="I60" s="66"/>
      <c r="J60" s="66">
        <f t="shared" si="0"/>
        <v>1.1499999999999999</v>
      </c>
      <c r="K60" s="66">
        <f t="shared" si="6"/>
        <v>0</v>
      </c>
      <c r="M60" s="90"/>
      <c r="N60" s="91">
        <f t="shared" si="2"/>
        <v>1.1499999999999999</v>
      </c>
      <c r="O60" s="92">
        <f t="shared" si="7"/>
        <v>0</v>
      </c>
    </row>
    <row r="61" spans="1:15">
      <c r="A61" s="11">
        <v>9</v>
      </c>
      <c r="B61" s="11" t="s">
        <v>98</v>
      </c>
      <c r="C61" s="11" t="s">
        <v>99</v>
      </c>
      <c r="D61" s="21">
        <v>6</v>
      </c>
      <c r="E61" s="11" t="s">
        <v>10</v>
      </c>
      <c r="F61" s="76">
        <f t="shared" ref="F61:F64" si="9">K61+O61</f>
        <v>287.5</v>
      </c>
      <c r="G61" s="12">
        <f t="shared" si="8"/>
        <v>1725</v>
      </c>
      <c r="I61" s="66">
        <v>250</v>
      </c>
      <c r="J61" s="66">
        <f t="shared" si="0"/>
        <v>1.1499999999999999</v>
      </c>
      <c r="K61" s="66">
        <f t="shared" si="6"/>
        <v>287.5</v>
      </c>
      <c r="M61" s="90"/>
      <c r="N61" s="91">
        <f t="shared" si="2"/>
        <v>1.1499999999999999</v>
      </c>
      <c r="O61" s="92">
        <f t="shared" si="7"/>
        <v>0</v>
      </c>
    </row>
    <row r="62" spans="1:15">
      <c r="A62" s="11">
        <v>10</v>
      </c>
      <c r="B62" s="11" t="s">
        <v>100</v>
      </c>
      <c r="C62" s="11" t="s">
        <v>101</v>
      </c>
      <c r="D62" s="21">
        <v>229</v>
      </c>
      <c r="E62" s="11" t="s">
        <v>14</v>
      </c>
      <c r="F62" s="76">
        <f t="shared" si="9"/>
        <v>3.6799999999999997</v>
      </c>
      <c r="G62" s="12">
        <f t="shared" si="8"/>
        <v>842.71999999999991</v>
      </c>
      <c r="I62" s="66"/>
      <c r="J62" s="66">
        <f t="shared" si="0"/>
        <v>1.1499999999999999</v>
      </c>
      <c r="K62" s="66">
        <f t="shared" si="6"/>
        <v>0</v>
      </c>
      <c r="M62" s="90">
        <v>3.2</v>
      </c>
      <c r="N62" s="91">
        <f t="shared" si="2"/>
        <v>1.1499999999999999</v>
      </c>
      <c r="O62" s="92">
        <f t="shared" si="7"/>
        <v>3.6799999999999997</v>
      </c>
    </row>
    <row r="63" spans="1:15">
      <c r="A63" s="11">
        <v>11</v>
      </c>
      <c r="B63" s="11" t="s">
        <v>102</v>
      </c>
      <c r="C63" s="11" t="s">
        <v>103</v>
      </c>
      <c r="D63" s="21">
        <v>12</v>
      </c>
      <c r="E63" s="11" t="s">
        <v>10</v>
      </c>
      <c r="F63" s="76">
        <f t="shared" si="9"/>
        <v>379.49999999999994</v>
      </c>
      <c r="G63" s="12">
        <f t="shared" si="8"/>
        <v>4553.9999999999991</v>
      </c>
      <c r="I63" s="66"/>
      <c r="J63" s="66">
        <f t="shared" si="0"/>
        <v>1.1499999999999999</v>
      </c>
      <c r="K63" s="66">
        <f t="shared" si="6"/>
        <v>0</v>
      </c>
      <c r="M63" s="90">
        <v>330</v>
      </c>
      <c r="N63" s="91">
        <f t="shared" si="2"/>
        <v>1.1499999999999999</v>
      </c>
      <c r="O63" s="92">
        <f t="shared" si="7"/>
        <v>379.49999999999994</v>
      </c>
    </row>
    <row r="64" spans="1:15">
      <c r="A64" s="11">
        <v>12</v>
      </c>
      <c r="B64" s="11" t="s">
        <v>104</v>
      </c>
      <c r="C64" s="11" t="s">
        <v>105</v>
      </c>
      <c r="D64" s="21">
        <v>12</v>
      </c>
      <c r="E64" s="11" t="s">
        <v>10</v>
      </c>
      <c r="F64" s="76">
        <f t="shared" si="9"/>
        <v>345</v>
      </c>
      <c r="G64" s="12">
        <f t="shared" si="8"/>
        <v>4140</v>
      </c>
      <c r="I64" s="66"/>
      <c r="J64" s="66">
        <f t="shared" si="0"/>
        <v>1.1499999999999999</v>
      </c>
      <c r="K64" s="66">
        <f t="shared" si="6"/>
        <v>0</v>
      </c>
      <c r="M64" s="90">
        <v>300</v>
      </c>
      <c r="N64" s="91">
        <f t="shared" si="2"/>
        <v>1.1499999999999999</v>
      </c>
      <c r="O64" s="92">
        <f t="shared" si="7"/>
        <v>345</v>
      </c>
    </row>
    <row r="65" spans="1:15">
      <c r="A65" s="68">
        <v>13</v>
      </c>
      <c r="B65" s="68" t="s">
        <v>106</v>
      </c>
      <c r="C65" s="68" t="s">
        <v>107</v>
      </c>
      <c r="D65" s="69">
        <v>229</v>
      </c>
      <c r="E65" s="68" t="s">
        <v>14</v>
      </c>
      <c r="F65" s="78">
        <v>0</v>
      </c>
      <c r="G65" s="70">
        <f t="shared" si="8"/>
        <v>0</v>
      </c>
      <c r="I65" s="66"/>
      <c r="J65" s="66">
        <f t="shared" si="0"/>
        <v>1.1499999999999999</v>
      </c>
      <c r="K65" s="66">
        <f t="shared" si="6"/>
        <v>0</v>
      </c>
      <c r="M65" s="90"/>
      <c r="N65" s="91">
        <f t="shared" si="2"/>
        <v>1.1499999999999999</v>
      </c>
      <c r="O65" s="92">
        <f t="shared" si="7"/>
        <v>0</v>
      </c>
    </row>
    <row r="66" spans="1:15">
      <c r="A66" s="68">
        <v>15</v>
      </c>
      <c r="B66" s="68" t="s">
        <v>108</v>
      </c>
      <c r="C66" s="68" t="s">
        <v>109</v>
      </c>
      <c r="D66" s="69">
        <v>304</v>
      </c>
      <c r="E66" s="68" t="s">
        <v>69</v>
      </c>
      <c r="F66" s="78">
        <v>0</v>
      </c>
      <c r="G66" s="70">
        <f t="shared" si="8"/>
        <v>0</v>
      </c>
      <c r="I66" s="66"/>
      <c r="J66" s="66">
        <f t="shared" si="0"/>
        <v>1.1499999999999999</v>
      </c>
      <c r="K66" s="66">
        <f t="shared" si="6"/>
        <v>0</v>
      </c>
      <c r="M66" s="90"/>
      <c r="N66" s="91">
        <f t="shared" si="2"/>
        <v>1.1499999999999999</v>
      </c>
      <c r="O66" s="92">
        <f t="shared" si="7"/>
        <v>0</v>
      </c>
    </row>
    <row r="67" spans="1:15">
      <c r="A67" s="68">
        <v>16</v>
      </c>
      <c r="B67" s="71" t="s">
        <v>331</v>
      </c>
      <c r="C67" s="68" t="s">
        <v>332</v>
      </c>
      <c r="D67" s="69">
        <v>15</v>
      </c>
      <c r="E67" s="68" t="s">
        <v>14</v>
      </c>
      <c r="F67" s="78">
        <v>0</v>
      </c>
      <c r="G67" s="70">
        <f t="shared" si="8"/>
        <v>0</v>
      </c>
      <c r="I67" s="66"/>
      <c r="J67" s="66">
        <f t="shared" si="0"/>
        <v>1.1499999999999999</v>
      </c>
      <c r="K67" s="66">
        <f t="shared" si="6"/>
        <v>0</v>
      </c>
      <c r="M67" s="90"/>
      <c r="N67" s="91">
        <f t="shared" si="2"/>
        <v>1.1499999999999999</v>
      </c>
      <c r="O67" s="92">
        <f t="shared" si="7"/>
        <v>0</v>
      </c>
    </row>
    <row r="68" spans="1:15">
      <c r="A68" s="68">
        <v>17</v>
      </c>
      <c r="B68" s="71" t="s">
        <v>333</v>
      </c>
      <c r="C68" s="68" t="s">
        <v>334</v>
      </c>
      <c r="D68" s="69">
        <v>15</v>
      </c>
      <c r="E68" s="68" t="s">
        <v>14</v>
      </c>
      <c r="F68" s="78">
        <v>0</v>
      </c>
      <c r="G68" s="70">
        <f t="shared" si="8"/>
        <v>0</v>
      </c>
      <c r="I68" s="66"/>
      <c r="J68" s="66">
        <f t="shared" ref="J68:J131" si="10">$J$1</f>
        <v>1.1499999999999999</v>
      </c>
      <c r="K68" s="66">
        <f t="shared" si="6"/>
        <v>0</v>
      </c>
      <c r="M68" s="90"/>
      <c r="N68" s="91">
        <f t="shared" ref="N68:N110" si="11">$N$1</f>
        <v>1.1499999999999999</v>
      </c>
      <c r="O68" s="92">
        <f t="shared" si="7"/>
        <v>0</v>
      </c>
    </row>
    <row r="69" spans="1:15">
      <c r="A69" s="11">
        <v>18</v>
      </c>
      <c r="B69" s="16" t="s">
        <v>335</v>
      </c>
      <c r="C69" s="11" t="s">
        <v>358</v>
      </c>
      <c r="D69" s="61">
        <v>104</v>
      </c>
      <c r="E69" s="11" t="s">
        <v>14</v>
      </c>
      <c r="F69" s="76">
        <f>K69+O69</f>
        <v>87.4</v>
      </c>
      <c r="G69" s="12">
        <f t="shared" si="8"/>
        <v>9089.6</v>
      </c>
      <c r="I69" s="66">
        <v>41</v>
      </c>
      <c r="J69" s="66">
        <f t="shared" si="10"/>
        <v>1.1499999999999999</v>
      </c>
      <c r="K69" s="66">
        <f t="shared" si="6"/>
        <v>47.15</v>
      </c>
      <c r="M69" s="90">
        <v>35</v>
      </c>
      <c r="N69" s="91">
        <f t="shared" si="11"/>
        <v>1.1499999999999999</v>
      </c>
      <c r="O69" s="92">
        <f t="shared" si="7"/>
        <v>40.25</v>
      </c>
    </row>
    <row r="70" spans="1:15" ht="14.15">
      <c r="A70" s="6"/>
      <c r="B70" s="6"/>
      <c r="C70" s="13" t="s">
        <v>0</v>
      </c>
      <c r="D70" s="59"/>
      <c r="E70" s="14"/>
      <c r="F70" s="77"/>
      <c r="G70" s="15">
        <f>SUM(G54:G69)</f>
        <v>20351.32</v>
      </c>
      <c r="M70" s="93"/>
      <c r="N70" s="94"/>
      <c r="O70" s="95"/>
    </row>
    <row r="71" spans="1:15">
      <c r="B71" s="1"/>
      <c r="C71" s="5" t="s">
        <v>6</v>
      </c>
      <c r="D71" s="17"/>
      <c r="E71" s="8"/>
      <c r="G71" s="7">
        <f>0.21*G70</f>
        <v>4273.7771999999995</v>
      </c>
      <c r="M71" s="93"/>
      <c r="N71" s="94"/>
      <c r="O71" s="95"/>
    </row>
    <row r="72" spans="1:15">
      <c r="M72" s="93"/>
      <c r="N72" s="94"/>
      <c r="O72" s="95"/>
    </row>
    <row r="73" spans="1:15" ht="15.45">
      <c r="C73" s="3" t="s">
        <v>124</v>
      </c>
      <c r="M73" s="93"/>
      <c r="N73" s="94"/>
      <c r="O73" s="95"/>
    </row>
    <row r="74" spans="1:15">
      <c r="A74" s="9" t="s">
        <v>1</v>
      </c>
      <c r="B74" s="9" t="s">
        <v>2</v>
      </c>
      <c r="C74" s="9" t="s">
        <v>3</v>
      </c>
      <c r="D74" s="58"/>
      <c r="E74" s="10" t="s">
        <v>4</v>
      </c>
      <c r="F74" s="75" t="s">
        <v>5</v>
      </c>
      <c r="G74" s="10" t="s">
        <v>0</v>
      </c>
      <c r="M74" s="93"/>
      <c r="N74" s="94"/>
      <c r="O74" s="95"/>
    </row>
    <row r="75" spans="1:15" s="22" customFormat="1">
      <c r="A75" s="17">
        <v>1</v>
      </c>
      <c r="B75" s="20"/>
      <c r="C75" s="20" t="s">
        <v>359</v>
      </c>
      <c r="D75" s="21">
        <v>12</v>
      </c>
      <c r="E75" s="17" t="s">
        <v>10</v>
      </c>
      <c r="F75" s="76">
        <f t="shared" ref="F75:F110" si="12">K75+O75</f>
        <v>1558.2499999999998</v>
      </c>
      <c r="G75" s="18">
        <f t="shared" ref="G75:G103" si="13">D75*F75</f>
        <v>18698.999999999996</v>
      </c>
      <c r="I75"/>
      <c r="J75"/>
      <c r="K75"/>
      <c r="L75"/>
      <c r="M75" s="90">
        <v>1355</v>
      </c>
      <c r="N75" s="91">
        <f t="shared" si="11"/>
        <v>1.1499999999999999</v>
      </c>
      <c r="O75" s="92">
        <f t="shared" ref="O75:O110" si="14">N75*M75</f>
        <v>1558.2499999999998</v>
      </c>
    </row>
    <row r="76" spans="1:15" s="22" customFormat="1">
      <c r="A76" s="17">
        <v>2</v>
      </c>
      <c r="B76" s="23"/>
      <c r="C76" s="23" t="s">
        <v>125</v>
      </c>
      <c r="D76" s="21">
        <v>7</v>
      </c>
      <c r="E76" s="17" t="s">
        <v>10</v>
      </c>
      <c r="F76" s="76">
        <f t="shared" si="12"/>
        <v>287.5</v>
      </c>
      <c r="G76" s="18">
        <f t="shared" si="13"/>
        <v>2012.5</v>
      </c>
      <c r="I76"/>
      <c r="J76"/>
      <c r="K76"/>
      <c r="L76"/>
      <c r="M76" s="90">
        <v>250</v>
      </c>
      <c r="N76" s="91">
        <f t="shared" si="11"/>
        <v>1.1499999999999999</v>
      </c>
      <c r="O76" s="92">
        <f t="shared" si="14"/>
        <v>287.5</v>
      </c>
    </row>
    <row r="77" spans="1:15" s="22" customFormat="1">
      <c r="A77" s="17">
        <v>3</v>
      </c>
      <c r="B77" s="20"/>
      <c r="C77" s="20" t="s">
        <v>360</v>
      </c>
      <c r="D77" s="21">
        <v>13390</v>
      </c>
      <c r="E77" s="17" t="s">
        <v>14</v>
      </c>
      <c r="F77" s="76">
        <f t="shared" si="12"/>
        <v>20.7</v>
      </c>
      <c r="G77" s="18">
        <f t="shared" si="13"/>
        <v>277173</v>
      </c>
      <c r="I77"/>
      <c r="J77"/>
      <c r="K77"/>
      <c r="L77"/>
      <c r="M77" s="90">
        <v>18</v>
      </c>
      <c r="N77" s="91">
        <f t="shared" si="11"/>
        <v>1.1499999999999999</v>
      </c>
      <c r="O77" s="92">
        <f t="shared" si="14"/>
        <v>20.7</v>
      </c>
    </row>
    <row r="78" spans="1:15" s="22" customFormat="1">
      <c r="A78" s="17">
        <v>4</v>
      </c>
      <c r="B78" s="20"/>
      <c r="C78" s="20" t="s">
        <v>361</v>
      </c>
      <c r="D78" s="21">
        <v>412</v>
      </c>
      <c r="E78" s="17" t="s">
        <v>10</v>
      </c>
      <c r="F78" s="76">
        <f t="shared" si="12"/>
        <v>55.199999999999996</v>
      </c>
      <c r="G78" s="18">
        <f t="shared" si="13"/>
        <v>22742.399999999998</v>
      </c>
      <c r="I78"/>
      <c r="J78"/>
      <c r="K78"/>
      <c r="L78"/>
      <c r="M78" s="90">
        <v>48</v>
      </c>
      <c r="N78" s="91">
        <f t="shared" si="11"/>
        <v>1.1499999999999999</v>
      </c>
      <c r="O78" s="92">
        <f t="shared" si="14"/>
        <v>55.199999999999996</v>
      </c>
    </row>
    <row r="79" spans="1:15" s="22" customFormat="1">
      <c r="A79" s="17">
        <v>5</v>
      </c>
      <c r="B79" s="20"/>
      <c r="C79" s="20" t="s">
        <v>362</v>
      </c>
      <c r="D79" s="21">
        <v>206</v>
      </c>
      <c r="E79" s="17" t="s">
        <v>10</v>
      </c>
      <c r="F79" s="76">
        <f t="shared" si="12"/>
        <v>40.25</v>
      </c>
      <c r="G79" s="18">
        <f t="shared" si="13"/>
        <v>8291.5</v>
      </c>
      <c r="I79"/>
      <c r="J79"/>
      <c r="K79"/>
      <c r="L79"/>
      <c r="M79" s="90">
        <v>35</v>
      </c>
      <c r="N79" s="91">
        <f t="shared" si="11"/>
        <v>1.1499999999999999</v>
      </c>
      <c r="O79" s="92">
        <f t="shared" si="14"/>
        <v>40.25</v>
      </c>
    </row>
    <row r="80" spans="1:15" s="22" customFormat="1">
      <c r="A80" s="17">
        <v>6</v>
      </c>
      <c r="B80" s="24"/>
      <c r="C80" s="24" t="s">
        <v>126</v>
      </c>
      <c r="D80" s="21">
        <v>90</v>
      </c>
      <c r="E80" s="17" t="s">
        <v>10</v>
      </c>
      <c r="F80" s="76">
        <f t="shared" si="12"/>
        <v>151.79999999999998</v>
      </c>
      <c r="G80" s="18">
        <f t="shared" si="13"/>
        <v>13661.999999999998</v>
      </c>
      <c r="I80"/>
      <c r="J80"/>
      <c r="K80"/>
      <c r="L80"/>
      <c r="M80" s="90">
        <v>132</v>
      </c>
      <c r="N80" s="91">
        <f t="shared" si="11"/>
        <v>1.1499999999999999</v>
      </c>
      <c r="O80" s="92">
        <f t="shared" si="14"/>
        <v>151.79999999999998</v>
      </c>
    </row>
    <row r="81" spans="1:15" s="22" customFormat="1">
      <c r="A81" s="17">
        <v>7</v>
      </c>
      <c r="B81" s="20"/>
      <c r="C81" s="20" t="s">
        <v>363</v>
      </c>
      <c r="D81" s="21">
        <v>180</v>
      </c>
      <c r="E81" s="17" t="s">
        <v>10</v>
      </c>
      <c r="F81" s="76">
        <f t="shared" si="12"/>
        <v>65.55</v>
      </c>
      <c r="G81" s="18">
        <f t="shared" si="13"/>
        <v>11799</v>
      </c>
      <c r="I81"/>
      <c r="J81"/>
      <c r="K81"/>
      <c r="L81"/>
      <c r="M81" s="90">
        <v>57</v>
      </c>
      <c r="N81" s="91">
        <f t="shared" si="11"/>
        <v>1.1499999999999999</v>
      </c>
      <c r="O81" s="92">
        <f t="shared" si="14"/>
        <v>65.55</v>
      </c>
    </row>
    <row r="82" spans="1:15" s="22" customFormat="1">
      <c r="A82" s="17">
        <v>8</v>
      </c>
      <c r="B82" s="20"/>
      <c r="C82" s="20" t="s">
        <v>364</v>
      </c>
      <c r="D82" s="21">
        <v>206</v>
      </c>
      <c r="E82" s="17" t="s">
        <v>10</v>
      </c>
      <c r="F82" s="76">
        <f t="shared" si="12"/>
        <v>33.349999999999994</v>
      </c>
      <c r="G82" s="18">
        <f t="shared" si="13"/>
        <v>6870.0999999999985</v>
      </c>
      <c r="I82"/>
      <c r="J82"/>
      <c r="K82"/>
      <c r="L82"/>
      <c r="M82" s="90">
        <v>29</v>
      </c>
      <c r="N82" s="91">
        <f t="shared" si="11"/>
        <v>1.1499999999999999</v>
      </c>
      <c r="O82" s="92">
        <f t="shared" si="14"/>
        <v>33.349999999999994</v>
      </c>
    </row>
    <row r="83" spans="1:15" s="22" customFormat="1">
      <c r="A83" s="17">
        <v>9</v>
      </c>
      <c r="B83" s="25"/>
      <c r="C83" s="25" t="s">
        <v>127</v>
      </c>
      <c r="D83" s="21">
        <v>8</v>
      </c>
      <c r="E83" s="17" t="s">
        <v>73</v>
      </c>
      <c r="F83" s="76">
        <f t="shared" si="12"/>
        <v>632.5</v>
      </c>
      <c r="G83" s="18">
        <f t="shared" si="13"/>
        <v>5060</v>
      </c>
      <c r="I83"/>
      <c r="J83"/>
      <c r="K83"/>
      <c r="L83"/>
      <c r="M83" s="90">
        <v>550</v>
      </c>
      <c r="N83" s="91">
        <f t="shared" si="11"/>
        <v>1.1499999999999999</v>
      </c>
      <c r="O83" s="92">
        <f t="shared" si="14"/>
        <v>632.5</v>
      </c>
    </row>
    <row r="84" spans="1:15" s="22" customFormat="1">
      <c r="A84" s="17">
        <v>10</v>
      </c>
      <c r="B84" s="23" t="s">
        <v>128</v>
      </c>
      <c r="C84" s="23" t="s">
        <v>129</v>
      </c>
      <c r="D84" s="21">
        <v>1</v>
      </c>
      <c r="E84" s="17" t="s">
        <v>10</v>
      </c>
      <c r="F84" s="76">
        <f t="shared" si="12"/>
        <v>2139</v>
      </c>
      <c r="G84" s="18">
        <f t="shared" si="13"/>
        <v>2139</v>
      </c>
      <c r="I84"/>
      <c r="J84"/>
      <c r="K84"/>
      <c r="L84"/>
      <c r="M84" s="90">
        <v>1860</v>
      </c>
      <c r="N84" s="91">
        <f t="shared" si="11"/>
        <v>1.1499999999999999</v>
      </c>
      <c r="O84" s="92">
        <f t="shared" si="14"/>
        <v>2139</v>
      </c>
    </row>
    <row r="85" spans="1:15" s="22" customFormat="1">
      <c r="A85" s="17">
        <v>11</v>
      </c>
      <c r="B85" s="26"/>
      <c r="C85" s="27" t="s">
        <v>365</v>
      </c>
      <c r="D85" s="21">
        <v>1</v>
      </c>
      <c r="E85" s="17" t="s">
        <v>10</v>
      </c>
      <c r="F85" s="76">
        <f t="shared" si="12"/>
        <v>4024.9999999999995</v>
      </c>
      <c r="G85" s="18">
        <f>D85*F85</f>
        <v>4024.9999999999995</v>
      </c>
      <c r="I85"/>
      <c r="J85"/>
      <c r="K85"/>
      <c r="L85"/>
      <c r="M85" s="90">
        <v>3500</v>
      </c>
      <c r="N85" s="91">
        <f t="shared" si="11"/>
        <v>1.1499999999999999</v>
      </c>
      <c r="O85" s="92">
        <f t="shared" si="14"/>
        <v>4024.9999999999995</v>
      </c>
    </row>
    <row r="86" spans="1:15" s="22" customFormat="1">
      <c r="A86" s="17">
        <v>12</v>
      </c>
      <c r="B86" s="23"/>
      <c r="C86" s="23" t="s">
        <v>130</v>
      </c>
      <c r="D86" s="21">
        <v>4</v>
      </c>
      <c r="E86" s="17" t="s">
        <v>10</v>
      </c>
      <c r="F86" s="76">
        <f t="shared" si="12"/>
        <v>229.99999999999997</v>
      </c>
      <c r="G86" s="18">
        <f t="shared" si="13"/>
        <v>919.99999999999989</v>
      </c>
      <c r="I86"/>
      <c r="J86"/>
      <c r="K86"/>
      <c r="L86"/>
      <c r="M86" s="90">
        <v>200</v>
      </c>
      <c r="N86" s="91">
        <f t="shared" si="11"/>
        <v>1.1499999999999999</v>
      </c>
      <c r="O86" s="92">
        <f t="shared" si="14"/>
        <v>229.99999999999997</v>
      </c>
    </row>
    <row r="87" spans="1:15" s="22" customFormat="1">
      <c r="A87" s="17">
        <v>13</v>
      </c>
      <c r="B87" s="28" t="s">
        <v>131</v>
      </c>
      <c r="C87" s="28" t="s">
        <v>132</v>
      </c>
      <c r="D87" s="21">
        <v>3</v>
      </c>
      <c r="E87" s="17" t="s">
        <v>10</v>
      </c>
      <c r="F87" s="76">
        <f t="shared" si="12"/>
        <v>172.5</v>
      </c>
      <c r="G87" s="18">
        <f t="shared" si="13"/>
        <v>517.5</v>
      </c>
      <c r="I87"/>
      <c r="J87"/>
      <c r="K87"/>
      <c r="L87"/>
      <c r="M87" s="90">
        <v>150</v>
      </c>
      <c r="N87" s="91">
        <f t="shared" si="11"/>
        <v>1.1499999999999999</v>
      </c>
      <c r="O87" s="92">
        <f t="shared" si="14"/>
        <v>172.5</v>
      </c>
    </row>
    <row r="88" spans="1:15" s="22" customFormat="1">
      <c r="A88" s="17">
        <v>14</v>
      </c>
      <c r="B88" s="23" t="s">
        <v>133</v>
      </c>
      <c r="C88" s="23" t="s">
        <v>134</v>
      </c>
      <c r="D88" s="21">
        <v>2</v>
      </c>
      <c r="E88" s="17" t="s">
        <v>10</v>
      </c>
      <c r="F88" s="76">
        <f t="shared" si="12"/>
        <v>229.99999999999997</v>
      </c>
      <c r="G88" s="18">
        <f t="shared" si="13"/>
        <v>459.99999999999994</v>
      </c>
      <c r="I88"/>
      <c r="J88"/>
      <c r="K88"/>
      <c r="L88"/>
      <c r="M88" s="90">
        <v>200</v>
      </c>
      <c r="N88" s="91">
        <f t="shared" si="11"/>
        <v>1.1499999999999999</v>
      </c>
      <c r="O88" s="92">
        <f t="shared" si="14"/>
        <v>229.99999999999997</v>
      </c>
    </row>
    <row r="89" spans="1:15" s="22" customFormat="1">
      <c r="A89" s="17">
        <v>15</v>
      </c>
      <c r="B89" s="26"/>
      <c r="C89" s="27" t="s">
        <v>366</v>
      </c>
      <c r="D89" s="21">
        <v>1</v>
      </c>
      <c r="E89" s="17" t="s">
        <v>10</v>
      </c>
      <c r="F89" s="76">
        <f t="shared" si="12"/>
        <v>517.5</v>
      </c>
      <c r="G89" s="18">
        <f>D89*F89</f>
        <v>517.5</v>
      </c>
      <c r="I89"/>
      <c r="J89"/>
      <c r="K89"/>
      <c r="L89"/>
      <c r="M89" s="90">
        <v>450</v>
      </c>
      <c r="N89" s="91">
        <f t="shared" si="11"/>
        <v>1.1499999999999999</v>
      </c>
      <c r="O89" s="92">
        <f t="shared" si="14"/>
        <v>517.5</v>
      </c>
    </row>
    <row r="90" spans="1:15" s="22" customFormat="1">
      <c r="A90" s="17">
        <v>16</v>
      </c>
      <c r="B90" s="23" t="s">
        <v>112</v>
      </c>
      <c r="C90" s="23" t="s">
        <v>123</v>
      </c>
      <c r="D90" s="21">
        <v>2</v>
      </c>
      <c r="E90" s="17" t="s">
        <v>10</v>
      </c>
      <c r="F90" s="76">
        <f t="shared" si="12"/>
        <v>402.49999999999994</v>
      </c>
      <c r="G90" s="18">
        <f t="shared" si="13"/>
        <v>804.99999999999989</v>
      </c>
      <c r="I90"/>
      <c r="J90"/>
      <c r="K90"/>
      <c r="L90"/>
      <c r="M90" s="90">
        <v>350</v>
      </c>
      <c r="N90" s="91">
        <f t="shared" si="11"/>
        <v>1.1499999999999999</v>
      </c>
      <c r="O90" s="92">
        <f t="shared" si="14"/>
        <v>402.49999999999994</v>
      </c>
    </row>
    <row r="91" spans="1:15" s="22" customFormat="1">
      <c r="A91" s="17">
        <v>17</v>
      </c>
      <c r="B91" s="23" t="s">
        <v>8</v>
      </c>
      <c r="C91" s="23" t="s">
        <v>9</v>
      </c>
      <c r="D91" s="21">
        <v>2</v>
      </c>
      <c r="E91" s="17" t="s">
        <v>10</v>
      </c>
      <c r="F91" s="76">
        <f t="shared" si="12"/>
        <v>57.499999999999993</v>
      </c>
      <c r="G91" s="18">
        <f t="shared" si="13"/>
        <v>114.99999999999999</v>
      </c>
      <c r="I91"/>
      <c r="J91"/>
      <c r="K91"/>
      <c r="L91"/>
      <c r="M91" s="90">
        <v>50</v>
      </c>
      <c r="N91" s="91">
        <f t="shared" si="11"/>
        <v>1.1499999999999999</v>
      </c>
      <c r="O91" s="92">
        <f t="shared" si="14"/>
        <v>57.499999999999993</v>
      </c>
    </row>
    <row r="92" spans="1:15" s="22" customFormat="1">
      <c r="A92" s="17">
        <v>18</v>
      </c>
      <c r="B92" s="23" t="s">
        <v>11</v>
      </c>
      <c r="C92" s="23" t="s">
        <v>12</v>
      </c>
      <c r="D92" s="21">
        <v>2</v>
      </c>
      <c r="E92" s="17" t="s">
        <v>10</v>
      </c>
      <c r="F92" s="76">
        <f t="shared" si="12"/>
        <v>333.5</v>
      </c>
      <c r="G92" s="18">
        <f t="shared" si="13"/>
        <v>667</v>
      </c>
      <c r="I92"/>
      <c r="J92"/>
      <c r="K92"/>
      <c r="L92"/>
      <c r="M92" s="90">
        <v>290</v>
      </c>
      <c r="N92" s="91">
        <f t="shared" si="11"/>
        <v>1.1499999999999999</v>
      </c>
      <c r="O92" s="92">
        <f t="shared" si="14"/>
        <v>333.5</v>
      </c>
    </row>
    <row r="93" spans="1:15" s="22" customFormat="1">
      <c r="A93" s="17">
        <v>19</v>
      </c>
      <c r="B93" s="23" t="s">
        <v>135</v>
      </c>
      <c r="C93" s="23" t="s">
        <v>136</v>
      </c>
      <c r="D93" s="21">
        <v>80</v>
      </c>
      <c r="E93" s="17" t="s">
        <v>14</v>
      </c>
      <c r="F93" s="76">
        <f t="shared" si="12"/>
        <v>6.8999999999999995</v>
      </c>
      <c r="G93" s="18">
        <f t="shared" si="13"/>
        <v>552</v>
      </c>
      <c r="I93"/>
      <c r="J93"/>
      <c r="K93"/>
      <c r="L93"/>
      <c r="M93" s="90">
        <v>6</v>
      </c>
      <c r="N93" s="91">
        <f t="shared" si="11"/>
        <v>1.1499999999999999</v>
      </c>
      <c r="O93" s="92">
        <f t="shared" si="14"/>
        <v>6.8999999999999995</v>
      </c>
    </row>
    <row r="94" spans="1:15" s="22" customFormat="1">
      <c r="A94" s="17">
        <v>20</v>
      </c>
      <c r="B94" s="23" t="s">
        <v>137</v>
      </c>
      <c r="C94" s="23" t="s">
        <v>138</v>
      </c>
      <c r="D94" s="21">
        <v>2</v>
      </c>
      <c r="E94" s="17" t="s">
        <v>10</v>
      </c>
      <c r="F94" s="76">
        <f t="shared" si="12"/>
        <v>78.199999999999989</v>
      </c>
      <c r="G94" s="18">
        <f t="shared" si="13"/>
        <v>156.39999999999998</v>
      </c>
      <c r="I94"/>
      <c r="J94"/>
      <c r="K94"/>
      <c r="L94"/>
      <c r="M94" s="90">
        <v>68</v>
      </c>
      <c r="N94" s="91">
        <f t="shared" si="11"/>
        <v>1.1499999999999999</v>
      </c>
      <c r="O94" s="92">
        <f t="shared" si="14"/>
        <v>78.199999999999989</v>
      </c>
    </row>
    <row r="95" spans="1:15" s="22" customFormat="1">
      <c r="A95" s="17">
        <v>21</v>
      </c>
      <c r="B95" s="23" t="s">
        <v>139</v>
      </c>
      <c r="C95" s="23" t="s">
        <v>140</v>
      </c>
      <c r="D95" s="21">
        <v>80</v>
      </c>
      <c r="E95" s="17" t="s">
        <v>14</v>
      </c>
      <c r="F95" s="76">
        <f t="shared" si="12"/>
        <v>16.099999999999998</v>
      </c>
      <c r="G95" s="18">
        <f t="shared" si="13"/>
        <v>1287.9999999999998</v>
      </c>
      <c r="I95"/>
      <c r="J95"/>
      <c r="K95"/>
      <c r="L95"/>
      <c r="M95" s="90">
        <v>14</v>
      </c>
      <c r="N95" s="91">
        <f t="shared" si="11"/>
        <v>1.1499999999999999</v>
      </c>
      <c r="O95" s="92">
        <f t="shared" si="14"/>
        <v>16.099999999999998</v>
      </c>
    </row>
    <row r="96" spans="1:15" s="22" customFormat="1">
      <c r="A96" s="17">
        <v>22</v>
      </c>
      <c r="B96" s="25"/>
      <c r="C96" s="25" t="s">
        <v>76</v>
      </c>
      <c r="D96" s="21">
        <v>8</v>
      </c>
      <c r="E96" s="17" t="s">
        <v>73</v>
      </c>
      <c r="F96" s="76">
        <f t="shared" si="12"/>
        <v>402.49999999999994</v>
      </c>
      <c r="G96" s="18">
        <f t="shared" si="13"/>
        <v>3219.9999999999995</v>
      </c>
      <c r="I96"/>
      <c r="J96"/>
      <c r="K96"/>
      <c r="L96"/>
      <c r="M96" s="90">
        <v>350</v>
      </c>
      <c r="N96" s="91">
        <f t="shared" si="11"/>
        <v>1.1499999999999999</v>
      </c>
      <c r="O96" s="92">
        <f t="shared" si="14"/>
        <v>402.49999999999994</v>
      </c>
    </row>
    <row r="97" spans="1:15" s="22" customFormat="1">
      <c r="A97" s="17">
        <v>23</v>
      </c>
      <c r="B97" s="25"/>
      <c r="C97" s="25" t="s">
        <v>77</v>
      </c>
      <c r="D97" s="21">
        <v>8</v>
      </c>
      <c r="E97" s="17" t="s">
        <v>73</v>
      </c>
      <c r="F97" s="76">
        <f t="shared" si="12"/>
        <v>402.49999999999994</v>
      </c>
      <c r="G97" s="18">
        <f t="shared" si="13"/>
        <v>3219.9999999999995</v>
      </c>
      <c r="I97"/>
      <c r="J97"/>
      <c r="K97"/>
      <c r="L97"/>
      <c r="M97" s="90">
        <v>350</v>
      </c>
      <c r="N97" s="91">
        <f t="shared" si="11"/>
        <v>1.1499999999999999</v>
      </c>
      <c r="O97" s="92">
        <f t="shared" si="14"/>
        <v>402.49999999999994</v>
      </c>
    </row>
    <row r="98" spans="1:15" s="22" customFormat="1">
      <c r="A98" s="17">
        <v>24</v>
      </c>
      <c r="B98" s="29" t="s">
        <v>336</v>
      </c>
      <c r="C98" s="29" t="s">
        <v>367</v>
      </c>
      <c r="D98" s="21">
        <v>217</v>
      </c>
      <c r="E98" s="17" t="s">
        <v>14</v>
      </c>
      <c r="F98" s="76">
        <f t="shared" si="12"/>
        <v>27.599999999999998</v>
      </c>
      <c r="G98" s="18">
        <f t="shared" si="13"/>
        <v>5989.2</v>
      </c>
      <c r="I98"/>
      <c r="J98"/>
      <c r="K98"/>
      <c r="L98"/>
      <c r="M98" s="90">
        <v>24</v>
      </c>
      <c r="N98" s="91">
        <f t="shared" si="11"/>
        <v>1.1499999999999999</v>
      </c>
      <c r="O98" s="92">
        <f t="shared" si="14"/>
        <v>27.599999999999998</v>
      </c>
    </row>
    <row r="99" spans="1:15" s="22" customFormat="1">
      <c r="A99" s="17">
        <v>25</v>
      </c>
      <c r="B99" s="29" t="s">
        <v>337</v>
      </c>
      <c r="C99" s="29" t="s">
        <v>368</v>
      </c>
      <c r="D99" s="21">
        <v>8</v>
      </c>
      <c r="E99" s="17" t="s">
        <v>10</v>
      </c>
      <c r="F99" s="76">
        <f t="shared" si="12"/>
        <v>178.25</v>
      </c>
      <c r="G99" s="18">
        <f t="shared" si="13"/>
        <v>1426</v>
      </c>
      <c r="I99"/>
      <c r="J99"/>
      <c r="K99"/>
      <c r="L99"/>
      <c r="M99" s="90">
        <v>155</v>
      </c>
      <c r="N99" s="91">
        <f t="shared" si="11"/>
        <v>1.1499999999999999</v>
      </c>
      <c r="O99" s="92">
        <f t="shared" si="14"/>
        <v>178.25</v>
      </c>
    </row>
    <row r="100" spans="1:15" s="22" customFormat="1">
      <c r="A100" s="17">
        <v>26</v>
      </c>
      <c r="B100" s="29" t="s">
        <v>338</v>
      </c>
      <c r="C100" s="29" t="s">
        <v>369</v>
      </c>
      <c r="D100" s="21">
        <v>2</v>
      </c>
      <c r="E100" s="17" t="s">
        <v>10</v>
      </c>
      <c r="F100" s="76">
        <f t="shared" si="12"/>
        <v>17.25</v>
      </c>
      <c r="G100" s="18">
        <f t="shared" si="13"/>
        <v>34.5</v>
      </c>
      <c r="I100"/>
      <c r="J100"/>
      <c r="K100"/>
      <c r="L100"/>
      <c r="M100" s="90">
        <v>15</v>
      </c>
      <c r="N100" s="91">
        <f t="shared" si="11"/>
        <v>1.1499999999999999</v>
      </c>
      <c r="O100" s="92">
        <f t="shared" si="14"/>
        <v>17.25</v>
      </c>
    </row>
    <row r="101" spans="1:15" s="22" customFormat="1">
      <c r="A101" s="17">
        <v>27</v>
      </c>
      <c r="B101" s="29" t="s">
        <v>339</v>
      </c>
      <c r="C101" s="29" t="s">
        <v>370</v>
      </c>
      <c r="D101" s="21">
        <v>2</v>
      </c>
      <c r="E101" s="17" t="s">
        <v>10</v>
      </c>
      <c r="F101" s="76">
        <f t="shared" si="12"/>
        <v>184</v>
      </c>
      <c r="G101" s="18">
        <f t="shared" si="13"/>
        <v>368</v>
      </c>
      <c r="I101"/>
      <c r="J101"/>
      <c r="K101"/>
      <c r="L101"/>
      <c r="M101" s="90">
        <v>160</v>
      </c>
      <c r="N101" s="91">
        <f t="shared" si="11"/>
        <v>1.1499999999999999</v>
      </c>
      <c r="O101" s="92">
        <f t="shared" si="14"/>
        <v>184</v>
      </c>
    </row>
    <row r="102" spans="1:15" s="22" customFormat="1">
      <c r="A102" s="17">
        <v>28</v>
      </c>
      <c r="B102" s="29" t="s">
        <v>340</v>
      </c>
      <c r="C102" s="29" t="s">
        <v>341</v>
      </c>
      <c r="D102" s="21">
        <v>2</v>
      </c>
      <c r="E102" s="17" t="s">
        <v>10</v>
      </c>
      <c r="F102" s="76">
        <f t="shared" si="12"/>
        <v>109.24999999999999</v>
      </c>
      <c r="G102" s="18">
        <f t="shared" si="13"/>
        <v>218.49999999999997</v>
      </c>
      <c r="I102"/>
      <c r="J102"/>
      <c r="K102"/>
      <c r="L102"/>
      <c r="M102" s="90">
        <v>95</v>
      </c>
      <c r="N102" s="91">
        <f t="shared" si="11"/>
        <v>1.1499999999999999</v>
      </c>
      <c r="O102" s="92">
        <f t="shared" si="14"/>
        <v>109.24999999999999</v>
      </c>
    </row>
    <row r="103" spans="1:15" s="22" customFormat="1">
      <c r="A103" s="17">
        <v>29</v>
      </c>
      <c r="B103" s="29" t="s">
        <v>342</v>
      </c>
      <c r="C103" s="29" t="s">
        <v>371</v>
      </c>
      <c r="D103" s="21">
        <v>4</v>
      </c>
      <c r="E103" s="17" t="s">
        <v>10</v>
      </c>
      <c r="F103" s="76">
        <f t="shared" si="12"/>
        <v>51.749999999999993</v>
      </c>
      <c r="G103" s="18">
        <f t="shared" si="13"/>
        <v>206.99999999999997</v>
      </c>
      <c r="I103"/>
      <c r="J103"/>
      <c r="K103"/>
      <c r="L103"/>
      <c r="M103" s="90">
        <v>45</v>
      </c>
      <c r="N103" s="91">
        <f t="shared" si="11"/>
        <v>1.1499999999999999</v>
      </c>
      <c r="O103" s="92">
        <f t="shared" si="14"/>
        <v>51.749999999999993</v>
      </c>
    </row>
    <row r="104" spans="1:15" s="22" customFormat="1">
      <c r="A104" s="17">
        <v>30</v>
      </c>
      <c r="B104" s="29" t="s">
        <v>343</v>
      </c>
      <c r="C104" s="29" t="s">
        <v>372</v>
      </c>
      <c r="D104" s="21">
        <v>8</v>
      </c>
      <c r="E104" s="17" t="s">
        <v>10</v>
      </c>
      <c r="F104" s="76">
        <f t="shared" si="12"/>
        <v>46</v>
      </c>
      <c r="G104" s="18">
        <f t="shared" ref="G104:G110" si="15">D104*F104</f>
        <v>368</v>
      </c>
      <c r="I104"/>
      <c r="J104"/>
      <c r="K104"/>
      <c r="L104"/>
      <c r="M104" s="90">
        <v>40</v>
      </c>
      <c r="N104" s="91">
        <f t="shared" si="11"/>
        <v>1.1499999999999999</v>
      </c>
      <c r="O104" s="92">
        <f t="shared" si="14"/>
        <v>46</v>
      </c>
    </row>
    <row r="105" spans="1:15" s="22" customFormat="1">
      <c r="A105" s="17">
        <v>31</v>
      </c>
      <c r="B105" s="29" t="s">
        <v>344</v>
      </c>
      <c r="C105" s="29" t="s">
        <v>373</v>
      </c>
      <c r="D105" s="21">
        <v>2</v>
      </c>
      <c r="E105" s="17" t="s">
        <v>10</v>
      </c>
      <c r="F105" s="76">
        <f t="shared" si="12"/>
        <v>138</v>
      </c>
      <c r="G105" s="18">
        <f t="shared" si="15"/>
        <v>276</v>
      </c>
      <c r="I105"/>
      <c r="J105"/>
      <c r="K105"/>
      <c r="L105"/>
      <c r="M105" s="90">
        <v>120</v>
      </c>
      <c r="N105" s="91">
        <f t="shared" si="11"/>
        <v>1.1499999999999999</v>
      </c>
      <c r="O105" s="92">
        <f t="shared" si="14"/>
        <v>138</v>
      </c>
    </row>
    <row r="106" spans="1:15" s="22" customFormat="1">
      <c r="A106" s="17">
        <v>32</v>
      </c>
      <c r="B106" s="29" t="s">
        <v>345</v>
      </c>
      <c r="C106" s="29" t="s">
        <v>374</v>
      </c>
      <c r="D106" s="21">
        <v>8</v>
      </c>
      <c r="E106" s="17" t="s">
        <v>10</v>
      </c>
      <c r="F106" s="76">
        <f t="shared" si="12"/>
        <v>31.049999999999997</v>
      </c>
      <c r="G106" s="18">
        <f t="shared" si="15"/>
        <v>248.39999999999998</v>
      </c>
      <c r="I106"/>
      <c r="J106"/>
      <c r="K106"/>
      <c r="L106"/>
      <c r="M106" s="90">
        <v>27</v>
      </c>
      <c r="N106" s="91">
        <f t="shared" si="11"/>
        <v>1.1499999999999999</v>
      </c>
      <c r="O106" s="92">
        <f t="shared" si="14"/>
        <v>31.049999999999997</v>
      </c>
    </row>
    <row r="107" spans="1:15" s="22" customFormat="1">
      <c r="A107" s="17">
        <v>33</v>
      </c>
      <c r="B107" s="29" t="s">
        <v>346</v>
      </c>
      <c r="C107" s="29" t="s">
        <v>375</v>
      </c>
      <c r="D107" s="21">
        <v>2</v>
      </c>
      <c r="E107" s="17" t="s">
        <v>10</v>
      </c>
      <c r="F107" s="76">
        <f t="shared" si="12"/>
        <v>109.24999999999999</v>
      </c>
      <c r="G107" s="18">
        <f t="shared" si="15"/>
        <v>218.49999999999997</v>
      </c>
      <c r="I107"/>
      <c r="J107"/>
      <c r="K107"/>
      <c r="L107"/>
      <c r="M107" s="90">
        <v>95</v>
      </c>
      <c r="N107" s="91">
        <f t="shared" si="11"/>
        <v>1.1499999999999999</v>
      </c>
      <c r="O107" s="92">
        <f t="shared" si="14"/>
        <v>109.24999999999999</v>
      </c>
    </row>
    <row r="108" spans="1:15" s="22" customFormat="1">
      <c r="A108" s="17">
        <v>34</v>
      </c>
      <c r="B108" s="29" t="s">
        <v>347</v>
      </c>
      <c r="C108" s="29" t="s">
        <v>376</v>
      </c>
      <c r="D108" s="21">
        <v>4</v>
      </c>
      <c r="E108" s="17" t="s">
        <v>10</v>
      </c>
      <c r="F108" s="76">
        <f t="shared" si="12"/>
        <v>143.75</v>
      </c>
      <c r="G108" s="18">
        <f t="shared" si="15"/>
        <v>575</v>
      </c>
      <c r="I108"/>
      <c r="J108"/>
      <c r="K108"/>
      <c r="L108"/>
      <c r="M108" s="90">
        <v>125</v>
      </c>
      <c r="N108" s="91">
        <f t="shared" si="11"/>
        <v>1.1499999999999999</v>
      </c>
      <c r="O108" s="92">
        <f t="shared" si="14"/>
        <v>143.75</v>
      </c>
    </row>
    <row r="109" spans="1:15" s="22" customFormat="1">
      <c r="A109" s="11">
        <v>35</v>
      </c>
      <c r="B109" s="30" t="s">
        <v>377</v>
      </c>
      <c r="C109" s="19" t="s">
        <v>378</v>
      </c>
      <c r="D109" s="21">
        <v>282</v>
      </c>
      <c r="E109" s="17" t="s">
        <v>10</v>
      </c>
      <c r="F109" s="76">
        <f t="shared" si="12"/>
        <v>51.749999999999993</v>
      </c>
      <c r="G109" s="18">
        <f t="shared" si="15"/>
        <v>14593.499999999998</v>
      </c>
      <c r="I109"/>
      <c r="J109"/>
      <c r="K109"/>
      <c r="L109"/>
      <c r="M109" s="90">
        <v>45</v>
      </c>
      <c r="N109" s="91">
        <f t="shared" si="11"/>
        <v>1.1499999999999999</v>
      </c>
      <c r="O109" s="92">
        <f t="shared" si="14"/>
        <v>51.749999999999993</v>
      </c>
    </row>
    <row r="110" spans="1:15" s="22" customFormat="1">
      <c r="A110" s="11">
        <v>36</v>
      </c>
      <c r="B110" s="30" t="s">
        <v>379</v>
      </c>
      <c r="C110" s="19" t="s">
        <v>380</v>
      </c>
      <c r="D110" s="21">
        <v>282</v>
      </c>
      <c r="E110" s="17" t="s">
        <v>10</v>
      </c>
      <c r="F110" s="76">
        <f t="shared" si="12"/>
        <v>28.749999999999996</v>
      </c>
      <c r="G110" s="18">
        <f t="shared" si="15"/>
        <v>8107.4999999999991</v>
      </c>
      <c r="I110"/>
      <c r="J110"/>
      <c r="K110"/>
      <c r="L110"/>
      <c r="M110" s="90">
        <v>25</v>
      </c>
      <c r="N110" s="91">
        <f t="shared" si="11"/>
        <v>1.1499999999999999</v>
      </c>
      <c r="O110" s="92">
        <f t="shared" si="14"/>
        <v>28.749999999999996</v>
      </c>
    </row>
    <row r="111" spans="1:15" ht="14.15">
      <c r="A111" s="6"/>
      <c r="B111" s="6"/>
      <c r="C111" s="13" t="s">
        <v>0</v>
      </c>
      <c r="D111" s="59"/>
      <c r="E111" s="14"/>
      <c r="F111" s="77"/>
      <c r="G111" s="15">
        <f>SUM(G75:G110)</f>
        <v>417542.00000000006</v>
      </c>
      <c r="M111" s="93"/>
      <c r="N111" s="94"/>
      <c r="O111" s="95"/>
    </row>
    <row r="112" spans="1:15">
      <c r="B112" s="1"/>
      <c r="C112" s="5" t="s">
        <v>6</v>
      </c>
      <c r="D112" s="17"/>
      <c r="E112" s="8"/>
      <c r="G112" s="7">
        <f>0.21*G111</f>
        <v>87683.82</v>
      </c>
      <c r="M112" s="93"/>
      <c r="N112" s="94"/>
      <c r="O112" s="95"/>
    </row>
    <row r="113" spans="1:15">
      <c r="M113" s="93"/>
      <c r="N113" s="94"/>
      <c r="O113" s="95"/>
    </row>
    <row r="114" spans="1:15" ht="15.45">
      <c r="C114" s="3" t="s">
        <v>141</v>
      </c>
      <c r="M114" s="93"/>
      <c r="N114" s="94"/>
      <c r="O114" s="95"/>
    </row>
    <row r="115" spans="1:15">
      <c r="A115" s="9" t="s">
        <v>1</v>
      </c>
      <c r="B115" s="9" t="s">
        <v>2</v>
      </c>
      <c r="C115" s="9" t="s">
        <v>3</v>
      </c>
      <c r="D115" s="58"/>
      <c r="E115" s="10" t="s">
        <v>4</v>
      </c>
      <c r="F115" s="75" t="s">
        <v>5</v>
      </c>
      <c r="G115" s="10" t="s">
        <v>0</v>
      </c>
      <c r="M115" s="93"/>
      <c r="N115" s="94"/>
      <c r="O115" s="95"/>
    </row>
    <row r="116" spans="1:15" s="22" customFormat="1">
      <c r="A116" s="17">
        <v>18</v>
      </c>
      <c r="B116" s="24" t="s">
        <v>441</v>
      </c>
      <c r="C116" s="24" t="s">
        <v>442</v>
      </c>
      <c r="D116" s="21">
        <v>54</v>
      </c>
      <c r="E116" s="17" t="s">
        <v>10</v>
      </c>
      <c r="F116" s="76">
        <f t="shared" ref="F116:F155" si="16">K116+O116</f>
        <v>131.1</v>
      </c>
      <c r="G116" s="18">
        <f t="shared" ref="G116:G123" si="17">D116*F116</f>
        <v>7079.4</v>
      </c>
      <c r="I116" s="66">
        <v>114</v>
      </c>
      <c r="J116" s="66">
        <f t="shared" si="10"/>
        <v>1.1499999999999999</v>
      </c>
      <c r="K116" s="66">
        <f t="shared" ref="K116:K137" si="18">J116*I116</f>
        <v>131.1</v>
      </c>
      <c r="L116"/>
      <c r="M116" s="93"/>
      <c r="N116" s="94"/>
      <c r="O116" s="95"/>
    </row>
    <row r="117" spans="1:15" s="22" customFormat="1">
      <c r="A117" s="17">
        <v>19</v>
      </c>
      <c r="B117" s="24" t="s">
        <v>443</v>
      </c>
      <c r="C117" s="24" t="s">
        <v>444</v>
      </c>
      <c r="D117" s="21">
        <v>49</v>
      </c>
      <c r="E117" s="17" t="s">
        <v>10</v>
      </c>
      <c r="F117" s="76">
        <f t="shared" si="16"/>
        <v>37.087499999999999</v>
      </c>
      <c r="G117" s="18">
        <f t="shared" si="17"/>
        <v>1817.2874999999999</v>
      </c>
      <c r="I117" s="66">
        <v>32.25</v>
      </c>
      <c r="J117" s="66">
        <f t="shared" si="10"/>
        <v>1.1499999999999999</v>
      </c>
      <c r="K117" s="66">
        <f t="shared" si="18"/>
        <v>37.087499999999999</v>
      </c>
      <c r="L117"/>
      <c r="M117" s="93"/>
      <c r="N117" s="94"/>
      <c r="O117" s="95"/>
    </row>
    <row r="118" spans="1:15" s="22" customFormat="1">
      <c r="A118" s="17">
        <v>20</v>
      </c>
      <c r="B118" s="24" t="s">
        <v>445</v>
      </c>
      <c r="C118" s="24" t="s">
        <v>446</v>
      </c>
      <c r="D118" s="21">
        <v>49</v>
      </c>
      <c r="E118" s="17" t="s">
        <v>10</v>
      </c>
      <c r="F118" s="76">
        <f t="shared" si="16"/>
        <v>243.22499999999999</v>
      </c>
      <c r="G118" s="18">
        <f t="shared" si="17"/>
        <v>11918.025</v>
      </c>
      <c r="I118" s="66">
        <v>211.5</v>
      </c>
      <c r="J118" s="66">
        <f t="shared" si="10"/>
        <v>1.1499999999999999</v>
      </c>
      <c r="K118" s="66">
        <f t="shared" si="18"/>
        <v>243.22499999999999</v>
      </c>
      <c r="L118"/>
      <c r="M118" s="93"/>
      <c r="N118" s="94"/>
      <c r="O118" s="95"/>
    </row>
    <row r="119" spans="1:15" s="22" customFormat="1">
      <c r="A119" s="17">
        <v>21</v>
      </c>
      <c r="B119" s="24" t="s">
        <v>447</v>
      </c>
      <c r="C119" s="24" t="s">
        <v>448</v>
      </c>
      <c r="D119" s="21">
        <v>5</v>
      </c>
      <c r="E119" s="17" t="s">
        <v>10</v>
      </c>
      <c r="F119" s="76">
        <f t="shared" si="16"/>
        <v>113.85</v>
      </c>
      <c r="G119" s="18">
        <f t="shared" si="17"/>
        <v>569.25</v>
      </c>
      <c r="I119" s="66">
        <v>99</v>
      </c>
      <c r="J119" s="66">
        <f t="shared" si="10"/>
        <v>1.1499999999999999</v>
      </c>
      <c r="K119" s="66">
        <f t="shared" si="18"/>
        <v>113.85</v>
      </c>
      <c r="L119"/>
      <c r="M119" s="93"/>
      <c r="N119" s="94"/>
      <c r="O119" s="95"/>
    </row>
    <row r="120" spans="1:15" s="22" customFormat="1">
      <c r="A120" s="17">
        <v>22</v>
      </c>
      <c r="B120" s="24" t="s">
        <v>449</v>
      </c>
      <c r="C120" s="24" t="s">
        <v>450</v>
      </c>
      <c r="D120" s="21">
        <v>5</v>
      </c>
      <c r="E120" s="17" t="s">
        <v>10</v>
      </c>
      <c r="F120" s="76">
        <f t="shared" si="16"/>
        <v>284.625</v>
      </c>
      <c r="G120" s="18">
        <f t="shared" si="17"/>
        <v>1423.125</v>
      </c>
      <c r="I120" s="66">
        <v>247.5</v>
      </c>
      <c r="J120" s="66">
        <f t="shared" si="10"/>
        <v>1.1499999999999999</v>
      </c>
      <c r="K120" s="66">
        <f t="shared" si="18"/>
        <v>284.625</v>
      </c>
      <c r="L120"/>
      <c r="M120" s="93"/>
      <c r="N120" s="94"/>
      <c r="O120" s="95"/>
    </row>
    <row r="121" spans="1:15" s="22" customFormat="1">
      <c r="A121" s="17">
        <v>23</v>
      </c>
      <c r="B121" s="24" t="s">
        <v>451</v>
      </c>
      <c r="C121" s="24" t="s">
        <v>452</v>
      </c>
      <c r="D121" s="21">
        <v>0</v>
      </c>
      <c r="E121" s="17" t="s">
        <v>10</v>
      </c>
      <c r="F121" s="76">
        <f t="shared" si="16"/>
        <v>0</v>
      </c>
      <c r="G121" s="18">
        <f t="shared" si="17"/>
        <v>0</v>
      </c>
      <c r="I121" s="79"/>
      <c r="J121" s="66">
        <f t="shared" si="10"/>
        <v>1.1499999999999999</v>
      </c>
      <c r="K121" s="66">
        <f t="shared" si="18"/>
        <v>0</v>
      </c>
      <c r="L121"/>
      <c r="M121" s="93"/>
      <c r="N121" s="94"/>
      <c r="O121" s="95"/>
    </row>
    <row r="122" spans="1:15" s="22" customFormat="1">
      <c r="A122" s="17">
        <v>24</v>
      </c>
      <c r="B122" s="24" t="s">
        <v>453</v>
      </c>
      <c r="C122" s="24" t="s">
        <v>454</v>
      </c>
      <c r="D122" s="21">
        <v>0</v>
      </c>
      <c r="E122" s="17" t="s">
        <v>10</v>
      </c>
      <c r="F122" s="76">
        <f t="shared" si="16"/>
        <v>0</v>
      </c>
      <c r="G122" s="18">
        <f t="shared" si="17"/>
        <v>0</v>
      </c>
      <c r="I122" s="79"/>
      <c r="J122" s="66">
        <f t="shared" si="10"/>
        <v>1.1499999999999999</v>
      </c>
      <c r="K122" s="66">
        <f t="shared" si="18"/>
        <v>0</v>
      </c>
      <c r="L122"/>
      <c r="M122" s="93"/>
      <c r="N122" s="94"/>
      <c r="O122" s="95"/>
    </row>
    <row r="123" spans="1:15" s="22" customFormat="1">
      <c r="A123" s="17">
        <v>25</v>
      </c>
      <c r="B123" s="24" t="s">
        <v>326</v>
      </c>
      <c r="C123" s="24" t="s">
        <v>327</v>
      </c>
      <c r="D123" s="21">
        <v>72</v>
      </c>
      <c r="E123" s="17" t="s">
        <v>10</v>
      </c>
      <c r="F123" s="76">
        <f t="shared" si="16"/>
        <v>67.61999999999999</v>
      </c>
      <c r="G123" s="18">
        <f t="shared" si="17"/>
        <v>4868.6399999999994</v>
      </c>
      <c r="I123" s="66">
        <v>58.8</v>
      </c>
      <c r="J123" s="66">
        <f t="shared" si="10"/>
        <v>1.1499999999999999</v>
      </c>
      <c r="K123" s="66">
        <f t="shared" si="18"/>
        <v>67.61999999999999</v>
      </c>
      <c r="L123"/>
      <c r="M123" s="93"/>
      <c r="N123" s="94"/>
      <c r="O123" s="95"/>
    </row>
    <row r="124" spans="1:15">
      <c r="A124" s="31">
        <v>9</v>
      </c>
      <c r="B124" s="26" t="s">
        <v>381</v>
      </c>
      <c r="C124" s="26" t="s">
        <v>382</v>
      </c>
      <c r="D124" s="21">
        <v>1</v>
      </c>
      <c r="E124" s="17" t="s">
        <v>10</v>
      </c>
      <c r="F124" s="76">
        <f t="shared" si="16"/>
        <v>5142.7999999999993</v>
      </c>
      <c r="G124" s="18">
        <f t="shared" ref="G124:G147" si="19">D124*F124</f>
        <v>5142.7999999999993</v>
      </c>
      <c r="I124" s="66">
        <v>4472</v>
      </c>
      <c r="J124" s="66">
        <f t="shared" si="10"/>
        <v>1.1499999999999999</v>
      </c>
      <c r="K124" s="66">
        <f t="shared" si="18"/>
        <v>5142.7999999999993</v>
      </c>
      <c r="M124" s="93"/>
      <c r="N124" s="94"/>
      <c r="O124" s="95"/>
    </row>
    <row r="125" spans="1:15">
      <c r="A125" s="31">
        <v>10</v>
      </c>
      <c r="B125" s="26" t="s">
        <v>383</v>
      </c>
      <c r="C125" s="26" t="s">
        <v>384</v>
      </c>
      <c r="D125" s="21">
        <v>1</v>
      </c>
      <c r="E125" s="17" t="s">
        <v>10</v>
      </c>
      <c r="F125" s="76">
        <f t="shared" si="16"/>
        <v>762.44999999999993</v>
      </c>
      <c r="G125" s="18">
        <f t="shared" si="19"/>
        <v>762.44999999999993</v>
      </c>
      <c r="I125" s="66">
        <v>663</v>
      </c>
      <c r="J125" s="66">
        <f t="shared" si="10"/>
        <v>1.1499999999999999</v>
      </c>
      <c r="K125" s="66">
        <f t="shared" si="18"/>
        <v>762.44999999999993</v>
      </c>
      <c r="M125" s="93"/>
      <c r="N125" s="94"/>
      <c r="O125" s="95"/>
    </row>
    <row r="126" spans="1:15">
      <c r="A126" s="31">
        <v>11</v>
      </c>
      <c r="B126" s="26" t="s">
        <v>385</v>
      </c>
      <c r="C126" s="26" t="s">
        <v>386</v>
      </c>
      <c r="D126" s="21">
        <v>1</v>
      </c>
      <c r="E126" s="17" t="s">
        <v>10</v>
      </c>
      <c r="F126" s="76">
        <f t="shared" si="16"/>
        <v>762.44999999999993</v>
      </c>
      <c r="G126" s="18">
        <f t="shared" si="19"/>
        <v>762.44999999999993</v>
      </c>
      <c r="I126" s="66">
        <v>663</v>
      </c>
      <c r="J126" s="66">
        <f t="shared" si="10"/>
        <v>1.1499999999999999</v>
      </c>
      <c r="K126" s="66">
        <f t="shared" si="18"/>
        <v>762.44999999999993</v>
      </c>
      <c r="M126" s="93"/>
      <c r="N126" s="94"/>
      <c r="O126" s="95"/>
    </row>
    <row r="127" spans="1:15">
      <c r="A127" s="31">
        <v>12</v>
      </c>
      <c r="B127" s="26" t="s">
        <v>387</v>
      </c>
      <c r="C127" s="26" t="s">
        <v>388</v>
      </c>
      <c r="D127" s="21">
        <v>1</v>
      </c>
      <c r="E127" s="32" t="s">
        <v>10</v>
      </c>
      <c r="F127" s="76">
        <f t="shared" si="16"/>
        <v>21116.3</v>
      </c>
      <c r="G127" s="18">
        <f t="shared" si="19"/>
        <v>21116.3</v>
      </c>
      <c r="I127" s="66">
        <v>18362</v>
      </c>
      <c r="J127" s="66">
        <f t="shared" si="10"/>
        <v>1.1499999999999999</v>
      </c>
      <c r="K127" s="66">
        <f t="shared" si="18"/>
        <v>21116.3</v>
      </c>
      <c r="M127" s="93"/>
      <c r="N127" s="94"/>
      <c r="O127" s="95"/>
    </row>
    <row r="128" spans="1:15" s="35" customFormat="1">
      <c r="A128" s="33">
        <v>13</v>
      </c>
      <c r="B128" s="34" t="s">
        <v>389</v>
      </c>
      <c r="C128" s="34" t="s">
        <v>501</v>
      </c>
      <c r="D128" s="21">
        <v>1</v>
      </c>
      <c r="E128" s="32" t="s">
        <v>10</v>
      </c>
      <c r="F128" s="76">
        <f t="shared" si="16"/>
        <v>14573.949999999999</v>
      </c>
      <c r="G128" s="18">
        <f t="shared" si="19"/>
        <v>14573.949999999999</v>
      </c>
      <c r="I128" s="66">
        <v>12673</v>
      </c>
      <c r="J128" s="66">
        <f t="shared" si="10"/>
        <v>1.1499999999999999</v>
      </c>
      <c r="K128" s="66">
        <f t="shared" si="18"/>
        <v>14573.949999999999</v>
      </c>
      <c r="L128"/>
      <c r="M128" s="93"/>
      <c r="N128" s="94"/>
      <c r="O128" s="95"/>
    </row>
    <row r="129" spans="1:15" s="35" customFormat="1">
      <c r="A129" s="33">
        <v>14</v>
      </c>
      <c r="B129" s="34" t="s">
        <v>390</v>
      </c>
      <c r="C129" s="34" t="s">
        <v>391</v>
      </c>
      <c r="D129" s="21">
        <v>1</v>
      </c>
      <c r="E129" s="32" t="s">
        <v>10</v>
      </c>
      <c r="F129" s="76">
        <f t="shared" si="16"/>
        <v>2646.1499999999996</v>
      </c>
      <c r="G129" s="18">
        <f t="shared" si="19"/>
        <v>2646.1499999999996</v>
      </c>
      <c r="I129" s="66">
        <v>2301</v>
      </c>
      <c r="J129" s="66">
        <f t="shared" si="10"/>
        <v>1.1499999999999999</v>
      </c>
      <c r="K129" s="66">
        <f t="shared" si="18"/>
        <v>2646.1499999999996</v>
      </c>
      <c r="L129"/>
      <c r="M129" s="93"/>
      <c r="N129" s="94"/>
      <c r="O129" s="95"/>
    </row>
    <row r="130" spans="1:15" s="35" customFormat="1">
      <c r="A130" s="33">
        <v>15</v>
      </c>
      <c r="B130" s="34"/>
      <c r="C130" s="34" t="s">
        <v>502</v>
      </c>
      <c r="D130" s="21">
        <v>4</v>
      </c>
      <c r="E130" s="32" t="s">
        <v>10</v>
      </c>
      <c r="F130" s="76">
        <f t="shared" si="16"/>
        <v>471.49999999999994</v>
      </c>
      <c r="G130" s="18">
        <f t="shared" si="19"/>
        <v>1885.9999999999998</v>
      </c>
      <c r="I130" s="66">
        <v>410</v>
      </c>
      <c r="J130" s="66">
        <f t="shared" si="10"/>
        <v>1.1499999999999999</v>
      </c>
      <c r="K130" s="66">
        <f t="shared" si="18"/>
        <v>471.49999999999994</v>
      </c>
      <c r="L130"/>
      <c r="M130" s="93"/>
      <c r="N130" s="94"/>
      <c r="O130" s="95"/>
    </row>
    <row r="131" spans="1:15" s="35" customFormat="1">
      <c r="A131" s="33">
        <v>16</v>
      </c>
      <c r="B131" s="34"/>
      <c r="C131" s="34" t="s">
        <v>392</v>
      </c>
      <c r="D131" s="21">
        <v>1</v>
      </c>
      <c r="E131" s="32" t="s">
        <v>10</v>
      </c>
      <c r="F131" s="76">
        <f t="shared" si="16"/>
        <v>512.9</v>
      </c>
      <c r="G131" s="18">
        <f t="shared" si="19"/>
        <v>512.9</v>
      </c>
      <c r="I131" s="66">
        <v>446</v>
      </c>
      <c r="J131" s="66">
        <f t="shared" si="10"/>
        <v>1.1499999999999999</v>
      </c>
      <c r="K131" s="66">
        <f t="shared" si="18"/>
        <v>512.9</v>
      </c>
      <c r="L131"/>
      <c r="M131" s="93"/>
      <c r="N131" s="94"/>
      <c r="O131" s="95"/>
    </row>
    <row r="132" spans="1:15" s="35" customFormat="1">
      <c r="A132" s="33">
        <v>17</v>
      </c>
      <c r="B132" s="34" t="s">
        <v>393</v>
      </c>
      <c r="C132" s="34" t="s">
        <v>394</v>
      </c>
      <c r="D132" s="21">
        <v>2</v>
      </c>
      <c r="E132" s="32" t="s">
        <v>10</v>
      </c>
      <c r="F132" s="76">
        <f t="shared" si="16"/>
        <v>478.4</v>
      </c>
      <c r="G132" s="18">
        <f t="shared" si="19"/>
        <v>956.8</v>
      </c>
      <c r="I132" s="66">
        <v>416</v>
      </c>
      <c r="J132" s="66">
        <f t="shared" ref="J132:J189" si="20">$J$1</f>
        <v>1.1499999999999999</v>
      </c>
      <c r="K132" s="66">
        <f t="shared" si="18"/>
        <v>478.4</v>
      </c>
      <c r="L132"/>
      <c r="M132" s="93"/>
      <c r="N132" s="94"/>
      <c r="O132" s="95"/>
    </row>
    <row r="133" spans="1:15" s="35" customFormat="1">
      <c r="A133" s="33">
        <v>18</v>
      </c>
      <c r="B133" s="36" t="s">
        <v>395</v>
      </c>
      <c r="C133" s="36" t="s">
        <v>396</v>
      </c>
      <c r="D133" s="21">
        <v>3</v>
      </c>
      <c r="E133" s="32" t="s">
        <v>10</v>
      </c>
      <c r="F133" s="76">
        <f t="shared" si="16"/>
        <v>601.44999999999993</v>
      </c>
      <c r="G133" s="18">
        <f t="shared" si="19"/>
        <v>1804.35</v>
      </c>
      <c r="I133" s="66">
        <v>523</v>
      </c>
      <c r="J133" s="66">
        <f t="shared" si="20"/>
        <v>1.1499999999999999</v>
      </c>
      <c r="K133" s="66">
        <f t="shared" si="18"/>
        <v>601.44999999999993</v>
      </c>
      <c r="L133"/>
      <c r="M133" s="93"/>
      <c r="N133" s="94"/>
      <c r="O133" s="95"/>
    </row>
    <row r="134" spans="1:15" s="35" customFormat="1">
      <c r="A134" s="33">
        <v>19</v>
      </c>
      <c r="B134" s="34" t="s">
        <v>397</v>
      </c>
      <c r="C134" s="34" t="s">
        <v>398</v>
      </c>
      <c r="D134" s="21">
        <v>4</v>
      </c>
      <c r="E134" s="32" t="s">
        <v>10</v>
      </c>
      <c r="F134" s="76">
        <f t="shared" si="16"/>
        <v>423.2</v>
      </c>
      <c r="G134" s="18">
        <f t="shared" si="19"/>
        <v>1692.8</v>
      </c>
      <c r="I134" s="66">
        <v>368</v>
      </c>
      <c r="J134" s="66">
        <f t="shared" si="20"/>
        <v>1.1499999999999999</v>
      </c>
      <c r="K134" s="66">
        <f t="shared" si="18"/>
        <v>423.2</v>
      </c>
      <c r="L134"/>
      <c r="M134" s="93"/>
      <c r="N134" s="94"/>
      <c r="O134" s="95"/>
    </row>
    <row r="135" spans="1:15" s="35" customFormat="1" ht="23.15">
      <c r="A135" s="33">
        <v>20</v>
      </c>
      <c r="B135" s="34" t="s">
        <v>399</v>
      </c>
      <c r="C135" s="34" t="s">
        <v>400</v>
      </c>
      <c r="D135" s="21">
        <v>2</v>
      </c>
      <c r="E135" s="32" t="s">
        <v>10</v>
      </c>
      <c r="F135" s="76">
        <f t="shared" si="16"/>
        <v>747.49999999999989</v>
      </c>
      <c r="G135" s="18">
        <f t="shared" si="19"/>
        <v>1494.9999999999998</v>
      </c>
      <c r="I135" s="66">
        <v>650</v>
      </c>
      <c r="J135" s="66">
        <f t="shared" si="20"/>
        <v>1.1499999999999999</v>
      </c>
      <c r="K135" s="66">
        <f t="shared" si="18"/>
        <v>747.49999999999989</v>
      </c>
      <c r="L135"/>
      <c r="M135" s="93"/>
      <c r="N135" s="94"/>
      <c r="O135" s="95"/>
    </row>
    <row r="136" spans="1:15" s="35" customFormat="1">
      <c r="A136" s="33">
        <v>21</v>
      </c>
      <c r="B136" s="34" t="s">
        <v>401</v>
      </c>
      <c r="C136" s="34" t="s">
        <v>402</v>
      </c>
      <c r="D136" s="21">
        <v>1</v>
      </c>
      <c r="E136" s="32" t="s">
        <v>10</v>
      </c>
      <c r="F136" s="76">
        <f t="shared" si="16"/>
        <v>7637.15</v>
      </c>
      <c r="G136" s="18">
        <f t="shared" si="19"/>
        <v>7637.15</v>
      </c>
      <c r="I136" s="66">
        <v>6641</v>
      </c>
      <c r="J136" s="66">
        <f t="shared" si="20"/>
        <v>1.1499999999999999</v>
      </c>
      <c r="K136" s="66">
        <f t="shared" si="18"/>
        <v>7637.15</v>
      </c>
      <c r="L136"/>
      <c r="M136" s="93"/>
      <c r="N136" s="94"/>
      <c r="O136" s="95"/>
    </row>
    <row r="137" spans="1:15" ht="23.15">
      <c r="A137" s="25">
        <v>22</v>
      </c>
      <c r="B137" s="31" t="s">
        <v>403</v>
      </c>
      <c r="C137" s="31" t="s">
        <v>404</v>
      </c>
      <c r="D137" s="21">
        <v>282</v>
      </c>
      <c r="E137" s="17" t="s">
        <v>14</v>
      </c>
      <c r="F137" s="76">
        <f t="shared" si="16"/>
        <v>32.199999999999996</v>
      </c>
      <c r="G137" s="18">
        <f t="shared" si="19"/>
        <v>9080.4</v>
      </c>
      <c r="I137" s="66">
        <v>28</v>
      </c>
      <c r="J137" s="66">
        <f t="shared" si="20"/>
        <v>1.1499999999999999</v>
      </c>
      <c r="K137" s="66">
        <f t="shared" si="18"/>
        <v>32.199999999999996</v>
      </c>
      <c r="M137" s="93"/>
      <c r="N137" s="94"/>
      <c r="O137" s="95"/>
    </row>
    <row r="138" spans="1:15">
      <c r="A138" s="25">
        <v>23</v>
      </c>
      <c r="B138" s="29" t="s">
        <v>405</v>
      </c>
      <c r="C138" s="37" t="s">
        <v>406</v>
      </c>
      <c r="D138" s="21">
        <v>2</v>
      </c>
      <c r="E138" s="17" t="s">
        <v>10</v>
      </c>
      <c r="F138" s="76">
        <f t="shared" si="16"/>
        <v>694.59999999999991</v>
      </c>
      <c r="G138" s="18">
        <f t="shared" si="19"/>
        <v>1389.1999999999998</v>
      </c>
      <c r="I138" s="66">
        <v>604</v>
      </c>
      <c r="J138" s="66">
        <f t="shared" si="20"/>
        <v>1.1499999999999999</v>
      </c>
      <c r="K138" s="66">
        <f t="shared" ref="K138:K189" si="21">J138*I138</f>
        <v>694.59999999999991</v>
      </c>
      <c r="M138" s="93"/>
      <c r="N138" s="94"/>
      <c r="O138" s="95"/>
    </row>
    <row r="139" spans="1:15" ht="23.15">
      <c r="A139" s="25">
        <v>24</v>
      </c>
      <c r="B139" s="29" t="s">
        <v>407</v>
      </c>
      <c r="C139" s="29" t="s">
        <v>408</v>
      </c>
      <c r="D139" s="21">
        <v>2</v>
      </c>
      <c r="E139" s="17" t="s">
        <v>10</v>
      </c>
      <c r="F139" s="76">
        <f t="shared" si="16"/>
        <v>93.149999999999991</v>
      </c>
      <c r="G139" s="18">
        <f t="shared" si="19"/>
        <v>186.29999999999998</v>
      </c>
      <c r="I139" s="66">
        <v>81</v>
      </c>
      <c r="J139" s="66">
        <f t="shared" si="20"/>
        <v>1.1499999999999999</v>
      </c>
      <c r="K139" s="66">
        <f t="shared" si="21"/>
        <v>93.149999999999991</v>
      </c>
      <c r="M139" s="93"/>
      <c r="N139" s="94"/>
      <c r="O139" s="95"/>
    </row>
    <row r="140" spans="1:15">
      <c r="A140" s="25">
        <v>25</v>
      </c>
      <c r="B140" s="29" t="s">
        <v>409</v>
      </c>
      <c r="C140" s="37" t="s">
        <v>410</v>
      </c>
      <c r="D140" s="21">
        <v>8</v>
      </c>
      <c r="E140" s="17" t="s">
        <v>10</v>
      </c>
      <c r="F140" s="76">
        <f t="shared" si="16"/>
        <v>4.5999999999999996</v>
      </c>
      <c r="G140" s="18">
        <f t="shared" si="19"/>
        <v>36.799999999999997</v>
      </c>
      <c r="I140" s="66">
        <v>4</v>
      </c>
      <c r="J140" s="66">
        <f t="shared" si="20"/>
        <v>1.1499999999999999</v>
      </c>
      <c r="K140" s="66">
        <f t="shared" si="21"/>
        <v>4.5999999999999996</v>
      </c>
      <c r="M140" s="93"/>
      <c r="N140" s="94"/>
      <c r="O140" s="95"/>
    </row>
    <row r="141" spans="1:15">
      <c r="A141" s="25">
        <v>26</v>
      </c>
      <c r="B141" s="29" t="s">
        <v>411</v>
      </c>
      <c r="C141" s="37" t="s">
        <v>412</v>
      </c>
      <c r="D141" s="21">
        <v>2</v>
      </c>
      <c r="E141" s="17" t="s">
        <v>10</v>
      </c>
      <c r="F141" s="76">
        <f t="shared" si="16"/>
        <v>637.09999999999991</v>
      </c>
      <c r="G141" s="18">
        <f t="shared" si="19"/>
        <v>1274.1999999999998</v>
      </c>
      <c r="I141" s="66">
        <v>554</v>
      </c>
      <c r="J141" s="66">
        <f t="shared" si="20"/>
        <v>1.1499999999999999</v>
      </c>
      <c r="K141" s="66">
        <f t="shared" si="21"/>
        <v>637.09999999999991</v>
      </c>
      <c r="M141" s="93"/>
      <c r="N141" s="94"/>
      <c r="O141" s="95"/>
    </row>
    <row r="142" spans="1:15" s="35" customFormat="1">
      <c r="A142" s="38">
        <v>27</v>
      </c>
      <c r="B142" s="39" t="s">
        <v>413</v>
      </c>
      <c r="C142" s="39" t="s">
        <v>414</v>
      </c>
      <c r="D142" s="21">
        <v>4</v>
      </c>
      <c r="E142" s="32" t="s">
        <v>10</v>
      </c>
      <c r="F142" s="76">
        <f t="shared" si="16"/>
        <v>22.424999999999997</v>
      </c>
      <c r="G142" s="18">
        <f t="shared" si="19"/>
        <v>89.699999999999989</v>
      </c>
      <c r="I142" s="66">
        <v>19.5</v>
      </c>
      <c r="J142" s="66">
        <f t="shared" si="20"/>
        <v>1.1499999999999999</v>
      </c>
      <c r="K142" s="66">
        <f t="shared" si="21"/>
        <v>22.424999999999997</v>
      </c>
      <c r="L142"/>
      <c r="M142" s="93"/>
      <c r="N142" s="94"/>
      <c r="O142" s="95"/>
    </row>
    <row r="143" spans="1:15" s="35" customFormat="1">
      <c r="A143" s="38">
        <v>28</v>
      </c>
      <c r="B143" s="39" t="s">
        <v>415</v>
      </c>
      <c r="C143" s="39" t="s">
        <v>416</v>
      </c>
      <c r="D143" s="21">
        <v>8</v>
      </c>
      <c r="E143" s="32" t="s">
        <v>10</v>
      </c>
      <c r="F143" s="76">
        <f t="shared" si="16"/>
        <v>38.984999999999992</v>
      </c>
      <c r="G143" s="18">
        <f t="shared" si="19"/>
        <v>311.87999999999994</v>
      </c>
      <c r="I143" s="66">
        <v>33.9</v>
      </c>
      <c r="J143" s="66">
        <f t="shared" si="20"/>
        <v>1.1499999999999999</v>
      </c>
      <c r="K143" s="66">
        <f t="shared" si="21"/>
        <v>38.984999999999992</v>
      </c>
      <c r="L143"/>
      <c r="M143" s="93"/>
      <c r="N143" s="94"/>
      <c r="O143" s="95"/>
    </row>
    <row r="144" spans="1:15" s="35" customFormat="1">
      <c r="A144" s="38">
        <v>29</v>
      </c>
      <c r="B144" s="39" t="s">
        <v>417</v>
      </c>
      <c r="C144" s="39" t="s">
        <v>418</v>
      </c>
      <c r="D144" s="21">
        <v>2</v>
      </c>
      <c r="E144" s="32" t="s">
        <v>10</v>
      </c>
      <c r="F144" s="76">
        <f t="shared" si="16"/>
        <v>138</v>
      </c>
      <c r="G144" s="18">
        <f t="shared" si="19"/>
        <v>276</v>
      </c>
      <c r="I144" s="66">
        <v>120</v>
      </c>
      <c r="J144" s="66">
        <f t="shared" si="20"/>
        <v>1.1499999999999999</v>
      </c>
      <c r="K144" s="66">
        <f t="shared" si="21"/>
        <v>138</v>
      </c>
      <c r="L144"/>
      <c r="M144" s="93"/>
      <c r="N144" s="94"/>
      <c r="O144" s="95"/>
    </row>
    <row r="145" spans="1:15" s="35" customFormat="1">
      <c r="A145" s="38">
        <v>30</v>
      </c>
      <c r="B145" s="39" t="s">
        <v>419</v>
      </c>
      <c r="C145" s="39" t="s">
        <v>420</v>
      </c>
      <c r="D145" s="21">
        <v>2</v>
      </c>
      <c r="E145" s="32" t="s">
        <v>10</v>
      </c>
      <c r="F145" s="76">
        <f t="shared" si="16"/>
        <v>161</v>
      </c>
      <c r="G145" s="18">
        <f t="shared" si="19"/>
        <v>322</v>
      </c>
      <c r="I145" s="66">
        <v>140</v>
      </c>
      <c r="J145" s="66">
        <f t="shared" si="20"/>
        <v>1.1499999999999999</v>
      </c>
      <c r="K145" s="66">
        <f t="shared" si="21"/>
        <v>161</v>
      </c>
      <c r="L145"/>
      <c r="M145" s="93"/>
      <c r="N145" s="94"/>
      <c r="O145" s="95"/>
    </row>
    <row r="146" spans="1:15" s="35" customFormat="1">
      <c r="A146" s="38">
        <v>31</v>
      </c>
      <c r="B146" s="39" t="s">
        <v>421</v>
      </c>
      <c r="C146" s="39" t="s">
        <v>422</v>
      </c>
      <c r="D146" s="21">
        <v>217</v>
      </c>
      <c r="E146" s="40" t="s">
        <v>14</v>
      </c>
      <c r="F146" s="76">
        <f t="shared" si="16"/>
        <v>50.599999999999994</v>
      </c>
      <c r="G146" s="18">
        <f t="shared" si="19"/>
        <v>10980.199999999999</v>
      </c>
      <c r="I146" s="66">
        <v>44</v>
      </c>
      <c r="J146" s="66">
        <f t="shared" si="20"/>
        <v>1.1499999999999999</v>
      </c>
      <c r="K146" s="66">
        <f t="shared" si="21"/>
        <v>50.599999999999994</v>
      </c>
      <c r="L146"/>
      <c r="M146" s="93"/>
      <c r="N146" s="94"/>
      <c r="O146" s="95"/>
    </row>
    <row r="147" spans="1:15" s="35" customFormat="1">
      <c r="A147" s="38">
        <v>32</v>
      </c>
      <c r="B147" s="41" t="s">
        <v>423</v>
      </c>
      <c r="C147" s="41" t="s">
        <v>424</v>
      </c>
      <c r="D147" s="21">
        <v>205</v>
      </c>
      <c r="E147" s="40" t="s">
        <v>10</v>
      </c>
      <c r="F147" s="76">
        <f t="shared" si="16"/>
        <v>64.399999999999991</v>
      </c>
      <c r="G147" s="18">
        <f t="shared" si="19"/>
        <v>13201.999999999998</v>
      </c>
      <c r="I147" s="66">
        <v>56</v>
      </c>
      <c r="J147" s="66">
        <f t="shared" si="20"/>
        <v>1.1499999999999999</v>
      </c>
      <c r="K147" s="66">
        <f t="shared" si="21"/>
        <v>64.399999999999991</v>
      </c>
      <c r="L147"/>
      <c r="M147" s="93"/>
      <c r="N147" s="94"/>
      <c r="O147" s="95"/>
    </row>
    <row r="148" spans="1:15" s="35" customFormat="1">
      <c r="A148" s="38">
        <v>33</v>
      </c>
      <c r="B148" s="42" t="s">
        <v>425</v>
      </c>
      <c r="C148" s="42" t="s">
        <v>426</v>
      </c>
      <c r="D148" s="21">
        <v>1</v>
      </c>
      <c r="E148" s="32" t="s">
        <v>10</v>
      </c>
      <c r="F148" s="76">
        <f t="shared" si="16"/>
        <v>81.99499999999999</v>
      </c>
      <c r="G148" s="18">
        <f t="shared" ref="G148:G155" si="22">D148*F148</f>
        <v>81.99499999999999</v>
      </c>
      <c r="I148" s="66">
        <v>71.3</v>
      </c>
      <c r="J148" s="66">
        <f t="shared" si="20"/>
        <v>1.1499999999999999</v>
      </c>
      <c r="K148" s="66">
        <f t="shared" si="21"/>
        <v>81.99499999999999</v>
      </c>
      <c r="L148"/>
      <c r="M148" s="93"/>
      <c r="N148" s="94"/>
      <c r="O148" s="95"/>
    </row>
    <row r="149" spans="1:15" s="35" customFormat="1">
      <c r="A149" s="38">
        <v>34</v>
      </c>
      <c r="B149" s="41" t="s">
        <v>427</v>
      </c>
      <c r="C149" s="41" t="s">
        <v>428</v>
      </c>
      <c r="D149" s="21">
        <v>10</v>
      </c>
      <c r="E149" s="40" t="s">
        <v>10</v>
      </c>
      <c r="F149" s="76">
        <f t="shared" si="16"/>
        <v>2691</v>
      </c>
      <c r="G149" s="18">
        <f t="shared" si="22"/>
        <v>26910</v>
      </c>
      <c r="I149" s="66">
        <v>2340</v>
      </c>
      <c r="J149" s="66">
        <f t="shared" si="20"/>
        <v>1.1499999999999999</v>
      </c>
      <c r="K149" s="66">
        <f t="shared" si="21"/>
        <v>2691</v>
      </c>
      <c r="L149"/>
      <c r="M149" s="93"/>
      <c r="N149" s="94"/>
      <c r="O149" s="95"/>
    </row>
    <row r="150" spans="1:15">
      <c r="A150" s="25">
        <v>35</v>
      </c>
      <c r="B150" s="43" t="s">
        <v>429</v>
      </c>
      <c r="C150" s="43" t="s">
        <v>430</v>
      </c>
      <c r="D150" s="21">
        <v>1</v>
      </c>
      <c r="E150" s="17" t="s">
        <v>10</v>
      </c>
      <c r="F150" s="76">
        <f t="shared" si="16"/>
        <v>3070.4999999999995</v>
      </c>
      <c r="G150" s="18">
        <f t="shared" si="22"/>
        <v>3070.4999999999995</v>
      </c>
      <c r="I150" s="66">
        <v>2670</v>
      </c>
      <c r="J150" s="66">
        <f t="shared" si="20"/>
        <v>1.1499999999999999</v>
      </c>
      <c r="K150" s="66">
        <f t="shared" si="21"/>
        <v>3070.4999999999995</v>
      </c>
      <c r="M150" s="93"/>
      <c r="N150" s="94"/>
      <c r="O150" s="95"/>
    </row>
    <row r="151" spans="1:15" s="35" customFormat="1">
      <c r="A151" s="33">
        <v>36</v>
      </c>
      <c r="B151" s="34" t="s">
        <v>431</v>
      </c>
      <c r="C151" s="34" t="s">
        <v>432</v>
      </c>
      <c r="D151" s="21">
        <v>7</v>
      </c>
      <c r="E151" s="32" t="s">
        <v>10</v>
      </c>
      <c r="F151" s="76">
        <f t="shared" si="16"/>
        <v>146.04999999999998</v>
      </c>
      <c r="G151" s="18">
        <f>D151*F151</f>
        <v>1022.3499999999999</v>
      </c>
      <c r="I151" s="66">
        <v>127</v>
      </c>
      <c r="J151" s="66">
        <f t="shared" si="20"/>
        <v>1.1499999999999999</v>
      </c>
      <c r="K151" s="66">
        <f t="shared" si="21"/>
        <v>146.04999999999998</v>
      </c>
      <c r="L151"/>
      <c r="M151" s="93"/>
      <c r="N151" s="94"/>
      <c r="O151" s="95"/>
    </row>
    <row r="152" spans="1:15">
      <c r="A152" s="38">
        <v>37</v>
      </c>
      <c r="B152" s="44" t="s">
        <v>433</v>
      </c>
      <c r="C152" s="41" t="s">
        <v>434</v>
      </c>
      <c r="D152" s="21">
        <v>13325</v>
      </c>
      <c r="E152" s="40" t="s">
        <v>14</v>
      </c>
      <c r="F152" s="76">
        <f t="shared" si="16"/>
        <v>11.154999999999998</v>
      </c>
      <c r="G152" s="18">
        <f t="shared" si="22"/>
        <v>148640.37499999997</v>
      </c>
      <c r="I152" s="66">
        <v>9.6999999999999993</v>
      </c>
      <c r="J152" s="66">
        <f t="shared" si="20"/>
        <v>1.1499999999999999</v>
      </c>
      <c r="K152" s="66">
        <f t="shared" si="21"/>
        <v>11.154999999999998</v>
      </c>
      <c r="M152" s="93"/>
      <c r="N152" s="94"/>
      <c r="O152" s="95"/>
    </row>
    <row r="153" spans="1:15">
      <c r="A153" s="25">
        <v>38</v>
      </c>
      <c r="B153" s="43" t="s">
        <v>435</v>
      </c>
      <c r="C153" s="43" t="s">
        <v>436</v>
      </c>
      <c r="D153" s="21">
        <v>65</v>
      </c>
      <c r="E153" s="17" t="s">
        <v>14</v>
      </c>
      <c r="F153" s="76">
        <f t="shared" si="16"/>
        <v>15.524999999999999</v>
      </c>
      <c r="G153" s="18">
        <f t="shared" si="22"/>
        <v>1009.1249999999999</v>
      </c>
      <c r="I153" s="66">
        <v>13.5</v>
      </c>
      <c r="J153" s="66">
        <f t="shared" si="20"/>
        <v>1.1499999999999999</v>
      </c>
      <c r="K153" s="66">
        <f t="shared" si="21"/>
        <v>15.524999999999999</v>
      </c>
      <c r="M153" s="93"/>
      <c r="N153" s="94"/>
      <c r="O153" s="95"/>
    </row>
    <row r="154" spans="1:15" s="35" customFormat="1">
      <c r="A154" s="38">
        <v>39</v>
      </c>
      <c r="B154" s="41" t="s">
        <v>437</v>
      </c>
      <c r="C154" s="41" t="s">
        <v>438</v>
      </c>
      <c r="D154" s="21">
        <v>205</v>
      </c>
      <c r="E154" s="40" t="s">
        <v>10</v>
      </c>
      <c r="F154" s="76">
        <f t="shared" si="16"/>
        <v>36.799999999999997</v>
      </c>
      <c r="G154" s="18">
        <f t="shared" si="22"/>
        <v>7543.9999999999991</v>
      </c>
      <c r="I154" s="66">
        <v>32</v>
      </c>
      <c r="J154" s="66">
        <f t="shared" si="20"/>
        <v>1.1499999999999999</v>
      </c>
      <c r="K154" s="66">
        <f t="shared" si="21"/>
        <v>36.799999999999997</v>
      </c>
      <c r="L154"/>
      <c r="M154" s="93"/>
      <c r="N154" s="94"/>
      <c r="O154" s="95"/>
    </row>
    <row r="155" spans="1:15" s="35" customFormat="1">
      <c r="A155" s="38">
        <v>40</v>
      </c>
      <c r="B155" s="42" t="s">
        <v>439</v>
      </c>
      <c r="C155" s="42" t="s">
        <v>440</v>
      </c>
      <c r="D155" s="21">
        <v>1</v>
      </c>
      <c r="E155" s="32" t="s">
        <v>10</v>
      </c>
      <c r="F155" s="76">
        <f t="shared" si="16"/>
        <v>73.599999999999994</v>
      </c>
      <c r="G155" s="18">
        <f t="shared" si="22"/>
        <v>73.599999999999994</v>
      </c>
      <c r="I155" s="66">
        <v>64</v>
      </c>
      <c r="J155" s="66">
        <f t="shared" si="20"/>
        <v>1.1499999999999999</v>
      </c>
      <c r="K155" s="66">
        <f t="shared" si="21"/>
        <v>73.599999999999994</v>
      </c>
      <c r="L155"/>
      <c r="M155" s="93"/>
      <c r="N155" s="94"/>
      <c r="O155" s="95"/>
    </row>
    <row r="156" spans="1:15" ht="14.15">
      <c r="A156" s="6"/>
      <c r="B156" s="6"/>
      <c r="C156" s="13" t="s">
        <v>0</v>
      </c>
      <c r="D156" s="59"/>
      <c r="E156" s="14"/>
      <c r="F156" s="77"/>
      <c r="G156" s="15">
        <f>SUM(G116:G155)</f>
        <v>314165.4524999999</v>
      </c>
      <c r="M156" s="93"/>
      <c r="N156" s="94"/>
      <c r="O156" s="95"/>
    </row>
    <row r="157" spans="1:15">
      <c r="B157" s="1"/>
      <c r="C157" s="5" t="s">
        <v>6</v>
      </c>
      <c r="D157" s="17"/>
      <c r="E157" s="8"/>
      <c r="G157" s="7">
        <f>0.21*G156</f>
        <v>65974.745024999982</v>
      </c>
      <c r="M157" s="93"/>
      <c r="N157" s="94"/>
      <c r="O157" s="95"/>
    </row>
    <row r="158" spans="1:15">
      <c r="M158" s="93"/>
      <c r="N158" s="94"/>
      <c r="O158" s="95"/>
    </row>
    <row r="159" spans="1:15" ht="15.45">
      <c r="C159" s="3" t="s">
        <v>142</v>
      </c>
      <c r="M159" s="93"/>
      <c r="N159" s="94"/>
      <c r="O159" s="95"/>
    </row>
    <row r="160" spans="1:15">
      <c r="A160" s="9" t="s">
        <v>1</v>
      </c>
      <c r="B160" s="9" t="s">
        <v>2</v>
      </c>
      <c r="C160" s="9" t="s">
        <v>3</v>
      </c>
      <c r="D160" s="58"/>
      <c r="E160" s="10" t="s">
        <v>4</v>
      </c>
      <c r="F160" s="75" t="s">
        <v>5</v>
      </c>
      <c r="G160" s="10" t="s">
        <v>0</v>
      </c>
      <c r="M160" s="93"/>
      <c r="N160" s="94"/>
      <c r="O160" s="95"/>
    </row>
    <row r="161" spans="1:15" s="22" customFormat="1">
      <c r="A161" s="17">
        <v>1</v>
      </c>
      <c r="B161" s="17"/>
      <c r="C161" s="25" t="s">
        <v>76</v>
      </c>
      <c r="D161" s="21">
        <v>12</v>
      </c>
      <c r="E161" s="21" t="s">
        <v>73</v>
      </c>
      <c r="F161" s="76">
        <f t="shared" ref="F161:F174" si="23">K161+O161</f>
        <v>517.5</v>
      </c>
      <c r="G161" s="18">
        <f t="shared" ref="G161:G174" si="24">D161*F161</f>
        <v>6210</v>
      </c>
      <c r="I161"/>
      <c r="J161"/>
      <c r="K161"/>
      <c r="L161"/>
      <c r="M161" s="90">
        <v>450</v>
      </c>
      <c r="N161" s="91">
        <f t="shared" ref="N161:N195" si="25">$N$1</f>
        <v>1.1499999999999999</v>
      </c>
      <c r="O161" s="92">
        <f t="shared" ref="O161:O201" si="26">N161*M161</f>
        <v>517.5</v>
      </c>
    </row>
    <row r="162" spans="1:15" s="22" customFormat="1">
      <c r="A162" s="17">
        <v>2</v>
      </c>
      <c r="B162" s="17"/>
      <c r="C162" s="25" t="s">
        <v>77</v>
      </c>
      <c r="D162" s="21">
        <v>12</v>
      </c>
      <c r="E162" s="21" t="s">
        <v>73</v>
      </c>
      <c r="F162" s="76">
        <f t="shared" si="23"/>
        <v>517.5</v>
      </c>
      <c r="G162" s="18">
        <f t="shared" si="24"/>
        <v>6210</v>
      </c>
      <c r="I162"/>
      <c r="J162"/>
      <c r="K162"/>
      <c r="L162"/>
      <c r="M162" s="90">
        <v>450</v>
      </c>
      <c r="N162" s="91">
        <f t="shared" si="25"/>
        <v>1.1499999999999999</v>
      </c>
      <c r="O162" s="92">
        <f t="shared" si="26"/>
        <v>517.5</v>
      </c>
    </row>
    <row r="163" spans="1:15" s="22" customFormat="1">
      <c r="A163" s="17">
        <v>3</v>
      </c>
      <c r="B163" s="45" t="s">
        <v>143</v>
      </c>
      <c r="C163" s="46" t="s">
        <v>144</v>
      </c>
      <c r="D163" s="21">
        <v>31</v>
      </c>
      <c r="E163" s="21" t="s">
        <v>10</v>
      </c>
      <c r="F163" s="76">
        <f t="shared" si="23"/>
        <v>138</v>
      </c>
      <c r="G163" s="18">
        <f t="shared" si="24"/>
        <v>4278</v>
      </c>
      <c r="I163"/>
      <c r="J163"/>
      <c r="K163"/>
      <c r="L163"/>
      <c r="M163" s="90">
        <v>120</v>
      </c>
      <c r="N163" s="91">
        <f t="shared" si="25"/>
        <v>1.1499999999999999</v>
      </c>
      <c r="O163" s="92">
        <f t="shared" si="26"/>
        <v>138</v>
      </c>
    </row>
    <row r="164" spans="1:15" s="22" customFormat="1">
      <c r="A164" s="17">
        <v>4</v>
      </c>
      <c r="B164" s="45" t="s">
        <v>145</v>
      </c>
      <c r="C164" s="46" t="s">
        <v>146</v>
      </c>
      <c r="D164" s="21">
        <v>31</v>
      </c>
      <c r="E164" s="21" t="s">
        <v>10</v>
      </c>
      <c r="F164" s="76">
        <f t="shared" si="23"/>
        <v>184</v>
      </c>
      <c r="G164" s="18">
        <f t="shared" si="24"/>
        <v>5704</v>
      </c>
      <c r="I164"/>
      <c r="J164"/>
      <c r="K164"/>
      <c r="L164"/>
      <c r="M164" s="90">
        <v>160</v>
      </c>
      <c r="N164" s="91">
        <f t="shared" si="25"/>
        <v>1.1499999999999999</v>
      </c>
      <c r="O164" s="92">
        <f t="shared" si="26"/>
        <v>184</v>
      </c>
    </row>
    <row r="165" spans="1:15" s="22" customFormat="1">
      <c r="A165" s="17">
        <v>5</v>
      </c>
      <c r="B165" s="45" t="s">
        <v>147</v>
      </c>
      <c r="C165" s="46" t="s">
        <v>148</v>
      </c>
      <c r="D165" s="21">
        <v>31</v>
      </c>
      <c r="E165" s="21" t="s">
        <v>10</v>
      </c>
      <c r="F165" s="76">
        <f t="shared" si="23"/>
        <v>252.99999999999997</v>
      </c>
      <c r="G165" s="18">
        <f t="shared" si="24"/>
        <v>7842.9999999999991</v>
      </c>
      <c r="I165"/>
      <c r="J165"/>
      <c r="K165"/>
      <c r="L165"/>
      <c r="M165" s="90">
        <v>220</v>
      </c>
      <c r="N165" s="91">
        <f t="shared" si="25"/>
        <v>1.1499999999999999</v>
      </c>
      <c r="O165" s="92">
        <f t="shared" si="26"/>
        <v>252.99999999999997</v>
      </c>
    </row>
    <row r="166" spans="1:15" s="22" customFormat="1">
      <c r="A166" s="17">
        <v>6</v>
      </c>
      <c r="B166" s="45" t="s">
        <v>149</v>
      </c>
      <c r="C166" s="46" t="s">
        <v>150</v>
      </c>
      <c r="D166" s="21">
        <v>31</v>
      </c>
      <c r="E166" s="21" t="s">
        <v>10</v>
      </c>
      <c r="F166" s="76">
        <f t="shared" si="23"/>
        <v>172.5</v>
      </c>
      <c r="G166" s="18">
        <f t="shared" si="24"/>
        <v>5347.5</v>
      </c>
      <c r="I166"/>
      <c r="J166"/>
      <c r="K166"/>
      <c r="L166"/>
      <c r="M166" s="90">
        <v>150</v>
      </c>
      <c r="N166" s="91">
        <f t="shared" si="25"/>
        <v>1.1499999999999999</v>
      </c>
      <c r="O166" s="92">
        <f t="shared" si="26"/>
        <v>172.5</v>
      </c>
    </row>
    <row r="167" spans="1:15" s="22" customFormat="1">
      <c r="A167" s="17">
        <v>7</v>
      </c>
      <c r="B167" s="45" t="s">
        <v>151</v>
      </c>
      <c r="C167" s="46" t="s">
        <v>152</v>
      </c>
      <c r="D167" s="21">
        <v>31</v>
      </c>
      <c r="E167" s="21" t="s">
        <v>10</v>
      </c>
      <c r="F167" s="76">
        <f t="shared" si="23"/>
        <v>69</v>
      </c>
      <c r="G167" s="18">
        <f t="shared" si="24"/>
        <v>2139</v>
      </c>
      <c r="I167"/>
      <c r="J167"/>
      <c r="K167"/>
      <c r="L167"/>
      <c r="M167" s="90">
        <v>60</v>
      </c>
      <c r="N167" s="91">
        <f t="shared" si="25"/>
        <v>1.1499999999999999</v>
      </c>
      <c r="O167" s="92">
        <f t="shared" si="26"/>
        <v>69</v>
      </c>
    </row>
    <row r="168" spans="1:15" s="22" customFormat="1">
      <c r="A168" s="17">
        <v>8</v>
      </c>
      <c r="B168" s="45" t="s">
        <v>153</v>
      </c>
      <c r="C168" s="46" t="s">
        <v>154</v>
      </c>
      <c r="D168" s="21">
        <v>1</v>
      </c>
      <c r="E168" s="21" t="s">
        <v>10</v>
      </c>
      <c r="F168" s="76">
        <f t="shared" si="23"/>
        <v>988.99999999999989</v>
      </c>
      <c r="G168" s="18">
        <f t="shared" si="24"/>
        <v>988.99999999999989</v>
      </c>
      <c r="I168"/>
      <c r="J168"/>
      <c r="K168"/>
      <c r="L168"/>
      <c r="M168" s="90">
        <v>860</v>
      </c>
      <c r="N168" s="91">
        <f t="shared" si="25"/>
        <v>1.1499999999999999</v>
      </c>
      <c r="O168" s="92">
        <f t="shared" si="26"/>
        <v>988.99999999999989</v>
      </c>
    </row>
    <row r="169" spans="1:15" s="22" customFormat="1">
      <c r="A169" s="17">
        <v>9</v>
      </c>
      <c r="B169" s="45" t="s">
        <v>155</v>
      </c>
      <c r="C169" s="46" t="s">
        <v>156</v>
      </c>
      <c r="D169" s="21">
        <v>1</v>
      </c>
      <c r="E169" s="21" t="s">
        <v>10</v>
      </c>
      <c r="F169" s="76">
        <f t="shared" si="23"/>
        <v>7474.9999999999991</v>
      </c>
      <c r="G169" s="18">
        <f t="shared" si="24"/>
        <v>7474.9999999999991</v>
      </c>
      <c r="I169"/>
      <c r="J169"/>
      <c r="K169"/>
      <c r="L169"/>
      <c r="M169" s="90">
        <v>6500</v>
      </c>
      <c r="N169" s="91">
        <f t="shared" si="25"/>
        <v>1.1499999999999999</v>
      </c>
      <c r="O169" s="92">
        <f t="shared" si="26"/>
        <v>7474.9999999999991</v>
      </c>
    </row>
    <row r="170" spans="1:15" s="22" customFormat="1">
      <c r="A170" s="17">
        <v>10</v>
      </c>
      <c r="B170" s="45"/>
      <c r="C170" s="46" t="s">
        <v>157</v>
      </c>
      <c r="D170" s="21">
        <v>1</v>
      </c>
      <c r="E170" s="21" t="s">
        <v>75</v>
      </c>
      <c r="F170" s="76">
        <f t="shared" si="23"/>
        <v>1092.5</v>
      </c>
      <c r="G170" s="18">
        <f t="shared" si="24"/>
        <v>1092.5</v>
      </c>
      <c r="I170"/>
      <c r="J170"/>
      <c r="K170"/>
      <c r="L170"/>
      <c r="M170" s="90">
        <v>950</v>
      </c>
      <c r="N170" s="91">
        <f t="shared" si="25"/>
        <v>1.1499999999999999</v>
      </c>
      <c r="O170" s="92">
        <f t="shared" si="26"/>
        <v>1092.5</v>
      </c>
    </row>
    <row r="171" spans="1:15" s="22" customFormat="1">
      <c r="A171" s="17">
        <v>11</v>
      </c>
      <c r="B171" s="17"/>
      <c r="C171" s="25" t="s">
        <v>158</v>
      </c>
      <c r="D171" s="21">
        <v>1</v>
      </c>
      <c r="E171" s="21" t="s">
        <v>75</v>
      </c>
      <c r="F171" s="76">
        <f t="shared" si="23"/>
        <v>1908.9999999999998</v>
      </c>
      <c r="G171" s="18">
        <f t="shared" si="24"/>
        <v>1908.9999999999998</v>
      </c>
      <c r="I171"/>
      <c r="J171"/>
      <c r="K171"/>
      <c r="L171"/>
      <c r="M171" s="90">
        <v>1660</v>
      </c>
      <c r="N171" s="91">
        <f t="shared" si="25"/>
        <v>1.1499999999999999</v>
      </c>
      <c r="O171" s="92">
        <f t="shared" si="26"/>
        <v>1908.9999999999998</v>
      </c>
    </row>
    <row r="172" spans="1:15" s="22" customFormat="1">
      <c r="A172" s="17">
        <v>12</v>
      </c>
      <c r="B172" s="17" t="s">
        <v>112</v>
      </c>
      <c r="C172" s="25" t="s">
        <v>123</v>
      </c>
      <c r="D172" s="21">
        <v>2</v>
      </c>
      <c r="E172" s="21" t="s">
        <v>10</v>
      </c>
      <c r="F172" s="76">
        <f t="shared" si="23"/>
        <v>977.49999999999989</v>
      </c>
      <c r="G172" s="18">
        <f t="shared" si="24"/>
        <v>1954.9999999999998</v>
      </c>
      <c r="I172"/>
      <c r="J172"/>
      <c r="K172"/>
      <c r="L172"/>
      <c r="M172" s="90">
        <v>850</v>
      </c>
      <c r="N172" s="91">
        <f t="shared" si="25"/>
        <v>1.1499999999999999</v>
      </c>
      <c r="O172" s="92">
        <f t="shared" si="26"/>
        <v>977.49999999999989</v>
      </c>
    </row>
    <row r="173" spans="1:15" s="22" customFormat="1">
      <c r="A173" s="17">
        <v>13</v>
      </c>
      <c r="B173" s="47" t="s">
        <v>159</v>
      </c>
      <c r="C173" s="28" t="s">
        <v>160</v>
      </c>
      <c r="D173" s="21">
        <v>2</v>
      </c>
      <c r="E173" s="21" t="s">
        <v>10</v>
      </c>
      <c r="F173" s="76">
        <f t="shared" si="23"/>
        <v>517.5</v>
      </c>
      <c r="G173" s="18">
        <f t="shared" si="24"/>
        <v>1035</v>
      </c>
      <c r="I173"/>
      <c r="J173"/>
      <c r="K173"/>
      <c r="L173"/>
      <c r="M173" s="90">
        <v>450</v>
      </c>
      <c r="N173" s="91">
        <f t="shared" si="25"/>
        <v>1.1499999999999999</v>
      </c>
      <c r="O173" s="92">
        <f t="shared" si="26"/>
        <v>517.5</v>
      </c>
    </row>
    <row r="174" spans="1:15" s="22" customFormat="1">
      <c r="A174" s="17">
        <v>14</v>
      </c>
      <c r="B174" s="48" t="s">
        <v>161</v>
      </c>
      <c r="C174" s="49" t="s">
        <v>162</v>
      </c>
      <c r="D174" s="21">
        <v>2</v>
      </c>
      <c r="E174" s="21" t="s">
        <v>163</v>
      </c>
      <c r="F174" s="76">
        <f t="shared" si="23"/>
        <v>1265</v>
      </c>
      <c r="G174" s="18">
        <f t="shared" si="24"/>
        <v>2530</v>
      </c>
      <c r="I174"/>
      <c r="J174"/>
      <c r="K174"/>
      <c r="L174"/>
      <c r="M174" s="90">
        <v>1100</v>
      </c>
      <c r="N174" s="91">
        <f t="shared" si="25"/>
        <v>1.1499999999999999</v>
      </c>
      <c r="O174" s="92">
        <f t="shared" si="26"/>
        <v>1265</v>
      </c>
    </row>
    <row r="175" spans="1:15" ht="14.15">
      <c r="A175" s="6"/>
      <c r="B175" s="6"/>
      <c r="C175" s="13" t="s">
        <v>0</v>
      </c>
      <c r="D175" s="59"/>
      <c r="E175" s="14"/>
      <c r="F175" s="77"/>
      <c r="G175" s="15">
        <f>SUM(G161:G174)</f>
        <v>54717</v>
      </c>
      <c r="M175" s="93"/>
      <c r="N175" s="94"/>
      <c r="O175" s="95"/>
    </row>
    <row r="176" spans="1:15">
      <c r="B176" s="1"/>
      <c r="C176" s="5" t="s">
        <v>6</v>
      </c>
      <c r="D176" s="17"/>
      <c r="E176" s="8"/>
      <c r="G176" s="7">
        <f>0.21*G175</f>
        <v>11490.57</v>
      </c>
      <c r="M176" s="93"/>
      <c r="N176" s="94"/>
      <c r="O176" s="95"/>
    </row>
    <row r="177" spans="1:15">
      <c r="M177" s="93"/>
      <c r="N177" s="94"/>
      <c r="O177" s="95"/>
    </row>
    <row r="178" spans="1:15" ht="15.45">
      <c r="C178" s="3" t="s">
        <v>164</v>
      </c>
      <c r="M178" s="93"/>
      <c r="N178" s="94"/>
      <c r="O178" s="95"/>
    </row>
    <row r="179" spans="1:15">
      <c r="A179" s="9" t="s">
        <v>1</v>
      </c>
      <c r="B179" s="9" t="s">
        <v>2</v>
      </c>
      <c r="C179" s="9" t="s">
        <v>3</v>
      </c>
      <c r="D179" s="58"/>
      <c r="E179" s="10" t="s">
        <v>4</v>
      </c>
      <c r="F179" s="75" t="s">
        <v>5</v>
      </c>
      <c r="G179" s="10" t="s">
        <v>0</v>
      </c>
      <c r="M179" s="93"/>
      <c r="N179" s="94"/>
      <c r="O179" s="95"/>
    </row>
    <row r="180" spans="1:15" s="22" customFormat="1">
      <c r="A180" s="21">
        <v>1</v>
      </c>
      <c r="B180" s="50" t="s">
        <v>455</v>
      </c>
      <c r="C180" s="50" t="s">
        <v>456</v>
      </c>
      <c r="D180" s="21">
        <v>11</v>
      </c>
      <c r="E180" s="21" t="s">
        <v>10</v>
      </c>
      <c r="F180" s="76">
        <f t="shared" ref="F180:F189" si="27">K180+O180</f>
        <v>10215.449999999999</v>
      </c>
      <c r="G180" s="18">
        <f t="shared" ref="G180:G182" si="28">D180*F180</f>
        <v>112369.94999999998</v>
      </c>
      <c r="I180" s="66">
        <v>8883</v>
      </c>
      <c r="J180" s="66">
        <f t="shared" si="20"/>
        <v>1.1499999999999999</v>
      </c>
      <c r="K180" s="66">
        <f t="shared" si="21"/>
        <v>10215.449999999999</v>
      </c>
      <c r="L180"/>
      <c r="M180" s="93"/>
      <c r="N180" s="94"/>
      <c r="O180" s="95"/>
    </row>
    <row r="181" spans="1:15" s="51" customFormat="1" ht="23.15">
      <c r="A181" s="21">
        <v>2</v>
      </c>
      <c r="B181" s="50" t="s">
        <v>457</v>
      </c>
      <c r="C181" s="50" t="s">
        <v>458</v>
      </c>
      <c r="D181" s="21">
        <v>1</v>
      </c>
      <c r="E181" s="21" t="s">
        <v>10</v>
      </c>
      <c r="F181" s="76">
        <f t="shared" si="27"/>
        <v>9758.9</v>
      </c>
      <c r="G181" s="18">
        <f t="shared" si="28"/>
        <v>9758.9</v>
      </c>
      <c r="I181" s="66">
        <v>8486</v>
      </c>
      <c r="J181" s="66">
        <f t="shared" si="20"/>
        <v>1.1499999999999999</v>
      </c>
      <c r="K181" s="66">
        <f t="shared" si="21"/>
        <v>9758.9</v>
      </c>
      <c r="L181"/>
      <c r="M181" s="93"/>
      <c r="N181" s="94"/>
      <c r="O181" s="95"/>
    </row>
    <row r="182" spans="1:15" s="51" customFormat="1">
      <c r="A182" s="21">
        <v>3</v>
      </c>
      <c r="B182" s="50" t="s">
        <v>459</v>
      </c>
      <c r="C182" s="50" t="s">
        <v>460</v>
      </c>
      <c r="D182" s="21">
        <v>19</v>
      </c>
      <c r="E182" s="21" t="s">
        <v>10</v>
      </c>
      <c r="F182" s="76">
        <f t="shared" si="27"/>
        <v>4870.25</v>
      </c>
      <c r="G182" s="18">
        <f t="shared" si="28"/>
        <v>92534.75</v>
      </c>
      <c r="I182" s="66">
        <v>4235</v>
      </c>
      <c r="J182" s="66">
        <f t="shared" si="20"/>
        <v>1.1499999999999999</v>
      </c>
      <c r="K182" s="66">
        <f t="shared" si="21"/>
        <v>4870.25</v>
      </c>
      <c r="L182"/>
      <c r="M182" s="93"/>
      <c r="N182" s="94"/>
      <c r="O182" s="95"/>
    </row>
    <row r="183" spans="1:15" s="51" customFormat="1">
      <c r="A183" s="21">
        <v>4</v>
      </c>
      <c r="B183" s="50" t="s">
        <v>461</v>
      </c>
      <c r="C183" s="50" t="s">
        <v>462</v>
      </c>
      <c r="D183" s="21">
        <v>1</v>
      </c>
      <c r="E183" s="21" t="s">
        <v>10</v>
      </c>
      <c r="F183" s="76">
        <f t="shared" si="27"/>
        <v>42186.6</v>
      </c>
      <c r="G183" s="18">
        <f>D183*F183</f>
        <v>42186.6</v>
      </c>
      <c r="I183" s="66">
        <v>36684</v>
      </c>
      <c r="J183" s="66">
        <f t="shared" si="20"/>
        <v>1.1499999999999999</v>
      </c>
      <c r="K183" s="66">
        <f t="shared" si="21"/>
        <v>42186.6</v>
      </c>
      <c r="L183"/>
      <c r="M183" s="93"/>
      <c r="N183" s="94"/>
      <c r="O183" s="95"/>
    </row>
    <row r="184" spans="1:15" s="22" customFormat="1">
      <c r="A184" s="17">
        <v>5</v>
      </c>
      <c r="B184" s="52" t="s">
        <v>278</v>
      </c>
      <c r="C184" s="50" t="s">
        <v>279</v>
      </c>
      <c r="D184" s="21">
        <v>8</v>
      </c>
      <c r="E184" s="21" t="s">
        <v>10</v>
      </c>
      <c r="F184" s="76">
        <f t="shared" si="27"/>
        <v>2645</v>
      </c>
      <c r="G184" s="18">
        <f t="shared" ref="G184:G189" si="29">D184*F184</f>
        <v>21160</v>
      </c>
      <c r="I184" s="66">
        <v>2300</v>
      </c>
      <c r="J184" s="66">
        <f t="shared" si="20"/>
        <v>1.1499999999999999</v>
      </c>
      <c r="K184" s="66">
        <f t="shared" si="21"/>
        <v>2645</v>
      </c>
      <c r="L184"/>
      <c r="M184" s="93"/>
      <c r="N184" s="94"/>
      <c r="O184" s="95"/>
    </row>
    <row r="185" spans="1:15" s="22" customFormat="1" ht="23.15">
      <c r="A185" s="17">
        <v>7</v>
      </c>
      <c r="B185" s="53" t="s">
        <v>463</v>
      </c>
      <c r="C185" s="53" t="s">
        <v>507</v>
      </c>
      <c r="D185" s="21">
        <v>1</v>
      </c>
      <c r="E185" s="21" t="s">
        <v>10</v>
      </c>
      <c r="F185" s="76">
        <f t="shared" si="27"/>
        <v>24552.499999999996</v>
      </c>
      <c r="G185" s="18">
        <f t="shared" si="29"/>
        <v>24552.499999999996</v>
      </c>
      <c r="I185" s="66">
        <v>21350</v>
      </c>
      <c r="J185" s="66">
        <f t="shared" si="20"/>
        <v>1.1499999999999999</v>
      </c>
      <c r="K185" s="66">
        <f t="shared" si="21"/>
        <v>24552.499999999996</v>
      </c>
      <c r="L185"/>
      <c r="M185" s="93"/>
      <c r="N185" s="94"/>
      <c r="O185" s="95"/>
    </row>
    <row r="186" spans="1:15" s="22" customFormat="1">
      <c r="A186" s="17">
        <v>8</v>
      </c>
      <c r="B186" s="53" t="s">
        <v>464</v>
      </c>
      <c r="C186" s="53" t="s">
        <v>508</v>
      </c>
      <c r="D186" s="21">
        <v>1</v>
      </c>
      <c r="E186" s="54" t="s">
        <v>10</v>
      </c>
      <c r="F186" s="76">
        <f t="shared" si="27"/>
        <v>7877.4999999999991</v>
      </c>
      <c r="G186" s="18">
        <f t="shared" si="29"/>
        <v>7877.4999999999991</v>
      </c>
      <c r="I186" s="66">
        <v>6850</v>
      </c>
      <c r="J186" s="66">
        <f t="shared" si="20"/>
        <v>1.1499999999999999</v>
      </c>
      <c r="K186" s="66">
        <f t="shared" si="21"/>
        <v>7877.4999999999991</v>
      </c>
      <c r="L186"/>
      <c r="M186" s="93"/>
      <c r="N186" s="94"/>
      <c r="O186" s="95"/>
    </row>
    <row r="187" spans="1:15" s="22" customFormat="1">
      <c r="A187" s="17">
        <v>10</v>
      </c>
      <c r="B187" s="53" t="s">
        <v>505</v>
      </c>
      <c r="C187" s="53" t="s">
        <v>506</v>
      </c>
      <c r="D187" s="21">
        <v>2</v>
      </c>
      <c r="E187" s="21" t="s">
        <v>10</v>
      </c>
      <c r="F187" s="76">
        <f t="shared" si="27"/>
        <v>1265</v>
      </c>
      <c r="G187" s="18">
        <f t="shared" si="29"/>
        <v>2530</v>
      </c>
      <c r="I187" s="66">
        <v>1100</v>
      </c>
      <c r="J187" s="66">
        <f t="shared" si="20"/>
        <v>1.1499999999999999</v>
      </c>
      <c r="K187" s="66">
        <f t="shared" si="21"/>
        <v>1265</v>
      </c>
      <c r="L187"/>
      <c r="M187" s="93"/>
      <c r="N187" s="94"/>
      <c r="O187" s="95"/>
    </row>
    <row r="188" spans="1:15" s="22" customFormat="1">
      <c r="A188" s="17">
        <v>11</v>
      </c>
      <c r="B188" s="47" t="s">
        <v>165</v>
      </c>
      <c r="C188" s="28" t="s">
        <v>166</v>
      </c>
      <c r="D188" s="21">
        <v>1</v>
      </c>
      <c r="E188" s="21" t="s">
        <v>10</v>
      </c>
      <c r="F188" s="76">
        <f t="shared" si="27"/>
        <v>17034.949999999997</v>
      </c>
      <c r="G188" s="18">
        <f t="shared" si="29"/>
        <v>17034.949999999997</v>
      </c>
      <c r="I188" s="66">
        <v>14813</v>
      </c>
      <c r="J188" s="66">
        <f t="shared" si="20"/>
        <v>1.1499999999999999</v>
      </c>
      <c r="K188" s="66">
        <f t="shared" si="21"/>
        <v>17034.949999999997</v>
      </c>
      <c r="L188"/>
      <c r="M188" s="93"/>
      <c r="N188" s="94"/>
      <c r="O188" s="95"/>
    </row>
    <row r="189" spans="1:15" s="22" customFormat="1">
      <c r="A189" s="17">
        <v>12</v>
      </c>
      <c r="B189" s="55" t="s">
        <v>348</v>
      </c>
      <c r="C189" s="56" t="s">
        <v>349</v>
      </c>
      <c r="D189" s="21">
        <v>1</v>
      </c>
      <c r="E189" s="21" t="s">
        <v>10</v>
      </c>
      <c r="F189" s="76">
        <f t="shared" si="27"/>
        <v>10488</v>
      </c>
      <c r="G189" s="18">
        <f t="shared" si="29"/>
        <v>10488</v>
      </c>
      <c r="I189" s="66">
        <v>9120</v>
      </c>
      <c r="J189" s="66">
        <f t="shared" si="20"/>
        <v>1.1499999999999999</v>
      </c>
      <c r="K189" s="66">
        <f t="shared" si="21"/>
        <v>10488</v>
      </c>
      <c r="L189"/>
      <c r="M189" s="93"/>
      <c r="N189" s="94"/>
      <c r="O189" s="95"/>
    </row>
    <row r="190" spans="1:15" ht="14.15">
      <c r="A190" s="6"/>
      <c r="B190" s="6"/>
      <c r="C190" s="13" t="s">
        <v>0</v>
      </c>
      <c r="D190" s="59"/>
      <c r="E190" s="14"/>
      <c r="F190" s="77"/>
      <c r="G190" s="15">
        <f>SUM(G180:G189)</f>
        <v>340493.14999999997</v>
      </c>
      <c r="M190" s="93"/>
      <c r="N190" s="94"/>
      <c r="O190" s="95"/>
    </row>
    <row r="191" spans="1:15">
      <c r="B191" s="1"/>
      <c r="C191" s="5" t="s">
        <v>6</v>
      </c>
      <c r="D191" s="17"/>
      <c r="E191" s="8"/>
      <c r="G191" s="7">
        <f>0.21*G190</f>
        <v>71503.561499999996</v>
      </c>
      <c r="M191" s="93"/>
      <c r="N191" s="94"/>
      <c r="O191" s="95"/>
    </row>
    <row r="192" spans="1:15">
      <c r="M192" s="93"/>
      <c r="N192" s="94"/>
      <c r="O192" s="95"/>
    </row>
    <row r="193" spans="1:15" ht="15.45">
      <c r="C193" s="3" t="s">
        <v>167</v>
      </c>
      <c r="M193" s="93"/>
      <c r="N193" s="94"/>
      <c r="O193" s="95"/>
    </row>
    <row r="194" spans="1:15">
      <c r="A194" s="9" t="s">
        <v>1</v>
      </c>
      <c r="B194" s="9" t="s">
        <v>2</v>
      </c>
      <c r="C194" s="9" t="s">
        <v>3</v>
      </c>
      <c r="D194" s="58"/>
      <c r="E194" s="10" t="s">
        <v>4</v>
      </c>
      <c r="F194" s="75" t="s">
        <v>5</v>
      </c>
      <c r="G194" s="10" t="s">
        <v>0</v>
      </c>
      <c r="M194" s="93"/>
      <c r="N194" s="94"/>
      <c r="O194" s="95"/>
    </row>
    <row r="195" spans="1:15" s="22" customFormat="1">
      <c r="A195" s="17">
        <v>1</v>
      </c>
      <c r="B195" s="17" t="s">
        <v>168</v>
      </c>
      <c r="C195" s="25" t="s">
        <v>169</v>
      </c>
      <c r="D195" s="21">
        <v>1</v>
      </c>
      <c r="E195" s="21" t="s">
        <v>10</v>
      </c>
      <c r="F195" s="76">
        <f t="shared" ref="F195:F253" si="30">K195+O195</f>
        <v>3449.9999999999995</v>
      </c>
      <c r="G195" s="18">
        <f t="shared" ref="G195:G204" si="31">D195*F195</f>
        <v>3449.9999999999995</v>
      </c>
      <c r="H195"/>
      <c r="I195"/>
      <c r="J195"/>
      <c r="K195"/>
      <c r="L195"/>
      <c r="M195" s="90">
        <v>3000</v>
      </c>
      <c r="N195" s="91">
        <f t="shared" si="25"/>
        <v>1.1499999999999999</v>
      </c>
      <c r="O195" s="92">
        <f t="shared" si="26"/>
        <v>3449.9999999999995</v>
      </c>
    </row>
    <row r="196" spans="1:15" s="22" customFormat="1">
      <c r="A196" s="17">
        <v>2</v>
      </c>
      <c r="B196" s="17" t="s">
        <v>170</v>
      </c>
      <c r="C196" s="25" t="s">
        <v>171</v>
      </c>
      <c r="D196" s="21">
        <v>2</v>
      </c>
      <c r="E196" s="21" t="s">
        <v>10</v>
      </c>
      <c r="F196" s="76">
        <f t="shared" si="30"/>
        <v>69</v>
      </c>
      <c r="G196" s="18">
        <f t="shared" si="31"/>
        <v>138</v>
      </c>
      <c r="H196"/>
      <c r="I196"/>
      <c r="J196"/>
      <c r="K196"/>
      <c r="L196"/>
      <c r="M196" s="90">
        <v>60</v>
      </c>
      <c r="N196" s="91">
        <f t="shared" ref="N196:N253" si="32">$N$1</f>
        <v>1.1499999999999999</v>
      </c>
      <c r="O196" s="92">
        <f t="shared" si="26"/>
        <v>69</v>
      </c>
    </row>
    <row r="197" spans="1:15" s="22" customFormat="1">
      <c r="A197" s="17">
        <v>3</v>
      </c>
      <c r="B197" s="17" t="s">
        <v>172</v>
      </c>
      <c r="C197" s="25" t="s">
        <v>173</v>
      </c>
      <c r="D197" s="21">
        <v>1</v>
      </c>
      <c r="E197" s="21" t="s">
        <v>10</v>
      </c>
      <c r="F197" s="76">
        <f t="shared" si="30"/>
        <v>172.5</v>
      </c>
      <c r="G197" s="18">
        <f t="shared" si="31"/>
        <v>172.5</v>
      </c>
      <c r="H197"/>
      <c r="I197"/>
      <c r="J197"/>
      <c r="K197"/>
      <c r="L197"/>
      <c r="M197" s="90">
        <v>150</v>
      </c>
      <c r="N197" s="91">
        <f t="shared" si="32"/>
        <v>1.1499999999999999</v>
      </c>
      <c r="O197" s="92">
        <f t="shared" si="26"/>
        <v>172.5</v>
      </c>
    </row>
    <row r="198" spans="1:15" s="22" customFormat="1">
      <c r="A198" s="17">
        <v>4</v>
      </c>
      <c r="B198" s="17" t="s">
        <v>174</v>
      </c>
      <c r="C198" s="25" t="s">
        <v>175</v>
      </c>
      <c r="D198" s="21">
        <v>1</v>
      </c>
      <c r="E198" s="21" t="s">
        <v>10</v>
      </c>
      <c r="F198" s="76">
        <f t="shared" si="30"/>
        <v>92</v>
      </c>
      <c r="G198" s="18">
        <f t="shared" si="31"/>
        <v>92</v>
      </c>
      <c r="H198"/>
      <c r="I198"/>
      <c r="J198"/>
      <c r="K198"/>
      <c r="L198"/>
      <c r="M198" s="90">
        <v>80</v>
      </c>
      <c r="N198" s="91">
        <f t="shared" si="32"/>
        <v>1.1499999999999999</v>
      </c>
      <c r="O198" s="92">
        <f t="shared" si="26"/>
        <v>92</v>
      </c>
    </row>
    <row r="199" spans="1:15" s="22" customFormat="1">
      <c r="A199" s="17">
        <v>5</v>
      </c>
      <c r="B199" s="17"/>
      <c r="C199" s="25" t="s">
        <v>176</v>
      </c>
      <c r="D199" s="21">
        <v>1</v>
      </c>
      <c r="E199" s="21" t="s">
        <v>10</v>
      </c>
      <c r="F199" s="76">
        <f t="shared" si="30"/>
        <v>69</v>
      </c>
      <c r="G199" s="18">
        <f t="shared" si="31"/>
        <v>69</v>
      </c>
      <c r="H199"/>
      <c r="I199"/>
      <c r="J199"/>
      <c r="K199"/>
      <c r="L199"/>
      <c r="M199" s="90">
        <v>60</v>
      </c>
      <c r="N199" s="91">
        <f t="shared" si="32"/>
        <v>1.1499999999999999</v>
      </c>
      <c r="O199" s="92">
        <f t="shared" si="26"/>
        <v>69</v>
      </c>
    </row>
    <row r="200" spans="1:15" s="22" customFormat="1">
      <c r="A200" s="17">
        <v>6</v>
      </c>
      <c r="B200" s="17" t="s">
        <v>177</v>
      </c>
      <c r="C200" s="25" t="s">
        <v>178</v>
      </c>
      <c r="D200" s="21">
        <v>1</v>
      </c>
      <c r="E200" s="21" t="s">
        <v>10</v>
      </c>
      <c r="F200" s="76">
        <f t="shared" si="30"/>
        <v>5520</v>
      </c>
      <c r="G200" s="18">
        <f t="shared" si="31"/>
        <v>5520</v>
      </c>
      <c r="H200"/>
      <c r="I200"/>
      <c r="J200"/>
      <c r="K200"/>
      <c r="L200"/>
      <c r="M200" s="90">
        <v>4800</v>
      </c>
      <c r="N200" s="91">
        <f t="shared" si="32"/>
        <v>1.1499999999999999</v>
      </c>
      <c r="O200" s="92">
        <f t="shared" si="26"/>
        <v>5520</v>
      </c>
    </row>
    <row r="201" spans="1:15" s="22" customFormat="1">
      <c r="A201" s="17">
        <v>7</v>
      </c>
      <c r="B201" s="17" t="s">
        <v>179</v>
      </c>
      <c r="C201" s="25" t="s">
        <v>321</v>
      </c>
      <c r="D201" s="21">
        <v>1</v>
      </c>
      <c r="E201" s="21" t="s">
        <v>10</v>
      </c>
      <c r="F201" s="76">
        <f t="shared" si="30"/>
        <v>3219.9999999999995</v>
      </c>
      <c r="G201" s="18">
        <f t="shared" si="31"/>
        <v>3219.9999999999995</v>
      </c>
      <c r="H201"/>
      <c r="I201"/>
      <c r="J201"/>
      <c r="K201"/>
      <c r="L201"/>
      <c r="M201" s="90">
        <v>2800</v>
      </c>
      <c r="N201" s="91">
        <f t="shared" si="32"/>
        <v>1.1499999999999999</v>
      </c>
      <c r="O201" s="92">
        <f t="shared" si="26"/>
        <v>3219.9999999999995</v>
      </c>
    </row>
    <row r="202" spans="1:15" s="22" customFormat="1">
      <c r="A202" s="17">
        <v>8</v>
      </c>
      <c r="B202" s="17"/>
      <c r="C202" s="25" t="s">
        <v>180</v>
      </c>
      <c r="D202" s="21">
        <v>2</v>
      </c>
      <c r="E202" s="21" t="s">
        <v>10</v>
      </c>
      <c r="F202" s="76">
        <f t="shared" si="30"/>
        <v>482.99999999999994</v>
      </c>
      <c r="G202" s="18">
        <f t="shared" si="31"/>
        <v>965.99999999999989</v>
      </c>
      <c r="H202"/>
      <c r="I202"/>
      <c r="J202"/>
      <c r="K202"/>
      <c r="L202"/>
      <c r="M202" s="90">
        <v>420</v>
      </c>
      <c r="N202" s="91">
        <f t="shared" si="32"/>
        <v>1.1499999999999999</v>
      </c>
      <c r="O202" s="92">
        <f t="shared" ref="O202:O253" si="33">N202*M202</f>
        <v>482.99999999999994</v>
      </c>
    </row>
    <row r="203" spans="1:15" s="22" customFormat="1">
      <c r="A203" s="17">
        <v>9</v>
      </c>
      <c r="B203" s="17" t="s">
        <v>181</v>
      </c>
      <c r="C203" s="25" t="s">
        <v>182</v>
      </c>
      <c r="D203" s="21">
        <v>6</v>
      </c>
      <c r="E203" s="21" t="s">
        <v>10</v>
      </c>
      <c r="F203" s="76">
        <f t="shared" si="30"/>
        <v>529</v>
      </c>
      <c r="G203" s="18">
        <f t="shared" si="31"/>
        <v>3174</v>
      </c>
      <c r="H203"/>
      <c r="I203"/>
      <c r="J203"/>
      <c r="K203"/>
      <c r="L203"/>
      <c r="M203" s="90">
        <v>460</v>
      </c>
      <c r="N203" s="91">
        <f t="shared" si="32"/>
        <v>1.1499999999999999</v>
      </c>
      <c r="O203" s="92">
        <f t="shared" si="33"/>
        <v>529</v>
      </c>
    </row>
    <row r="204" spans="1:15" s="22" customFormat="1">
      <c r="A204" s="17">
        <v>10</v>
      </c>
      <c r="B204" s="17" t="s">
        <v>183</v>
      </c>
      <c r="C204" s="25" t="s">
        <v>184</v>
      </c>
      <c r="D204" s="21">
        <v>6</v>
      </c>
      <c r="E204" s="21" t="s">
        <v>10</v>
      </c>
      <c r="F204" s="76">
        <f t="shared" si="30"/>
        <v>345</v>
      </c>
      <c r="G204" s="18">
        <f t="shared" si="31"/>
        <v>2070</v>
      </c>
      <c r="H204"/>
      <c r="I204"/>
      <c r="J204"/>
      <c r="K204"/>
      <c r="L204"/>
      <c r="M204" s="90">
        <v>300</v>
      </c>
      <c r="N204" s="91">
        <f t="shared" si="32"/>
        <v>1.1499999999999999</v>
      </c>
      <c r="O204" s="92">
        <f t="shared" si="33"/>
        <v>345</v>
      </c>
    </row>
    <row r="205" spans="1:15" s="22" customFormat="1">
      <c r="A205" s="17">
        <v>11</v>
      </c>
      <c r="B205" s="17" t="s">
        <v>174</v>
      </c>
      <c r="C205" s="25" t="s">
        <v>185</v>
      </c>
      <c r="D205" s="21">
        <v>11</v>
      </c>
      <c r="E205" s="21" t="s">
        <v>10</v>
      </c>
      <c r="F205" s="76">
        <f t="shared" si="30"/>
        <v>92</v>
      </c>
      <c r="G205" s="18">
        <f t="shared" ref="G205:G252" si="34">D205*F205</f>
        <v>1012</v>
      </c>
      <c r="H205"/>
      <c r="I205"/>
      <c r="J205"/>
      <c r="K205"/>
      <c r="L205"/>
      <c r="M205" s="90">
        <v>80</v>
      </c>
      <c r="N205" s="91">
        <f t="shared" si="32"/>
        <v>1.1499999999999999</v>
      </c>
      <c r="O205" s="92">
        <f t="shared" si="33"/>
        <v>92</v>
      </c>
    </row>
    <row r="206" spans="1:15" s="22" customFormat="1">
      <c r="A206" s="17">
        <v>12</v>
      </c>
      <c r="B206" s="17"/>
      <c r="C206" s="25" t="s">
        <v>186</v>
      </c>
      <c r="D206" s="21">
        <v>11</v>
      </c>
      <c r="E206" s="21" t="s">
        <v>10</v>
      </c>
      <c r="F206" s="76">
        <f t="shared" si="30"/>
        <v>69</v>
      </c>
      <c r="G206" s="18">
        <f t="shared" si="34"/>
        <v>759</v>
      </c>
      <c r="H206"/>
      <c r="I206"/>
      <c r="J206"/>
      <c r="K206"/>
      <c r="L206"/>
      <c r="M206" s="90">
        <v>60</v>
      </c>
      <c r="N206" s="91">
        <f t="shared" si="32"/>
        <v>1.1499999999999999</v>
      </c>
      <c r="O206" s="92">
        <f t="shared" si="33"/>
        <v>69</v>
      </c>
    </row>
    <row r="207" spans="1:15" s="22" customFormat="1">
      <c r="A207" s="17">
        <v>13</v>
      </c>
      <c r="B207" s="17"/>
      <c r="C207" s="25" t="s">
        <v>187</v>
      </c>
      <c r="D207" s="21">
        <v>7</v>
      </c>
      <c r="E207" s="21" t="s">
        <v>10</v>
      </c>
      <c r="F207" s="76">
        <f t="shared" si="30"/>
        <v>172.5</v>
      </c>
      <c r="G207" s="18">
        <f t="shared" si="34"/>
        <v>1207.5</v>
      </c>
      <c r="H207"/>
      <c r="I207"/>
      <c r="J207"/>
      <c r="K207"/>
      <c r="L207"/>
      <c r="M207" s="90">
        <v>150</v>
      </c>
      <c r="N207" s="91">
        <f t="shared" si="32"/>
        <v>1.1499999999999999</v>
      </c>
      <c r="O207" s="92">
        <f t="shared" si="33"/>
        <v>172.5</v>
      </c>
    </row>
    <row r="208" spans="1:15" s="22" customFormat="1">
      <c r="A208" s="17">
        <v>14</v>
      </c>
      <c r="B208" s="17" t="s">
        <v>188</v>
      </c>
      <c r="C208" s="25" t="s">
        <v>189</v>
      </c>
      <c r="D208" s="21">
        <v>3</v>
      </c>
      <c r="E208" s="21" t="s">
        <v>10</v>
      </c>
      <c r="F208" s="76">
        <f t="shared" si="30"/>
        <v>172.5</v>
      </c>
      <c r="G208" s="18">
        <f t="shared" si="34"/>
        <v>517.5</v>
      </c>
      <c r="H208"/>
      <c r="I208"/>
      <c r="J208"/>
      <c r="K208"/>
      <c r="L208"/>
      <c r="M208" s="90">
        <v>150</v>
      </c>
      <c r="N208" s="91">
        <f t="shared" si="32"/>
        <v>1.1499999999999999</v>
      </c>
      <c r="O208" s="92">
        <f t="shared" si="33"/>
        <v>172.5</v>
      </c>
    </row>
    <row r="209" spans="1:15" s="22" customFormat="1">
      <c r="A209" s="17">
        <v>15</v>
      </c>
      <c r="B209" s="17"/>
      <c r="C209" s="25" t="s">
        <v>190</v>
      </c>
      <c r="D209" s="21">
        <v>7</v>
      </c>
      <c r="E209" s="21" t="s">
        <v>10</v>
      </c>
      <c r="F209" s="76">
        <f t="shared" si="30"/>
        <v>229.99999999999997</v>
      </c>
      <c r="G209" s="18">
        <f t="shared" si="34"/>
        <v>1609.9999999999998</v>
      </c>
      <c r="H209"/>
      <c r="I209"/>
      <c r="J209"/>
      <c r="K209"/>
      <c r="L209"/>
      <c r="M209" s="90">
        <v>200</v>
      </c>
      <c r="N209" s="91">
        <f t="shared" si="32"/>
        <v>1.1499999999999999</v>
      </c>
      <c r="O209" s="92">
        <f t="shared" si="33"/>
        <v>229.99999999999997</v>
      </c>
    </row>
    <row r="210" spans="1:15" s="22" customFormat="1">
      <c r="A210" s="17">
        <v>16</v>
      </c>
      <c r="B210" s="17" t="s">
        <v>191</v>
      </c>
      <c r="C210" s="25" t="s">
        <v>192</v>
      </c>
      <c r="D210" s="21">
        <v>3</v>
      </c>
      <c r="E210" s="21" t="s">
        <v>10</v>
      </c>
      <c r="F210" s="76">
        <f t="shared" si="30"/>
        <v>69</v>
      </c>
      <c r="G210" s="18">
        <f t="shared" si="34"/>
        <v>207</v>
      </c>
      <c r="H210"/>
      <c r="I210"/>
      <c r="J210"/>
      <c r="K210"/>
      <c r="L210"/>
      <c r="M210" s="90">
        <v>60</v>
      </c>
      <c r="N210" s="91">
        <f t="shared" si="32"/>
        <v>1.1499999999999999</v>
      </c>
      <c r="O210" s="92">
        <f t="shared" si="33"/>
        <v>69</v>
      </c>
    </row>
    <row r="211" spans="1:15" s="22" customFormat="1">
      <c r="A211" s="17">
        <v>17</v>
      </c>
      <c r="B211" s="17" t="s">
        <v>193</v>
      </c>
      <c r="C211" s="25" t="s">
        <v>285</v>
      </c>
      <c r="D211" s="21">
        <v>10</v>
      </c>
      <c r="E211" s="21" t="s">
        <v>10</v>
      </c>
      <c r="F211" s="76">
        <f t="shared" si="30"/>
        <v>229.99999999999997</v>
      </c>
      <c r="G211" s="18">
        <f t="shared" si="34"/>
        <v>2299.9999999999995</v>
      </c>
      <c r="H211"/>
      <c r="I211"/>
      <c r="J211"/>
      <c r="K211"/>
      <c r="L211"/>
      <c r="M211" s="90">
        <v>200</v>
      </c>
      <c r="N211" s="91">
        <f t="shared" si="32"/>
        <v>1.1499999999999999</v>
      </c>
      <c r="O211" s="92">
        <f t="shared" si="33"/>
        <v>229.99999999999997</v>
      </c>
    </row>
    <row r="212" spans="1:15" s="22" customFormat="1">
      <c r="A212" s="17">
        <v>18</v>
      </c>
      <c r="B212" s="17"/>
      <c r="C212" s="25" t="s">
        <v>194</v>
      </c>
      <c r="D212" s="21">
        <v>10</v>
      </c>
      <c r="E212" s="21" t="s">
        <v>73</v>
      </c>
      <c r="F212" s="76">
        <f t="shared" si="30"/>
        <v>517.5</v>
      </c>
      <c r="G212" s="18">
        <f t="shared" si="34"/>
        <v>5175</v>
      </c>
      <c r="H212"/>
      <c r="I212"/>
      <c r="J212"/>
      <c r="K212"/>
      <c r="L212"/>
      <c r="M212" s="90">
        <v>450</v>
      </c>
      <c r="N212" s="91">
        <f t="shared" si="32"/>
        <v>1.1499999999999999</v>
      </c>
      <c r="O212" s="92">
        <f t="shared" si="33"/>
        <v>517.5</v>
      </c>
    </row>
    <row r="213" spans="1:15" s="22" customFormat="1">
      <c r="A213" s="17">
        <v>19</v>
      </c>
      <c r="B213" s="17"/>
      <c r="C213" s="25" t="s">
        <v>195</v>
      </c>
      <c r="D213" s="21">
        <v>10</v>
      </c>
      <c r="E213" s="21" t="s">
        <v>14</v>
      </c>
      <c r="F213" s="76">
        <f t="shared" si="30"/>
        <v>28.749999999999996</v>
      </c>
      <c r="G213" s="18">
        <f t="shared" si="34"/>
        <v>287.49999999999994</v>
      </c>
      <c r="H213"/>
      <c r="I213"/>
      <c r="J213"/>
      <c r="K213"/>
      <c r="L213"/>
      <c r="M213" s="90">
        <v>25</v>
      </c>
      <c r="N213" s="91">
        <f t="shared" si="32"/>
        <v>1.1499999999999999</v>
      </c>
      <c r="O213" s="92">
        <f t="shared" si="33"/>
        <v>28.749999999999996</v>
      </c>
    </row>
    <row r="214" spans="1:15" s="22" customFormat="1">
      <c r="A214" s="17">
        <v>20</v>
      </c>
      <c r="B214" s="17"/>
      <c r="C214" s="25" t="s">
        <v>196</v>
      </c>
      <c r="D214" s="21">
        <v>13</v>
      </c>
      <c r="E214" s="21" t="s">
        <v>10</v>
      </c>
      <c r="F214" s="76">
        <f t="shared" si="30"/>
        <v>529</v>
      </c>
      <c r="G214" s="18">
        <f t="shared" si="34"/>
        <v>6877</v>
      </c>
      <c r="H214"/>
      <c r="I214"/>
      <c r="J214"/>
      <c r="K214"/>
      <c r="L214"/>
      <c r="M214" s="90">
        <v>460</v>
      </c>
      <c r="N214" s="91">
        <f t="shared" si="32"/>
        <v>1.1499999999999999</v>
      </c>
      <c r="O214" s="92">
        <f t="shared" si="33"/>
        <v>529</v>
      </c>
    </row>
    <row r="215" spans="1:15" s="22" customFormat="1">
      <c r="A215" s="17">
        <v>21</v>
      </c>
      <c r="B215" s="17"/>
      <c r="C215" s="25" t="s">
        <v>282</v>
      </c>
      <c r="D215" s="21">
        <v>26</v>
      </c>
      <c r="E215" s="21" t="s">
        <v>10</v>
      </c>
      <c r="F215" s="76">
        <f t="shared" si="30"/>
        <v>575</v>
      </c>
      <c r="G215" s="18">
        <f t="shared" si="34"/>
        <v>14950</v>
      </c>
      <c r="H215"/>
      <c r="I215"/>
      <c r="J215"/>
      <c r="K215"/>
      <c r="L215"/>
      <c r="M215" s="90">
        <v>500</v>
      </c>
      <c r="N215" s="91">
        <f t="shared" si="32"/>
        <v>1.1499999999999999</v>
      </c>
      <c r="O215" s="92">
        <f t="shared" si="33"/>
        <v>575</v>
      </c>
    </row>
    <row r="216" spans="1:15" s="22" customFormat="1">
      <c r="A216" s="17">
        <v>22</v>
      </c>
      <c r="B216" s="17"/>
      <c r="C216" s="25" t="s">
        <v>197</v>
      </c>
      <c r="D216" s="21">
        <v>1</v>
      </c>
      <c r="E216" s="21" t="s">
        <v>10</v>
      </c>
      <c r="F216" s="76">
        <f t="shared" si="30"/>
        <v>402.49999999999994</v>
      </c>
      <c r="G216" s="18">
        <f t="shared" si="34"/>
        <v>402.49999999999994</v>
      </c>
      <c r="H216"/>
      <c r="I216"/>
      <c r="J216"/>
      <c r="K216"/>
      <c r="L216"/>
      <c r="M216" s="90">
        <v>350</v>
      </c>
      <c r="N216" s="91">
        <f t="shared" si="32"/>
        <v>1.1499999999999999</v>
      </c>
      <c r="O216" s="92">
        <f t="shared" si="33"/>
        <v>402.49999999999994</v>
      </c>
    </row>
    <row r="217" spans="1:15" s="22" customFormat="1">
      <c r="A217" s="17">
        <v>23</v>
      </c>
      <c r="B217" s="17"/>
      <c r="C217" s="25" t="s">
        <v>198</v>
      </c>
      <c r="D217" s="21">
        <v>1</v>
      </c>
      <c r="E217" s="21" t="s">
        <v>75</v>
      </c>
      <c r="F217" s="76">
        <f t="shared" si="30"/>
        <v>690</v>
      </c>
      <c r="G217" s="18">
        <f t="shared" si="34"/>
        <v>690</v>
      </c>
      <c r="H217"/>
      <c r="I217"/>
      <c r="J217"/>
      <c r="K217"/>
      <c r="L217"/>
      <c r="M217" s="90">
        <v>600</v>
      </c>
      <c r="N217" s="91">
        <f t="shared" si="32"/>
        <v>1.1499999999999999</v>
      </c>
      <c r="O217" s="92">
        <f t="shared" si="33"/>
        <v>690</v>
      </c>
    </row>
    <row r="218" spans="1:15" s="22" customFormat="1">
      <c r="A218" s="17">
        <v>24</v>
      </c>
      <c r="B218" s="17" t="s">
        <v>199</v>
      </c>
      <c r="C218" s="25" t="s">
        <v>200</v>
      </c>
      <c r="D218" s="21">
        <v>40</v>
      </c>
      <c r="E218" s="21" t="s">
        <v>10</v>
      </c>
      <c r="F218" s="76">
        <f t="shared" si="30"/>
        <v>114.99999999999999</v>
      </c>
      <c r="G218" s="18">
        <f t="shared" si="34"/>
        <v>4599.9999999999991</v>
      </c>
      <c r="H218"/>
      <c r="I218"/>
      <c r="J218"/>
      <c r="K218"/>
      <c r="L218"/>
      <c r="M218" s="90">
        <v>100</v>
      </c>
      <c r="N218" s="91">
        <f t="shared" si="32"/>
        <v>1.1499999999999999</v>
      </c>
      <c r="O218" s="92">
        <f t="shared" si="33"/>
        <v>114.99999999999999</v>
      </c>
    </row>
    <row r="219" spans="1:15" s="22" customFormat="1">
      <c r="A219" s="17">
        <v>25</v>
      </c>
      <c r="B219" s="17" t="s">
        <v>201</v>
      </c>
      <c r="C219" s="25" t="s">
        <v>202</v>
      </c>
      <c r="D219" s="21">
        <v>40</v>
      </c>
      <c r="E219" s="21" t="s">
        <v>10</v>
      </c>
      <c r="F219" s="76">
        <f t="shared" si="30"/>
        <v>69</v>
      </c>
      <c r="G219" s="18">
        <f t="shared" si="34"/>
        <v>2760</v>
      </c>
      <c r="H219"/>
      <c r="I219"/>
      <c r="J219"/>
      <c r="K219"/>
      <c r="L219"/>
      <c r="M219" s="90">
        <v>60</v>
      </c>
      <c r="N219" s="91">
        <f t="shared" si="32"/>
        <v>1.1499999999999999</v>
      </c>
      <c r="O219" s="92">
        <f t="shared" si="33"/>
        <v>69</v>
      </c>
    </row>
    <row r="220" spans="1:15" s="22" customFormat="1">
      <c r="A220" s="17">
        <v>26</v>
      </c>
      <c r="B220" s="17" t="s">
        <v>203</v>
      </c>
      <c r="C220" s="25" t="s">
        <v>204</v>
      </c>
      <c r="D220" s="21">
        <v>40</v>
      </c>
      <c r="E220" s="21" t="s">
        <v>10</v>
      </c>
      <c r="F220" s="76">
        <f t="shared" si="30"/>
        <v>49.449999999999996</v>
      </c>
      <c r="G220" s="18">
        <f t="shared" si="34"/>
        <v>1977.9999999999998</v>
      </c>
      <c r="H220"/>
      <c r="I220"/>
      <c r="J220"/>
      <c r="K220"/>
      <c r="L220"/>
      <c r="M220" s="90">
        <v>43</v>
      </c>
      <c r="N220" s="91">
        <f t="shared" si="32"/>
        <v>1.1499999999999999</v>
      </c>
      <c r="O220" s="92">
        <f t="shared" si="33"/>
        <v>49.449999999999996</v>
      </c>
    </row>
    <row r="221" spans="1:15" s="22" customFormat="1">
      <c r="A221" s="17">
        <v>27</v>
      </c>
      <c r="B221" s="17" t="s">
        <v>205</v>
      </c>
      <c r="C221" s="25" t="s">
        <v>206</v>
      </c>
      <c r="D221" s="21">
        <v>40</v>
      </c>
      <c r="E221" s="21" t="s">
        <v>10</v>
      </c>
      <c r="F221" s="76">
        <f t="shared" si="30"/>
        <v>23</v>
      </c>
      <c r="G221" s="18">
        <f t="shared" si="34"/>
        <v>920</v>
      </c>
      <c r="H221"/>
      <c r="I221"/>
      <c r="J221"/>
      <c r="K221"/>
      <c r="L221"/>
      <c r="M221" s="90">
        <v>20</v>
      </c>
      <c r="N221" s="91">
        <f t="shared" si="32"/>
        <v>1.1499999999999999</v>
      </c>
      <c r="O221" s="92">
        <f t="shared" si="33"/>
        <v>23</v>
      </c>
    </row>
    <row r="222" spans="1:15" s="22" customFormat="1">
      <c r="A222" s="17">
        <v>28</v>
      </c>
      <c r="B222" s="17" t="s">
        <v>207</v>
      </c>
      <c r="C222" s="25" t="s">
        <v>208</v>
      </c>
      <c r="D222" s="21">
        <v>4</v>
      </c>
      <c r="E222" s="21" t="s">
        <v>10</v>
      </c>
      <c r="F222" s="76">
        <f t="shared" si="30"/>
        <v>172.5</v>
      </c>
      <c r="G222" s="18">
        <f t="shared" si="34"/>
        <v>690</v>
      </c>
      <c r="H222"/>
      <c r="I222"/>
      <c r="J222"/>
      <c r="K222"/>
      <c r="L222"/>
      <c r="M222" s="90">
        <v>150</v>
      </c>
      <c r="N222" s="91">
        <f t="shared" si="32"/>
        <v>1.1499999999999999</v>
      </c>
      <c r="O222" s="92">
        <f t="shared" si="33"/>
        <v>172.5</v>
      </c>
    </row>
    <row r="223" spans="1:15" s="22" customFormat="1">
      <c r="A223" s="17">
        <v>29</v>
      </c>
      <c r="B223" s="17"/>
      <c r="C223" s="25" t="s">
        <v>209</v>
      </c>
      <c r="D223" s="21">
        <v>2</v>
      </c>
      <c r="E223" s="21" t="s">
        <v>10</v>
      </c>
      <c r="F223" s="76">
        <f t="shared" si="30"/>
        <v>287.5</v>
      </c>
      <c r="G223" s="18">
        <f t="shared" si="34"/>
        <v>575</v>
      </c>
      <c r="H223"/>
      <c r="I223"/>
      <c r="J223"/>
      <c r="K223"/>
      <c r="L223"/>
      <c r="M223" s="90">
        <v>250</v>
      </c>
      <c r="N223" s="91">
        <f t="shared" si="32"/>
        <v>1.1499999999999999</v>
      </c>
      <c r="O223" s="92">
        <f t="shared" si="33"/>
        <v>287.5</v>
      </c>
    </row>
    <row r="224" spans="1:15" s="22" customFormat="1">
      <c r="A224" s="17">
        <v>30</v>
      </c>
      <c r="B224" s="17"/>
      <c r="C224" s="25"/>
      <c r="D224" s="21"/>
      <c r="E224" s="21"/>
      <c r="F224" s="76">
        <f t="shared" si="30"/>
        <v>172.5</v>
      </c>
      <c r="G224" s="18"/>
      <c r="H224"/>
      <c r="I224"/>
      <c r="J224"/>
      <c r="K224"/>
      <c r="L224"/>
      <c r="M224" s="90">
        <v>150</v>
      </c>
      <c r="N224" s="91">
        <f t="shared" si="32"/>
        <v>1.1499999999999999</v>
      </c>
      <c r="O224" s="92">
        <f t="shared" si="33"/>
        <v>172.5</v>
      </c>
    </row>
    <row r="225" spans="1:15" s="22" customFormat="1">
      <c r="A225" s="17">
        <v>31</v>
      </c>
      <c r="B225" s="17" t="s">
        <v>120</v>
      </c>
      <c r="C225" s="25" t="s">
        <v>121</v>
      </c>
      <c r="D225" s="21">
        <v>286</v>
      </c>
      <c r="E225" s="21" t="s">
        <v>122</v>
      </c>
      <c r="F225" s="76">
        <f t="shared" si="30"/>
        <v>11.5</v>
      </c>
      <c r="G225" s="18">
        <f t="shared" si="34"/>
        <v>3289</v>
      </c>
      <c r="H225"/>
      <c r="I225"/>
      <c r="J225"/>
      <c r="K225"/>
      <c r="L225"/>
      <c r="M225" s="90">
        <v>10</v>
      </c>
      <c r="N225" s="91">
        <f t="shared" si="32"/>
        <v>1.1499999999999999</v>
      </c>
      <c r="O225" s="92">
        <f t="shared" si="33"/>
        <v>11.5</v>
      </c>
    </row>
    <row r="226" spans="1:15" s="22" customFormat="1">
      <c r="A226" s="17">
        <v>32</v>
      </c>
      <c r="B226" s="17" t="s">
        <v>211</v>
      </c>
      <c r="C226" s="25" t="s">
        <v>212</v>
      </c>
      <c r="D226" s="21">
        <v>46</v>
      </c>
      <c r="E226" s="21" t="s">
        <v>10</v>
      </c>
      <c r="F226" s="76">
        <f t="shared" si="30"/>
        <v>13.799999999999999</v>
      </c>
      <c r="G226" s="18">
        <f t="shared" si="34"/>
        <v>634.79999999999995</v>
      </c>
      <c r="H226"/>
      <c r="I226"/>
      <c r="J226"/>
      <c r="K226"/>
      <c r="L226"/>
      <c r="M226" s="90">
        <v>12</v>
      </c>
      <c r="N226" s="91">
        <f t="shared" si="32"/>
        <v>1.1499999999999999</v>
      </c>
      <c r="O226" s="92">
        <f t="shared" si="33"/>
        <v>13.799999999999999</v>
      </c>
    </row>
    <row r="227" spans="1:15" s="22" customFormat="1">
      <c r="A227" s="17">
        <v>33</v>
      </c>
      <c r="B227" s="17" t="s">
        <v>213</v>
      </c>
      <c r="C227" s="25" t="s">
        <v>214</v>
      </c>
      <c r="D227" s="21">
        <v>4</v>
      </c>
      <c r="E227" s="21" t="s">
        <v>10</v>
      </c>
      <c r="F227" s="76">
        <f t="shared" si="30"/>
        <v>55.199999999999996</v>
      </c>
      <c r="G227" s="18">
        <f t="shared" si="34"/>
        <v>220.79999999999998</v>
      </c>
      <c r="H227"/>
      <c r="I227"/>
      <c r="J227"/>
      <c r="K227"/>
      <c r="L227"/>
      <c r="M227" s="90">
        <v>48</v>
      </c>
      <c r="N227" s="91">
        <f t="shared" si="32"/>
        <v>1.1499999999999999</v>
      </c>
      <c r="O227" s="92">
        <f t="shared" si="33"/>
        <v>55.199999999999996</v>
      </c>
    </row>
    <row r="228" spans="1:15" s="22" customFormat="1">
      <c r="A228" s="17">
        <v>34</v>
      </c>
      <c r="B228" s="17" t="s">
        <v>215</v>
      </c>
      <c r="C228" s="25" t="s">
        <v>216</v>
      </c>
      <c r="D228" s="21">
        <v>12</v>
      </c>
      <c r="E228" s="21" t="s">
        <v>10</v>
      </c>
      <c r="F228" s="76">
        <f t="shared" si="30"/>
        <v>51.749999999999993</v>
      </c>
      <c r="G228" s="18">
        <f t="shared" si="34"/>
        <v>620.99999999999989</v>
      </c>
      <c r="H228"/>
      <c r="I228"/>
      <c r="J228"/>
      <c r="K228"/>
      <c r="L228"/>
      <c r="M228" s="90">
        <v>45</v>
      </c>
      <c r="N228" s="91">
        <f t="shared" si="32"/>
        <v>1.1499999999999999</v>
      </c>
      <c r="O228" s="92">
        <f t="shared" si="33"/>
        <v>51.749999999999993</v>
      </c>
    </row>
    <row r="229" spans="1:15" s="22" customFormat="1">
      <c r="A229" s="17">
        <v>35</v>
      </c>
      <c r="B229" s="17" t="s">
        <v>113</v>
      </c>
      <c r="C229" s="25" t="s">
        <v>217</v>
      </c>
      <c r="D229" s="21">
        <v>2</v>
      </c>
      <c r="E229" s="21" t="s">
        <v>10</v>
      </c>
      <c r="F229" s="76">
        <f t="shared" si="30"/>
        <v>69</v>
      </c>
      <c r="G229" s="18">
        <f t="shared" si="34"/>
        <v>138</v>
      </c>
      <c r="H229"/>
      <c r="I229"/>
      <c r="J229"/>
      <c r="K229"/>
      <c r="L229"/>
      <c r="M229" s="90">
        <v>60</v>
      </c>
      <c r="N229" s="91">
        <f t="shared" si="32"/>
        <v>1.1499999999999999</v>
      </c>
      <c r="O229" s="92">
        <f t="shared" si="33"/>
        <v>69</v>
      </c>
    </row>
    <row r="230" spans="1:15" s="22" customFormat="1">
      <c r="A230" s="17">
        <v>36</v>
      </c>
      <c r="B230" s="17" t="s">
        <v>114</v>
      </c>
      <c r="C230" s="25" t="s">
        <v>218</v>
      </c>
      <c r="D230" s="21">
        <v>18</v>
      </c>
      <c r="E230" s="21" t="s">
        <v>10</v>
      </c>
      <c r="F230" s="76">
        <f t="shared" si="30"/>
        <v>17.25</v>
      </c>
      <c r="G230" s="18">
        <f t="shared" si="34"/>
        <v>310.5</v>
      </c>
      <c r="H230"/>
      <c r="I230"/>
      <c r="J230"/>
      <c r="K230"/>
      <c r="L230"/>
      <c r="M230" s="90">
        <v>15</v>
      </c>
      <c r="N230" s="91">
        <f t="shared" si="32"/>
        <v>1.1499999999999999</v>
      </c>
      <c r="O230" s="92">
        <f t="shared" si="33"/>
        <v>17.25</v>
      </c>
    </row>
    <row r="231" spans="1:15" s="22" customFormat="1">
      <c r="A231" s="17">
        <v>37</v>
      </c>
      <c r="B231" s="17" t="s">
        <v>115</v>
      </c>
      <c r="C231" s="25" t="s">
        <v>219</v>
      </c>
      <c r="D231" s="21">
        <v>4</v>
      </c>
      <c r="E231" s="21" t="s">
        <v>10</v>
      </c>
      <c r="F231" s="76">
        <f t="shared" si="30"/>
        <v>56.349999999999994</v>
      </c>
      <c r="G231" s="18">
        <f t="shared" si="34"/>
        <v>225.39999999999998</v>
      </c>
      <c r="H231"/>
      <c r="I231"/>
      <c r="J231"/>
      <c r="K231"/>
      <c r="L231"/>
      <c r="M231" s="90">
        <v>49</v>
      </c>
      <c r="N231" s="91">
        <f t="shared" si="32"/>
        <v>1.1499999999999999</v>
      </c>
      <c r="O231" s="92">
        <f t="shared" si="33"/>
        <v>56.349999999999994</v>
      </c>
    </row>
    <row r="232" spans="1:15" s="22" customFormat="1">
      <c r="A232" s="17">
        <v>38</v>
      </c>
      <c r="B232" s="17"/>
      <c r="C232" s="25" t="s">
        <v>220</v>
      </c>
      <c r="D232" s="21">
        <v>20</v>
      </c>
      <c r="E232" s="21" t="s">
        <v>10</v>
      </c>
      <c r="F232" s="76">
        <f t="shared" si="30"/>
        <v>172.5</v>
      </c>
      <c r="G232" s="18">
        <f t="shared" si="34"/>
        <v>3450</v>
      </c>
      <c r="H232"/>
      <c r="I232"/>
      <c r="J232"/>
      <c r="K232"/>
      <c r="L232"/>
      <c r="M232" s="90">
        <v>150</v>
      </c>
      <c r="N232" s="91">
        <f t="shared" si="32"/>
        <v>1.1499999999999999</v>
      </c>
      <c r="O232" s="92">
        <f t="shared" si="33"/>
        <v>172.5</v>
      </c>
    </row>
    <row r="233" spans="1:15" s="22" customFormat="1">
      <c r="A233" s="17">
        <v>39</v>
      </c>
      <c r="B233" s="17"/>
      <c r="C233" s="25" t="s">
        <v>221</v>
      </c>
      <c r="D233" s="21">
        <v>20</v>
      </c>
      <c r="E233" s="21" t="s">
        <v>10</v>
      </c>
      <c r="F233" s="76">
        <f t="shared" si="30"/>
        <v>69</v>
      </c>
      <c r="G233" s="18">
        <f t="shared" si="34"/>
        <v>1380</v>
      </c>
      <c r="H233"/>
      <c r="I233"/>
      <c r="J233"/>
      <c r="K233"/>
      <c r="L233"/>
      <c r="M233" s="90">
        <v>60</v>
      </c>
      <c r="N233" s="91">
        <f t="shared" si="32"/>
        <v>1.1499999999999999</v>
      </c>
      <c r="O233" s="92">
        <f t="shared" si="33"/>
        <v>69</v>
      </c>
    </row>
    <row r="234" spans="1:15" s="22" customFormat="1">
      <c r="A234" s="17">
        <v>40</v>
      </c>
      <c r="B234" s="17" t="s">
        <v>222</v>
      </c>
      <c r="C234" s="25" t="s">
        <v>223</v>
      </c>
      <c r="D234" s="21">
        <v>2145</v>
      </c>
      <c r="E234" s="21" t="s">
        <v>14</v>
      </c>
      <c r="F234" s="76">
        <f t="shared" si="30"/>
        <v>18.399999999999999</v>
      </c>
      <c r="G234" s="18">
        <f t="shared" si="34"/>
        <v>39468</v>
      </c>
      <c r="H234"/>
      <c r="I234"/>
      <c r="J234"/>
      <c r="K234"/>
      <c r="L234"/>
      <c r="M234" s="90">
        <v>16</v>
      </c>
      <c r="N234" s="91">
        <f t="shared" si="32"/>
        <v>1.1499999999999999</v>
      </c>
      <c r="O234" s="92">
        <f t="shared" si="33"/>
        <v>18.399999999999999</v>
      </c>
    </row>
    <row r="235" spans="1:15" s="22" customFormat="1">
      <c r="A235" s="17">
        <v>41</v>
      </c>
      <c r="B235" s="17" t="s">
        <v>110</v>
      </c>
      <c r="C235" s="25" t="s">
        <v>224</v>
      </c>
      <c r="D235" s="21">
        <v>126</v>
      </c>
      <c r="E235" s="21" t="s">
        <v>14</v>
      </c>
      <c r="F235" s="76">
        <f t="shared" si="30"/>
        <v>16.099999999999998</v>
      </c>
      <c r="G235" s="18">
        <f t="shared" si="34"/>
        <v>2028.5999999999997</v>
      </c>
      <c r="H235"/>
      <c r="I235"/>
      <c r="J235"/>
      <c r="K235"/>
      <c r="L235"/>
      <c r="M235" s="90">
        <v>14</v>
      </c>
      <c r="N235" s="91">
        <f t="shared" si="32"/>
        <v>1.1499999999999999</v>
      </c>
      <c r="O235" s="92">
        <f t="shared" si="33"/>
        <v>16.099999999999998</v>
      </c>
    </row>
    <row r="236" spans="1:15" s="22" customFormat="1">
      <c r="A236" s="17">
        <v>42</v>
      </c>
      <c r="B236" s="17" t="s">
        <v>225</v>
      </c>
      <c r="C236" s="25" t="s">
        <v>226</v>
      </c>
      <c r="D236" s="21">
        <v>126</v>
      </c>
      <c r="E236" s="21" t="s">
        <v>14</v>
      </c>
      <c r="F236" s="76">
        <f t="shared" si="30"/>
        <v>16.099999999999998</v>
      </c>
      <c r="G236" s="18">
        <f t="shared" si="34"/>
        <v>2028.5999999999997</v>
      </c>
      <c r="H236"/>
      <c r="I236"/>
      <c r="J236"/>
      <c r="K236"/>
      <c r="L236"/>
      <c r="M236" s="90">
        <v>14</v>
      </c>
      <c r="N236" s="91">
        <f t="shared" si="32"/>
        <v>1.1499999999999999</v>
      </c>
      <c r="O236" s="92">
        <f t="shared" si="33"/>
        <v>16.099999999999998</v>
      </c>
    </row>
    <row r="237" spans="1:15" s="22" customFormat="1">
      <c r="A237" s="17">
        <v>43</v>
      </c>
      <c r="B237" s="17" t="s">
        <v>227</v>
      </c>
      <c r="C237" s="25" t="s">
        <v>228</v>
      </c>
      <c r="D237" s="21">
        <v>32</v>
      </c>
      <c r="E237" s="21" t="s">
        <v>10</v>
      </c>
      <c r="F237" s="76">
        <f t="shared" si="30"/>
        <v>94.3</v>
      </c>
      <c r="G237" s="18">
        <f t="shared" si="34"/>
        <v>3017.6</v>
      </c>
      <c r="H237"/>
      <c r="I237"/>
      <c r="J237"/>
      <c r="K237"/>
      <c r="L237"/>
      <c r="M237" s="90">
        <v>82</v>
      </c>
      <c r="N237" s="91">
        <f t="shared" si="32"/>
        <v>1.1499999999999999</v>
      </c>
      <c r="O237" s="92">
        <f t="shared" si="33"/>
        <v>94.3</v>
      </c>
    </row>
    <row r="238" spans="1:15" s="22" customFormat="1">
      <c r="A238" s="17">
        <v>44</v>
      </c>
      <c r="B238" s="17" t="s">
        <v>229</v>
      </c>
      <c r="C238" s="25" t="s">
        <v>230</v>
      </c>
      <c r="D238" s="21">
        <v>92</v>
      </c>
      <c r="E238" s="21" t="s">
        <v>10</v>
      </c>
      <c r="F238" s="76">
        <f t="shared" si="30"/>
        <v>87.399999999999991</v>
      </c>
      <c r="G238" s="18">
        <f t="shared" si="34"/>
        <v>8040.7999999999993</v>
      </c>
      <c r="H238"/>
      <c r="I238"/>
      <c r="J238"/>
      <c r="K238"/>
      <c r="L238"/>
      <c r="M238" s="90">
        <v>76</v>
      </c>
      <c r="N238" s="91">
        <f t="shared" si="32"/>
        <v>1.1499999999999999</v>
      </c>
      <c r="O238" s="92">
        <f t="shared" si="33"/>
        <v>87.399999999999991</v>
      </c>
    </row>
    <row r="239" spans="1:15" s="22" customFormat="1">
      <c r="A239" s="17">
        <v>45</v>
      </c>
      <c r="B239" s="17" t="s">
        <v>111</v>
      </c>
      <c r="C239" s="25" t="s">
        <v>231</v>
      </c>
      <c r="D239" s="21">
        <v>32</v>
      </c>
      <c r="E239" s="21" t="s">
        <v>10</v>
      </c>
      <c r="F239" s="76">
        <f t="shared" si="30"/>
        <v>59.8</v>
      </c>
      <c r="G239" s="18">
        <f t="shared" si="34"/>
        <v>1913.6</v>
      </c>
      <c r="H239"/>
      <c r="I239"/>
      <c r="J239"/>
      <c r="K239"/>
      <c r="L239"/>
      <c r="M239" s="90">
        <v>52</v>
      </c>
      <c r="N239" s="91">
        <f t="shared" si="32"/>
        <v>1.1499999999999999</v>
      </c>
      <c r="O239" s="92">
        <f t="shared" si="33"/>
        <v>59.8</v>
      </c>
    </row>
    <row r="240" spans="1:15" s="22" customFormat="1">
      <c r="A240" s="17">
        <v>46</v>
      </c>
      <c r="B240" s="17" t="s">
        <v>232</v>
      </c>
      <c r="C240" s="25" t="s">
        <v>283</v>
      </c>
      <c r="D240" s="21">
        <v>3432</v>
      </c>
      <c r="E240" s="21" t="s">
        <v>14</v>
      </c>
      <c r="F240" s="76">
        <f t="shared" si="30"/>
        <v>16.099999999999998</v>
      </c>
      <c r="G240" s="18">
        <f t="shared" si="34"/>
        <v>55255.19999999999</v>
      </c>
      <c r="H240"/>
      <c r="I240"/>
      <c r="J240"/>
      <c r="K240"/>
      <c r="L240"/>
      <c r="M240" s="90">
        <v>14</v>
      </c>
      <c r="N240" s="91">
        <f t="shared" si="32"/>
        <v>1.1499999999999999</v>
      </c>
      <c r="O240" s="92">
        <f t="shared" si="33"/>
        <v>16.099999999999998</v>
      </c>
    </row>
    <row r="241" spans="1:15" s="22" customFormat="1">
      <c r="A241" s="17">
        <v>47</v>
      </c>
      <c r="B241" s="17" t="s">
        <v>233</v>
      </c>
      <c r="C241" s="25" t="s">
        <v>234</v>
      </c>
      <c r="D241" s="21">
        <v>52</v>
      </c>
      <c r="E241" s="21" t="s">
        <v>10</v>
      </c>
      <c r="F241" s="76">
        <f t="shared" si="30"/>
        <v>74.75</v>
      </c>
      <c r="G241" s="18">
        <f t="shared" si="34"/>
        <v>3887</v>
      </c>
      <c r="H241"/>
      <c r="I241"/>
      <c r="J241"/>
      <c r="K241"/>
      <c r="L241"/>
      <c r="M241" s="90">
        <v>65</v>
      </c>
      <c r="N241" s="91">
        <f t="shared" si="32"/>
        <v>1.1499999999999999</v>
      </c>
      <c r="O241" s="92">
        <f t="shared" si="33"/>
        <v>74.75</v>
      </c>
    </row>
    <row r="242" spans="1:15" s="22" customFormat="1">
      <c r="A242" s="17">
        <v>48</v>
      </c>
      <c r="B242" s="17"/>
      <c r="C242" s="25" t="s">
        <v>76</v>
      </c>
      <c r="D242" s="21">
        <v>12</v>
      </c>
      <c r="E242" s="21" t="s">
        <v>73</v>
      </c>
      <c r="F242" s="76">
        <f t="shared" si="30"/>
        <v>517.5</v>
      </c>
      <c r="G242" s="18">
        <f t="shared" si="34"/>
        <v>6210</v>
      </c>
      <c r="H242"/>
      <c r="I242"/>
      <c r="J242"/>
      <c r="K242"/>
      <c r="L242"/>
      <c r="M242" s="90">
        <v>450</v>
      </c>
      <c r="N242" s="91">
        <f t="shared" si="32"/>
        <v>1.1499999999999999</v>
      </c>
      <c r="O242" s="92">
        <f t="shared" si="33"/>
        <v>517.5</v>
      </c>
    </row>
    <row r="243" spans="1:15" s="22" customFormat="1">
      <c r="A243" s="17">
        <v>49</v>
      </c>
      <c r="B243" s="17"/>
      <c r="C243" s="25" t="s">
        <v>77</v>
      </c>
      <c r="D243" s="21">
        <v>12</v>
      </c>
      <c r="E243" s="21" t="s">
        <v>73</v>
      </c>
      <c r="F243" s="76">
        <f t="shared" si="30"/>
        <v>517.5</v>
      </c>
      <c r="G243" s="18">
        <f t="shared" si="34"/>
        <v>6210</v>
      </c>
      <c r="H243"/>
      <c r="I243"/>
      <c r="J243"/>
      <c r="K243"/>
      <c r="L243"/>
      <c r="M243" s="90">
        <v>450</v>
      </c>
      <c r="N243" s="91">
        <f t="shared" si="32"/>
        <v>1.1499999999999999</v>
      </c>
      <c r="O243" s="92">
        <f t="shared" si="33"/>
        <v>517.5</v>
      </c>
    </row>
    <row r="244" spans="1:15" s="22" customFormat="1">
      <c r="A244" s="17">
        <v>50</v>
      </c>
      <c r="B244" s="17"/>
      <c r="C244" s="25" t="s">
        <v>235</v>
      </c>
      <c r="D244" s="21">
        <v>8</v>
      </c>
      <c r="E244" s="21" t="s">
        <v>73</v>
      </c>
      <c r="F244" s="76">
        <f t="shared" si="30"/>
        <v>517.5</v>
      </c>
      <c r="G244" s="18">
        <f t="shared" si="34"/>
        <v>4140</v>
      </c>
      <c r="H244"/>
      <c r="I244"/>
      <c r="J244"/>
      <c r="K244"/>
      <c r="L244"/>
      <c r="M244" s="90">
        <v>450</v>
      </c>
      <c r="N244" s="91">
        <f t="shared" si="32"/>
        <v>1.1499999999999999</v>
      </c>
      <c r="O244" s="92">
        <f t="shared" si="33"/>
        <v>517.5</v>
      </c>
    </row>
    <row r="245" spans="1:15" s="22" customFormat="1">
      <c r="A245" s="17">
        <v>51</v>
      </c>
      <c r="B245" s="17"/>
      <c r="C245" s="25" t="s">
        <v>236</v>
      </c>
      <c r="D245" s="21">
        <v>7</v>
      </c>
      <c r="E245" s="21" t="s">
        <v>237</v>
      </c>
      <c r="F245" s="76">
        <f t="shared" si="30"/>
        <v>1724.9999999999998</v>
      </c>
      <c r="G245" s="18">
        <f t="shared" si="34"/>
        <v>12074.999999999998</v>
      </c>
      <c r="H245"/>
      <c r="I245"/>
      <c r="J245"/>
      <c r="K245"/>
      <c r="L245"/>
      <c r="M245" s="90">
        <v>1500</v>
      </c>
      <c r="N245" s="91">
        <f t="shared" si="32"/>
        <v>1.1499999999999999</v>
      </c>
      <c r="O245" s="92">
        <f t="shared" si="33"/>
        <v>1724.9999999999998</v>
      </c>
    </row>
    <row r="246" spans="1:15" s="22" customFormat="1">
      <c r="A246" s="17">
        <v>52</v>
      </c>
      <c r="B246" s="17"/>
      <c r="C246" s="25" t="s">
        <v>238</v>
      </c>
      <c r="D246" s="21">
        <v>8</v>
      </c>
      <c r="E246" s="21" t="s">
        <v>73</v>
      </c>
      <c r="F246" s="76">
        <f t="shared" si="30"/>
        <v>977.49999999999989</v>
      </c>
      <c r="G246" s="18">
        <f t="shared" si="34"/>
        <v>7819.9999999999991</v>
      </c>
      <c r="H246"/>
      <c r="I246"/>
      <c r="J246"/>
      <c r="K246"/>
      <c r="L246"/>
      <c r="M246" s="90">
        <v>850</v>
      </c>
      <c r="N246" s="91">
        <f t="shared" si="32"/>
        <v>1.1499999999999999</v>
      </c>
      <c r="O246" s="92">
        <f t="shared" si="33"/>
        <v>977.49999999999989</v>
      </c>
    </row>
    <row r="247" spans="1:15" s="22" customFormat="1">
      <c r="A247" s="17">
        <v>53</v>
      </c>
      <c r="B247" s="17" t="s">
        <v>191</v>
      </c>
      <c r="C247" s="25" t="s">
        <v>239</v>
      </c>
      <c r="D247" s="21">
        <v>1</v>
      </c>
      <c r="E247" s="21" t="s">
        <v>10</v>
      </c>
      <c r="F247" s="76">
        <f t="shared" si="30"/>
        <v>402.49999999999994</v>
      </c>
      <c r="G247" s="18">
        <f t="shared" si="34"/>
        <v>402.49999999999994</v>
      </c>
      <c r="H247"/>
      <c r="I247"/>
      <c r="J247"/>
      <c r="K247"/>
      <c r="L247"/>
      <c r="M247" s="90">
        <v>350</v>
      </c>
      <c r="N247" s="91">
        <f t="shared" si="32"/>
        <v>1.1499999999999999</v>
      </c>
      <c r="O247" s="92">
        <f t="shared" si="33"/>
        <v>402.49999999999994</v>
      </c>
    </row>
    <row r="248" spans="1:15" s="22" customFormat="1">
      <c r="A248" s="17">
        <v>54</v>
      </c>
      <c r="B248" s="17" t="s">
        <v>240</v>
      </c>
      <c r="C248" s="25" t="s">
        <v>241</v>
      </c>
      <c r="D248" s="21">
        <v>3</v>
      </c>
      <c r="E248" s="21" t="s">
        <v>10</v>
      </c>
      <c r="F248" s="76">
        <f t="shared" si="30"/>
        <v>345</v>
      </c>
      <c r="G248" s="18">
        <f t="shared" si="34"/>
        <v>1035</v>
      </c>
      <c r="H248"/>
      <c r="I248"/>
      <c r="J248"/>
      <c r="K248"/>
      <c r="L248"/>
      <c r="M248" s="90">
        <v>300</v>
      </c>
      <c r="N248" s="91">
        <f t="shared" si="32"/>
        <v>1.1499999999999999</v>
      </c>
      <c r="O248" s="92">
        <f t="shared" si="33"/>
        <v>345</v>
      </c>
    </row>
    <row r="249" spans="1:15" s="22" customFormat="1">
      <c r="A249" s="17">
        <v>55</v>
      </c>
      <c r="B249" s="17" t="s">
        <v>242</v>
      </c>
      <c r="C249" s="25" t="s">
        <v>243</v>
      </c>
      <c r="D249" s="21">
        <v>3</v>
      </c>
      <c r="E249" s="21" t="s">
        <v>10</v>
      </c>
      <c r="F249" s="76">
        <f t="shared" si="30"/>
        <v>252.99999999999997</v>
      </c>
      <c r="G249" s="18">
        <f t="shared" si="34"/>
        <v>758.99999999999989</v>
      </c>
      <c r="H249"/>
      <c r="I249"/>
      <c r="J249"/>
      <c r="K249"/>
      <c r="L249"/>
      <c r="M249" s="90">
        <v>220</v>
      </c>
      <c r="N249" s="91">
        <f t="shared" si="32"/>
        <v>1.1499999999999999</v>
      </c>
      <c r="O249" s="92">
        <f t="shared" si="33"/>
        <v>252.99999999999997</v>
      </c>
    </row>
    <row r="250" spans="1:15" s="22" customFormat="1">
      <c r="A250" s="17">
        <v>56</v>
      </c>
      <c r="B250" s="17" t="s">
        <v>244</v>
      </c>
      <c r="C250" s="25" t="s">
        <v>284</v>
      </c>
      <c r="D250" s="17">
        <v>1716</v>
      </c>
      <c r="E250" s="21" t="s">
        <v>14</v>
      </c>
      <c r="F250" s="76">
        <f t="shared" si="30"/>
        <v>28.749999999999996</v>
      </c>
      <c r="G250" s="18">
        <f t="shared" si="34"/>
        <v>49334.999999999993</v>
      </c>
      <c r="H250"/>
      <c r="I250"/>
      <c r="J250"/>
      <c r="K250"/>
      <c r="L250"/>
      <c r="M250" s="90">
        <v>25</v>
      </c>
      <c r="N250" s="91">
        <f t="shared" si="32"/>
        <v>1.1499999999999999</v>
      </c>
      <c r="O250" s="92">
        <f t="shared" si="33"/>
        <v>28.749999999999996</v>
      </c>
    </row>
    <row r="251" spans="1:15" s="22" customFormat="1">
      <c r="A251" s="17">
        <v>57</v>
      </c>
      <c r="B251" s="17" t="s">
        <v>116</v>
      </c>
      <c r="C251" s="25" t="s">
        <v>117</v>
      </c>
      <c r="D251" s="21">
        <v>52</v>
      </c>
      <c r="E251" s="21" t="s">
        <v>10</v>
      </c>
      <c r="F251" s="76">
        <f t="shared" si="30"/>
        <v>23</v>
      </c>
      <c r="G251" s="18">
        <f t="shared" si="34"/>
        <v>1196</v>
      </c>
      <c r="H251"/>
      <c r="I251"/>
      <c r="J251"/>
      <c r="K251"/>
      <c r="L251"/>
      <c r="M251" s="90">
        <v>20</v>
      </c>
      <c r="N251" s="91">
        <f t="shared" si="32"/>
        <v>1.1499999999999999</v>
      </c>
      <c r="O251" s="92">
        <f t="shared" si="33"/>
        <v>23</v>
      </c>
    </row>
    <row r="252" spans="1:15" s="22" customFormat="1">
      <c r="A252" s="17">
        <v>58</v>
      </c>
      <c r="B252" s="17" t="s">
        <v>118</v>
      </c>
      <c r="C252" s="25" t="s">
        <v>119</v>
      </c>
      <c r="D252" s="21">
        <v>52</v>
      </c>
      <c r="E252" s="21" t="s">
        <v>10</v>
      </c>
      <c r="F252" s="76">
        <f t="shared" si="30"/>
        <v>28.749999999999996</v>
      </c>
      <c r="G252" s="18">
        <f t="shared" si="34"/>
        <v>1494.9999999999998</v>
      </c>
      <c r="H252"/>
      <c r="I252"/>
      <c r="J252"/>
      <c r="K252"/>
      <c r="L252"/>
      <c r="M252" s="90">
        <v>25</v>
      </c>
      <c r="N252" s="91">
        <f t="shared" si="32"/>
        <v>1.1499999999999999</v>
      </c>
      <c r="O252" s="92">
        <f t="shared" si="33"/>
        <v>28.749999999999996</v>
      </c>
    </row>
    <row r="253" spans="1:15" s="22" customFormat="1">
      <c r="A253" s="17">
        <v>30</v>
      </c>
      <c r="B253" s="17"/>
      <c r="C253" s="25" t="s">
        <v>210</v>
      </c>
      <c r="D253" s="21">
        <v>2</v>
      </c>
      <c r="E253" s="21" t="s">
        <v>10</v>
      </c>
      <c r="F253" s="76">
        <f t="shared" si="30"/>
        <v>172.5</v>
      </c>
      <c r="G253" s="18">
        <f t="shared" ref="G253" si="35">D253*F253</f>
        <v>345</v>
      </c>
      <c r="H253"/>
      <c r="I253"/>
      <c r="J253"/>
      <c r="K253"/>
      <c r="L253"/>
      <c r="M253" s="90">
        <v>150</v>
      </c>
      <c r="N253" s="91">
        <f t="shared" si="32"/>
        <v>1.1499999999999999</v>
      </c>
      <c r="O253" s="92">
        <f t="shared" si="33"/>
        <v>172.5</v>
      </c>
    </row>
    <row r="254" spans="1:15" ht="14.15">
      <c r="A254" s="6"/>
      <c r="B254" s="6"/>
      <c r="C254" s="13" t="s">
        <v>0</v>
      </c>
      <c r="D254" s="59"/>
      <c r="E254" s="14"/>
      <c r="F254" s="77"/>
      <c r="G254" s="15">
        <f>SUM(G195:G252)</f>
        <v>282975.89999999997</v>
      </c>
      <c r="M254" s="93"/>
      <c r="N254" s="94"/>
      <c r="O254" s="95"/>
    </row>
    <row r="255" spans="1:15">
      <c r="B255" s="1"/>
      <c r="C255" s="5" t="s">
        <v>6</v>
      </c>
      <c r="D255" s="17"/>
      <c r="E255" s="8"/>
      <c r="G255" s="7">
        <f>0.21*G254</f>
        <v>59424.938999999991</v>
      </c>
      <c r="M255" s="93"/>
      <c r="N255" s="94"/>
      <c r="O255" s="95"/>
    </row>
    <row r="256" spans="1:15">
      <c r="M256" s="93"/>
      <c r="N256" s="94"/>
      <c r="O256" s="95"/>
    </row>
    <row r="257" spans="1:15" ht="15.45">
      <c r="C257" s="3" t="s">
        <v>245</v>
      </c>
      <c r="M257" s="93"/>
      <c r="N257" s="94"/>
      <c r="O257" s="95"/>
    </row>
    <row r="258" spans="1:15">
      <c r="A258" s="9" t="s">
        <v>1</v>
      </c>
      <c r="B258" s="9" t="s">
        <v>2</v>
      </c>
      <c r="C258" s="9" t="s">
        <v>3</v>
      </c>
      <c r="D258" s="58"/>
      <c r="E258" s="10" t="s">
        <v>4</v>
      </c>
      <c r="F258" s="75" t="s">
        <v>5</v>
      </c>
      <c r="G258" s="10" t="s">
        <v>0</v>
      </c>
      <c r="M258" s="93"/>
      <c r="N258" s="94"/>
      <c r="O258" s="95"/>
    </row>
    <row r="259" spans="1:15" s="22" customFormat="1">
      <c r="A259" s="17">
        <v>1</v>
      </c>
      <c r="B259" s="21" t="s">
        <v>246</v>
      </c>
      <c r="C259" s="31" t="s">
        <v>247</v>
      </c>
      <c r="D259" s="17">
        <v>1</v>
      </c>
      <c r="E259" s="21" t="s">
        <v>10</v>
      </c>
      <c r="F259" s="76">
        <f t="shared" ref="F259:F299" si="36">K259+O259</f>
        <v>17434</v>
      </c>
      <c r="G259" s="18">
        <f t="shared" ref="G259:G299" si="37">D259*F259</f>
        <v>17434</v>
      </c>
      <c r="I259" s="66">
        <v>15160</v>
      </c>
      <c r="J259" s="66">
        <f t="shared" ref="J259" si="38">$J$1</f>
        <v>1.1499999999999999</v>
      </c>
      <c r="K259" s="66">
        <f t="shared" ref="K259:K265" si="39">J259*I259</f>
        <v>17434</v>
      </c>
      <c r="L259"/>
      <c r="M259" s="93"/>
      <c r="N259" s="94"/>
      <c r="O259" s="95"/>
    </row>
    <row r="260" spans="1:15" s="22" customFormat="1">
      <c r="A260" s="17">
        <v>2</v>
      </c>
      <c r="B260" s="19" t="s">
        <v>465</v>
      </c>
      <c r="C260" s="19" t="s">
        <v>466</v>
      </c>
      <c r="D260" s="21">
        <v>1</v>
      </c>
      <c r="E260" s="17" t="s">
        <v>10</v>
      </c>
      <c r="F260" s="76">
        <f t="shared" si="36"/>
        <v>8380.0499999999993</v>
      </c>
      <c r="G260" s="18">
        <f t="shared" si="37"/>
        <v>8380.0499999999993</v>
      </c>
      <c r="I260" s="66">
        <v>7287</v>
      </c>
      <c r="J260" s="66">
        <f t="shared" ref="J260:J299" si="40">$J$1</f>
        <v>1.1499999999999999</v>
      </c>
      <c r="K260" s="66">
        <f t="shared" si="39"/>
        <v>8380.0499999999993</v>
      </c>
      <c r="L260"/>
      <c r="M260" s="93"/>
      <c r="N260" s="94"/>
      <c r="O260" s="95"/>
    </row>
    <row r="261" spans="1:15" s="22" customFormat="1">
      <c r="A261" s="17">
        <v>3</v>
      </c>
      <c r="B261" s="21" t="s">
        <v>248</v>
      </c>
      <c r="C261" s="31" t="s">
        <v>249</v>
      </c>
      <c r="D261" s="17">
        <v>5</v>
      </c>
      <c r="E261" s="21" t="s">
        <v>10</v>
      </c>
      <c r="F261" s="76">
        <f t="shared" si="36"/>
        <v>2676.0499999999997</v>
      </c>
      <c r="G261" s="18">
        <f t="shared" si="37"/>
        <v>13380.249999999998</v>
      </c>
      <c r="I261" s="66">
        <v>2327</v>
      </c>
      <c r="J261" s="66">
        <f t="shared" si="40"/>
        <v>1.1499999999999999</v>
      </c>
      <c r="K261" s="66">
        <f t="shared" si="39"/>
        <v>2676.0499999999997</v>
      </c>
      <c r="L261"/>
      <c r="M261" s="93"/>
      <c r="N261" s="94"/>
      <c r="O261" s="95"/>
    </row>
    <row r="262" spans="1:15" s="22" customFormat="1">
      <c r="A262" s="17">
        <v>4</v>
      </c>
      <c r="B262" s="21" t="s">
        <v>250</v>
      </c>
      <c r="C262" s="31" t="s">
        <v>251</v>
      </c>
      <c r="D262" s="17">
        <v>5</v>
      </c>
      <c r="E262" s="21" t="s">
        <v>10</v>
      </c>
      <c r="F262" s="76">
        <f t="shared" si="36"/>
        <v>424.92499999999995</v>
      </c>
      <c r="G262" s="18">
        <f t="shared" si="37"/>
        <v>2124.625</v>
      </c>
      <c r="I262" s="66">
        <v>369.5</v>
      </c>
      <c r="J262" s="66">
        <f t="shared" si="40"/>
        <v>1.1499999999999999</v>
      </c>
      <c r="K262" s="66">
        <f t="shared" si="39"/>
        <v>424.92499999999995</v>
      </c>
      <c r="L262"/>
      <c r="M262" s="93"/>
      <c r="N262" s="94"/>
      <c r="O262" s="95"/>
    </row>
    <row r="263" spans="1:15" s="22" customFormat="1">
      <c r="A263" s="17">
        <v>5</v>
      </c>
      <c r="B263" s="21" t="s">
        <v>328</v>
      </c>
      <c r="C263" s="31" t="s">
        <v>329</v>
      </c>
      <c r="D263" s="17">
        <v>1</v>
      </c>
      <c r="E263" s="21" t="s">
        <v>10</v>
      </c>
      <c r="F263" s="76">
        <f t="shared" si="36"/>
        <v>4352.75</v>
      </c>
      <c r="G263" s="18">
        <f t="shared" si="37"/>
        <v>4352.75</v>
      </c>
      <c r="I263" s="66">
        <v>3785</v>
      </c>
      <c r="J263" s="66">
        <f t="shared" si="40"/>
        <v>1.1499999999999999</v>
      </c>
      <c r="K263" s="66">
        <f t="shared" si="39"/>
        <v>4352.75</v>
      </c>
      <c r="L263"/>
      <c r="M263" s="93"/>
      <c r="N263" s="94"/>
      <c r="O263" s="95"/>
    </row>
    <row r="264" spans="1:15" s="22" customFormat="1">
      <c r="A264" s="17">
        <v>6</v>
      </c>
      <c r="B264" s="21" t="s">
        <v>252</v>
      </c>
      <c r="C264" s="31" t="s">
        <v>253</v>
      </c>
      <c r="D264" s="17">
        <v>2</v>
      </c>
      <c r="E264" s="21" t="s">
        <v>10</v>
      </c>
      <c r="F264" s="76">
        <f t="shared" si="36"/>
        <v>1736.4999999999998</v>
      </c>
      <c r="G264" s="18">
        <f t="shared" si="37"/>
        <v>3472.9999999999995</v>
      </c>
      <c r="I264" s="66">
        <v>1510</v>
      </c>
      <c r="J264" s="66">
        <f t="shared" si="40"/>
        <v>1.1499999999999999</v>
      </c>
      <c r="K264" s="66">
        <f t="shared" si="39"/>
        <v>1736.4999999999998</v>
      </c>
      <c r="L264"/>
      <c r="M264" s="93"/>
      <c r="N264" s="94"/>
      <c r="O264" s="95"/>
    </row>
    <row r="265" spans="1:15" s="22" customFormat="1">
      <c r="A265" s="17">
        <v>7</v>
      </c>
      <c r="B265" s="21" t="s">
        <v>254</v>
      </c>
      <c r="C265" s="31" t="s">
        <v>255</v>
      </c>
      <c r="D265" s="17">
        <v>4</v>
      </c>
      <c r="E265" s="21" t="s">
        <v>10</v>
      </c>
      <c r="F265" s="76">
        <f t="shared" si="36"/>
        <v>434.7</v>
      </c>
      <c r="G265" s="18">
        <f t="shared" si="37"/>
        <v>1738.8</v>
      </c>
      <c r="I265" s="66">
        <v>378</v>
      </c>
      <c r="J265" s="66">
        <f t="shared" si="40"/>
        <v>1.1499999999999999</v>
      </c>
      <c r="K265" s="66">
        <f t="shared" si="39"/>
        <v>434.7</v>
      </c>
      <c r="L265"/>
      <c r="M265" s="93"/>
      <c r="N265" s="94"/>
      <c r="O265" s="95"/>
    </row>
    <row r="266" spans="1:15" s="22" customFormat="1">
      <c r="A266" s="17">
        <v>8</v>
      </c>
      <c r="B266" s="19" t="s">
        <v>467</v>
      </c>
      <c r="C266" s="19" t="s">
        <v>468</v>
      </c>
      <c r="D266" s="21">
        <v>3</v>
      </c>
      <c r="E266" s="17" t="s">
        <v>10</v>
      </c>
      <c r="F266" s="76">
        <f t="shared" si="36"/>
        <v>413.99999999999994</v>
      </c>
      <c r="G266" s="18">
        <f t="shared" si="37"/>
        <v>1241.9999999999998</v>
      </c>
      <c r="I266" s="66">
        <v>360</v>
      </c>
      <c r="J266" s="66">
        <f t="shared" si="40"/>
        <v>1.1499999999999999</v>
      </c>
      <c r="K266" s="66">
        <f t="shared" ref="K266:K299" si="41">J266*I266</f>
        <v>413.99999999999994</v>
      </c>
      <c r="L266"/>
      <c r="M266" s="93"/>
      <c r="N266" s="94"/>
      <c r="O266" s="95"/>
    </row>
    <row r="267" spans="1:15" s="22" customFormat="1">
      <c r="A267" s="17">
        <v>9</v>
      </c>
      <c r="B267" s="19" t="s">
        <v>469</v>
      </c>
      <c r="C267" s="19" t="s">
        <v>470</v>
      </c>
      <c r="D267" s="21">
        <v>3</v>
      </c>
      <c r="E267" s="17" t="s">
        <v>10</v>
      </c>
      <c r="F267" s="76">
        <f t="shared" si="36"/>
        <v>28.749999999999996</v>
      </c>
      <c r="G267" s="18">
        <f t="shared" si="37"/>
        <v>86.249999999999986</v>
      </c>
      <c r="I267" s="66">
        <v>25</v>
      </c>
      <c r="J267" s="66">
        <f t="shared" si="40"/>
        <v>1.1499999999999999</v>
      </c>
      <c r="K267" s="66">
        <f t="shared" si="41"/>
        <v>28.749999999999996</v>
      </c>
      <c r="L267"/>
      <c r="M267" s="93"/>
      <c r="N267" s="94"/>
      <c r="O267" s="95"/>
    </row>
    <row r="268" spans="1:15" s="22" customFormat="1">
      <c r="A268" s="17">
        <v>10</v>
      </c>
      <c r="B268" s="21" t="s">
        <v>256</v>
      </c>
      <c r="C268" s="31" t="s">
        <v>257</v>
      </c>
      <c r="D268" s="17">
        <v>7</v>
      </c>
      <c r="E268" s="21" t="s">
        <v>10</v>
      </c>
      <c r="F268" s="76">
        <f t="shared" si="36"/>
        <v>434.7</v>
      </c>
      <c r="G268" s="18">
        <f t="shared" si="37"/>
        <v>3042.9</v>
      </c>
      <c r="I268" s="66">
        <v>378</v>
      </c>
      <c r="J268" s="66">
        <f t="shared" si="40"/>
        <v>1.1499999999999999</v>
      </c>
      <c r="K268" s="66">
        <f t="shared" si="41"/>
        <v>434.7</v>
      </c>
      <c r="L268"/>
      <c r="M268" s="93"/>
      <c r="N268" s="94"/>
      <c r="O268" s="95"/>
    </row>
    <row r="269" spans="1:15" s="22" customFormat="1">
      <c r="A269" s="17">
        <v>11</v>
      </c>
      <c r="B269" s="21" t="s">
        <v>319</v>
      </c>
      <c r="C269" s="31" t="s">
        <v>320</v>
      </c>
      <c r="D269" s="17">
        <v>7</v>
      </c>
      <c r="E269" s="21" t="s">
        <v>10</v>
      </c>
      <c r="F269" s="76">
        <f t="shared" si="36"/>
        <v>1812.3999999999999</v>
      </c>
      <c r="G269" s="18">
        <f t="shared" si="37"/>
        <v>12686.8</v>
      </c>
      <c r="I269" s="66">
        <v>1576</v>
      </c>
      <c r="J269" s="66">
        <f t="shared" si="40"/>
        <v>1.1499999999999999</v>
      </c>
      <c r="K269" s="66">
        <f t="shared" si="41"/>
        <v>1812.3999999999999</v>
      </c>
      <c r="L269"/>
      <c r="M269" s="93"/>
      <c r="N269" s="94"/>
      <c r="O269" s="95"/>
    </row>
    <row r="270" spans="1:15" s="22" customFormat="1">
      <c r="A270" s="17">
        <v>12</v>
      </c>
      <c r="B270" s="21" t="s">
        <v>354</v>
      </c>
      <c r="C270" s="31" t="s">
        <v>355</v>
      </c>
      <c r="D270" s="17">
        <v>2</v>
      </c>
      <c r="E270" s="21" t="s">
        <v>10</v>
      </c>
      <c r="F270" s="76">
        <f t="shared" si="36"/>
        <v>0</v>
      </c>
      <c r="G270" s="18">
        <f>D270*F270</f>
        <v>0</v>
      </c>
      <c r="I270" s="66"/>
      <c r="J270" s="66">
        <f t="shared" si="40"/>
        <v>1.1499999999999999</v>
      </c>
      <c r="K270" s="66">
        <f t="shared" si="41"/>
        <v>0</v>
      </c>
      <c r="L270"/>
      <c r="M270" s="93"/>
      <c r="N270" s="94"/>
      <c r="O270" s="95"/>
    </row>
    <row r="271" spans="1:15" s="22" customFormat="1">
      <c r="A271" s="17">
        <v>13</v>
      </c>
      <c r="B271" s="19" t="s">
        <v>471</v>
      </c>
      <c r="C271" s="19" t="s">
        <v>472</v>
      </c>
      <c r="D271" s="21">
        <v>6</v>
      </c>
      <c r="E271" s="17" t="s">
        <v>10</v>
      </c>
      <c r="F271" s="76">
        <f t="shared" si="36"/>
        <v>9547.2999999999993</v>
      </c>
      <c r="G271" s="18">
        <f>D271*F271</f>
        <v>57283.799999999996</v>
      </c>
      <c r="I271" s="66">
        <v>8302</v>
      </c>
      <c r="J271" s="66">
        <f t="shared" si="40"/>
        <v>1.1499999999999999</v>
      </c>
      <c r="K271" s="66">
        <f t="shared" si="41"/>
        <v>9547.2999999999993</v>
      </c>
      <c r="L271"/>
      <c r="M271" s="93"/>
      <c r="N271" s="94"/>
      <c r="O271" s="95"/>
    </row>
    <row r="272" spans="1:15" s="22" customFormat="1">
      <c r="A272" s="17">
        <v>14</v>
      </c>
      <c r="B272" s="21" t="s">
        <v>287</v>
      </c>
      <c r="C272" s="31" t="s">
        <v>286</v>
      </c>
      <c r="D272" s="17">
        <v>7</v>
      </c>
      <c r="E272" s="21" t="s">
        <v>10</v>
      </c>
      <c r="F272" s="76">
        <f t="shared" si="36"/>
        <v>11040</v>
      </c>
      <c r="G272" s="18">
        <f t="shared" si="37"/>
        <v>77280</v>
      </c>
      <c r="I272" s="66">
        <v>9600</v>
      </c>
      <c r="J272" s="66">
        <f t="shared" si="40"/>
        <v>1.1499999999999999</v>
      </c>
      <c r="K272" s="66">
        <f t="shared" si="41"/>
        <v>11040</v>
      </c>
      <c r="L272"/>
      <c r="M272" s="93"/>
      <c r="N272" s="94"/>
      <c r="O272" s="95"/>
    </row>
    <row r="273" spans="1:15" s="22" customFormat="1">
      <c r="A273" s="17">
        <v>15</v>
      </c>
      <c r="B273" s="21" t="s">
        <v>288</v>
      </c>
      <c r="C273" s="31" t="s">
        <v>289</v>
      </c>
      <c r="D273" s="17">
        <v>0</v>
      </c>
      <c r="E273" s="21" t="s">
        <v>10</v>
      </c>
      <c r="F273" s="76">
        <f t="shared" si="36"/>
        <v>12879.999999999998</v>
      </c>
      <c r="G273" s="18">
        <f t="shared" si="37"/>
        <v>0</v>
      </c>
      <c r="I273" s="66">
        <v>11200</v>
      </c>
      <c r="J273" s="66">
        <f t="shared" si="40"/>
        <v>1.1499999999999999</v>
      </c>
      <c r="K273" s="66">
        <f t="shared" si="41"/>
        <v>12879.999999999998</v>
      </c>
      <c r="L273"/>
      <c r="M273" s="93"/>
      <c r="N273" s="94"/>
      <c r="O273" s="95"/>
    </row>
    <row r="274" spans="1:15" s="22" customFormat="1">
      <c r="A274" s="17">
        <v>16</v>
      </c>
      <c r="B274" s="19" t="s">
        <v>473</v>
      </c>
      <c r="C274" s="31" t="s">
        <v>474</v>
      </c>
      <c r="D274" s="21">
        <v>13</v>
      </c>
      <c r="E274" s="17" t="s">
        <v>10</v>
      </c>
      <c r="F274" s="76">
        <f t="shared" si="36"/>
        <v>0</v>
      </c>
      <c r="G274" s="18">
        <f>D274*F274</f>
        <v>0</v>
      </c>
      <c r="I274" s="66">
        <v>0</v>
      </c>
      <c r="J274" s="66">
        <f t="shared" si="40"/>
        <v>1.1499999999999999</v>
      </c>
      <c r="K274" s="66">
        <f t="shared" si="41"/>
        <v>0</v>
      </c>
      <c r="L274"/>
      <c r="M274" s="93"/>
      <c r="N274" s="94"/>
      <c r="O274" s="95"/>
    </row>
    <row r="275" spans="1:15" s="22" customFormat="1">
      <c r="A275" s="17">
        <v>17</v>
      </c>
      <c r="B275" s="19" t="s">
        <v>475</v>
      </c>
      <c r="C275" s="31" t="s">
        <v>476</v>
      </c>
      <c r="D275" s="21">
        <v>52</v>
      </c>
      <c r="E275" s="17" t="s">
        <v>10</v>
      </c>
      <c r="F275" s="76">
        <f t="shared" si="36"/>
        <v>1058</v>
      </c>
      <c r="G275" s="18">
        <f t="shared" si="37"/>
        <v>55016</v>
      </c>
      <c r="I275" s="66">
        <v>920</v>
      </c>
      <c r="J275" s="66">
        <f t="shared" si="40"/>
        <v>1.1499999999999999</v>
      </c>
      <c r="K275" s="66">
        <f t="shared" si="41"/>
        <v>1058</v>
      </c>
      <c r="L275"/>
      <c r="M275" s="93"/>
      <c r="N275" s="94"/>
      <c r="O275" s="95"/>
    </row>
    <row r="276" spans="1:15" s="22" customFormat="1">
      <c r="A276" s="17">
        <v>18</v>
      </c>
      <c r="B276" s="19" t="s">
        <v>477</v>
      </c>
      <c r="C276" s="31" t="s">
        <v>478</v>
      </c>
      <c r="D276" s="21">
        <v>26</v>
      </c>
      <c r="E276" s="17" t="s">
        <v>10</v>
      </c>
      <c r="F276" s="76">
        <f t="shared" si="36"/>
        <v>419.74999999999994</v>
      </c>
      <c r="G276" s="18">
        <f t="shared" si="37"/>
        <v>10913.499999999998</v>
      </c>
      <c r="I276" s="66">
        <v>365</v>
      </c>
      <c r="J276" s="66">
        <f t="shared" si="40"/>
        <v>1.1499999999999999</v>
      </c>
      <c r="K276" s="66">
        <f t="shared" si="41"/>
        <v>419.74999999999994</v>
      </c>
      <c r="L276"/>
      <c r="M276" s="93"/>
      <c r="N276" s="94"/>
      <c r="O276" s="95"/>
    </row>
    <row r="277" spans="1:15" s="22" customFormat="1">
      <c r="A277" s="17">
        <v>19</v>
      </c>
      <c r="B277" s="21"/>
      <c r="C277" s="31" t="s">
        <v>281</v>
      </c>
      <c r="D277" s="17">
        <v>26</v>
      </c>
      <c r="E277" s="21" t="s">
        <v>10</v>
      </c>
      <c r="F277" s="76">
        <f t="shared" si="36"/>
        <v>517.5</v>
      </c>
      <c r="G277" s="18">
        <f t="shared" si="37"/>
        <v>13455</v>
      </c>
      <c r="I277" s="66">
        <v>450</v>
      </c>
      <c r="J277" s="66">
        <f t="shared" si="40"/>
        <v>1.1499999999999999</v>
      </c>
      <c r="K277" s="66">
        <f t="shared" si="41"/>
        <v>517.5</v>
      </c>
      <c r="L277"/>
      <c r="M277" s="93"/>
      <c r="N277" s="94"/>
      <c r="O277" s="95"/>
    </row>
    <row r="278" spans="1:15" s="22" customFormat="1">
      <c r="A278" s="17">
        <v>20</v>
      </c>
      <c r="B278" s="19" t="s">
        <v>479</v>
      </c>
      <c r="C278" s="31" t="s">
        <v>480</v>
      </c>
      <c r="D278" s="21">
        <v>24</v>
      </c>
      <c r="E278" s="17" t="s">
        <v>10</v>
      </c>
      <c r="F278" s="76">
        <f t="shared" si="36"/>
        <v>2127.5</v>
      </c>
      <c r="G278" s="18">
        <f t="shared" si="37"/>
        <v>51060</v>
      </c>
      <c r="I278" s="66">
        <v>1850</v>
      </c>
      <c r="J278" s="66">
        <f t="shared" si="40"/>
        <v>1.1499999999999999</v>
      </c>
      <c r="K278" s="66">
        <f t="shared" si="41"/>
        <v>2127.5</v>
      </c>
      <c r="L278"/>
      <c r="M278" s="93"/>
      <c r="N278" s="94"/>
      <c r="O278" s="95"/>
    </row>
    <row r="279" spans="1:15" s="22" customFormat="1">
      <c r="A279" s="17">
        <v>21</v>
      </c>
      <c r="B279" s="19" t="s">
        <v>481</v>
      </c>
      <c r="C279" s="31" t="s">
        <v>280</v>
      </c>
      <c r="D279" s="21">
        <v>2</v>
      </c>
      <c r="E279" s="17" t="s">
        <v>10</v>
      </c>
      <c r="F279" s="76">
        <f t="shared" si="36"/>
        <v>1092.5</v>
      </c>
      <c r="G279" s="18">
        <f t="shared" si="37"/>
        <v>2185</v>
      </c>
      <c r="I279" s="66">
        <v>950</v>
      </c>
      <c r="J279" s="66">
        <f t="shared" si="40"/>
        <v>1.1499999999999999</v>
      </c>
      <c r="K279" s="66">
        <f t="shared" si="41"/>
        <v>1092.5</v>
      </c>
      <c r="L279"/>
      <c r="M279" s="93"/>
      <c r="N279" s="94"/>
      <c r="O279" s="95"/>
    </row>
    <row r="280" spans="1:15" s="22" customFormat="1">
      <c r="A280" s="17">
        <v>22</v>
      </c>
      <c r="B280" s="21" t="s">
        <v>258</v>
      </c>
      <c r="C280" s="31" t="s">
        <v>259</v>
      </c>
      <c r="D280" s="17">
        <v>52</v>
      </c>
      <c r="E280" s="21" t="s">
        <v>10</v>
      </c>
      <c r="F280" s="76">
        <f t="shared" si="36"/>
        <v>77.05</v>
      </c>
      <c r="G280" s="18">
        <f t="shared" si="37"/>
        <v>4006.6</v>
      </c>
      <c r="I280" s="66">
        <v>67</v>
      </c>
      <c r="J280" s="66">
        <f t="shared" si="40"/>
        <v>1.1499999999999999</v>
      </c>
      <c r="K280" s="66">
        <f t="shared" si="41"/>
        <v>77.05</v>
      </c>
      <c r="L280"/>
      <c r="M280" s="93"/>
      <c r="N280" s="94"/>
      <c r="O280" s="95"/>
    </row>
    <row r="281" spans="1:15" s="22" customFormat="1">
      <c r="A281" s="17">
        <v>23</v>
      </c>
      <c r="B281" s="21"/>
      <c r="C281" s="31" t="s">
        <v>260</v>
      </c>
      <c r="D281" s="17">
        <v>208</v>
      </c>
      <c r="E281" s="21" t="s">
        <v>10</v>
      </c>
      <c r="F281" s="76">
        <f t="shared" si="36"/>
        <v>8.8549999999999986</v>
      </c>
      <c r="G281" s="18">
        <f t="shared" si="37"/>
        <v>1841.8399999999997</v>
      </c>
      <c r="I281" s="66">
        <v>7.7</v>
      </c>
      <c r="J281" s="66">
        <f t="shared" si="40"/>
        <v>1.1499999999999999</v>
      </c>
      <c r="K281" s="66">
        <f t="shared" si="41"/>
        <v>8.8549999999999986</v>
      </c>
      <c r="L281"/>
      <c r="M281" s="93"/>
      <c r="N281" s="94"/>
      <c r="O281" s="95"/>
    </row>
    <row r="282" spans="1:15" s="22" customFormat="1">
      <c r="A282" s="17">
        <v>24</v>
      </c>
      <c r="B282" s="30" t="s">
        <v>482</v>
      </c>
      <c r="C282" s="31" t="s">
        <v>483</v>
      </c>
      <c r="D282" s="21">
        <v>10</v>
      </c>
      <c r="E282" s="17" t="s">
        <v>10</v>
      </c>
      <c r="F282" s="76">
        <f t="shared" si="36"/>
        <v>190.89999999999998</v>
      </c>
      <c r="G282" s="18">
        <f t="shared" si="37"/>
        <v>1908.9999999999998</v>
      </c>
      <c r="I282" s="66">
        <v>166</v>
      </c>
      <c r="J282" s="66">
        <f t="shared" si="40"/>
        <v>1.1499999999999999</v>
      </c>
      <c r="K282" s="66">
        <f t="shared" si="41"/>
        <v>190.89999999999998</v>
      </c>
      <c r="L282"/>
      <c r="M282" s="93"/>
      <c r="N282" s="94"/>
      <c r="O282" s="95"/>
    </row>
    <row r="283" spans="1:15" s="22" customFormat="1">
      <c r="A283" s="17">
        <v>25</v>
      </c>
      <c r="B283" s="21" t="s">
        <v>261</v>
      </c>
      <c r="C283" s="31" t="s">
        <v>262</v>
      </c>
      <c r="D283" s="17">
        <v>10</v>
      </c>
      <c r="E283" s="21" t="s">
        <v>10</v>
      </c>
      <c r="F283" s="76">
        <f t="shared" si="36"/>
        <v>190.89999999999998</v>
      </c>
      <c r="G283" s="18">
        <f t="shared" si="37"/>
        <v>1908.9999999999998</v>
      </c>
      <c r="I283" s="66">
        <v>166</v>
      </c>
      <c r="J283" s="66">
        <f t="shared" si="40"/>
        <v>1.1499999999999999</v>
      </c>
      <c r="K283" s="66">
        <f t="shared" si="41"/>
        <v>190.89999999999998</v>
      </c>
      <c r="L283"/>
      <c r="M283" s="93"/>
      <c r="N283" s="94"/>
      <c r="O283" s="95"/>
    </row>
    <row r="284" spans="1:15" s="22" customFormat="1">
      <c r="A284" s="17">
        <v>26</v>
      </c>
      <c r="B284" s="19" t="s">
        <v>484</v>
      </c>
      <c r="C284" s="31" t="s">
        <v>485</v>
      </c>
      <c r="D284" s="21">
        <v>5</v>
      </c>
      <c r="E284" s="17" t="s">
        <v>10</v>
      </c>
      <c r="F284" s="76">
        <f t="shared" si="36"/>
        <v>3392.4999999999995</v>
      </c>
      <c r="G284" s="18">
        <f t="shared" si="37"/>
        <v>16962.499999999996</v>
      </c>
      <c r="I284" s="66">
        <v>2950</v>
      </c>
      <c r="J284" s="66">
        <f t="shared" si="40"/>
        <v>1.1499999999999999</v>
      </c>
      <c r="K284" s="66">
        <f t="shared" si="41"/>
        <v>3392.4999999999995</v>
      </c>
      <c r="L284"/>
      <c r="M284" s="93"/>
      <c r="N284" s="94"/>
      <c r="O284" s="95"/>
    </row>
    <row r="285" spans="1:15" s="22" customFormat="1">
      <c r="A285" s="17">
        <v>27</v>
      </c>
      <c r="B285" s="19" t="s">
        <v>486</v>
      </c>
      <c r="C285" s="31" t="s">
        <v>487</v>
      </c>
      <c r="D285" s="21">
        <v>10</v>
      </c>
      <c r="E285" s="17" t="s">
        <v>10</v>
      </c>
      <c r="F285" s="76">
        <f t="shared" si="36"/>
        <v>577.29999999999995</v>
      </c>
      <c r="G285" s="18">
        <f t="shared" si="37"/>
        <v>5773</v>
      </c>
      <c r="I285" s="66">
        <v>502</v>
      </c>
      <c r="J285" s="66">
        <f t="shared" si="40"/>
        <v>1.1499999999999999</v>
      </c>
      <c r="K285" s="66">
        <f t="shared" si="41"/>
        <v>577.29999999999995</v>
      </c>
      <c r="L285"/>
      <c r="M285" s="93"/>
      <c r="N285" s="94"/>
      <c r="O285" s="95"/>
    </row>
    <row r="286" spans="1:15" s="22" customFormat="1">
      <c r="A286" s="17">
        <v>28</v>
      </c>
      <c r="B286" s="19" t="s">
        <v>488</v>
      </c>
      <c r="C286" s="31" t="s">
        <v>489</v>
      </c>
      <c r="D286" s="21">
        <v>5</v>
      </c>
      <c r="E286" s="17" t="s">
        <v>10</v>
      </c>
      <c r="F286" s="76">
        <f t="shared" si="36"/>
        <v>3081.9999999999995</v>
      </c>
      <c r="G286" s="18">
        <f t="shared" si="37"/>
        <v>15409.999999999998</v>
      </c>
      <c r="I286" s="66">
        <v>2680</v>
      </c>
      <c r="J286" s="66">
        <f t="shared" si="40"/>
        <v>1.1499999999999999</v>
      </c>
      <c r="K286" s="66">
        <f t="shared" si="41"/>
        <v>3081.9999999999995</v>
      </c>
      <c r="L286"/>
      <c r="M286" s="93"/>
      <c r="N286" s="94"/>
      <c r="O286" s="95"/>
    </row>
    <row r="287" spans="1:15" s="22" customFormat="1">
      <c r="A287" s="17">
        <v>29</v>
      </c>
      <c r="B287" s="21" t="s">
        <v>263</v>
      </c>
      <c r="C287" s="31" t="s">
        <v>264</v>
      </c>
      <c r="D287" s="17">
        <v>1</v>
      </c>
      <c r="E287" s="21" t="s">
        <v>10</v>
      </c>
      <c r="F287" s="76">
        <f t="shared" si="36"/>
        <v>3625.95</v>
      </c>
      <c r="G287" s="18">
        <f t="shared" si="37"/>
        <v>3625.95</v>
      </c>
      <c r="I287" s="66">
        <v>3153</v>
      </c>
      <c r="J287" s="66">
        <f t="shared" si="40"/>
        <v>1.1499999999999999</v>
      </c>
      <c r="K287" s="66">
        <f t="shared" si="41"/>
        <v>3625.95</v>
      </c>
      <c r="L287"/>
      <c r="M287" s="93"/>
      <c r="N287" s="94"/>
      <c r="O287" s="95"/>
    </row>
    <row r="288" spans="1:15" s="22" customFormat="1">
      <c r="A288" s="17">
        <v>30</v>
      </c>
      <c r="B288" s="21" t="s">
        <v>266</v>
      </c>
      <c r="C288" s="31" t="s">
        <v>267</v>
      </c>
      <c r="D288" s="17">
        <v>20</v>
      </c>
      <c r="E288" s="21" t="s">
        <v>10</v>
      </c>
      <c r="F288" s="76">
        <f t="shared" si="36"/>
        <v>20.7</v>
      </c>
      <c r="G288" s="18">
        <f t="shared" si="37"/>
        <v>414</v>
      </c>
      <c r="I288" s="66">
        <v>18</v>
      </c>
      <c r="J288" s="66">
        <f t="shared" si="40"/>
        <v>1.1499999999999999</v>
      </c>
      <c r="K288" s="66">
        <f t="shared" si="41"/>
        <v>20.7</v>
      </c>
      <c r="L288"/>
      <c r="M288" s="93"/>
      <c r="N288" s="94"/>
      <c r="O288" s="95"/>
    </row>
    <row r="289" spans="1:15" s="22" customFormat="1">
      <c r="A289" s="17">
        <v>31</v>
      </c>
      <c r="B289" s="21" t="s">
        <v>268</v>
      </c>
      <c r="C289" s="31" t="s">
        <v>269</v>
      </c>
      <c r="D289" s="17">
        <v>2145</v>
      </c>
      <c r="E289" s="21" t="s">
        <v>10</v>
      </c>
      <c r="F289" s="76">
        <f t="shared" si="36"/>
        <v>7.7509999999999994</v>
      </c>
      <c r="G289" s="18">
        <f t="shared" si="37"/>
        <v>16625.895</v>
      </c>
      <c r="I289" s="66">
        <v>6.74</v>
      </c>
      <c r="J289" s="66">
        <f t="shared" si="40"/>
        <v>1.1499999999999999</v>
      </c>
      <c r="K289" s="66">
        <f t="shared" si="41"/>
        <v>7.7509999999999994</v>
      </c>
      <c r="L289"/>
      <c r="M289" s="93"/>
      <c r="N289" s="94"/>
      <c r="O289" s="95"/>
    </row>
    <row r="290" spans="1:15" s="22" customFormat="1">
      <c r="A290" s="17">
        <v>32</v>
      </c>
      <c r="B290" s="21" t="s">
        <v>270</v>
      </c>
      <c r="C290" s="31" t="s">
        <v>271</v>
      </c>
      <c r="D290" s="17">
        <v>126</v>
      </c>
      <c r="E290" s="21" t="s">
        <v>14</v>
      </c>
      <c r="F290" s="76">
        <f t="shared" si="36"/>
        <v>16.445</v>
      </c>
      <c r="G290" s="18">
        <f t="shared" si="37"/>
        <v>2072.0700000000002</v>
      </c>
      <c r="I290" s="66">
        <v>14.3</v>
      </c>
      <c r="J290" s="66">
        <f t="shared" si="40"/>
        <v>1.1499999999999999</v>
      </c>
      <c r="K290" s="66">
        <f t="shared" si="41"/>
        <v>16.445</v>
      </c>
      <c r="L290"/>
      <c r="M290" s="93"/>
      <c r="N290" s="94"/>
      <c r="O290" s="95"/>
    </row>
    <row r="291" spans="1:15" s="22" customFormat="1">
      <c r="A291" s="17">
        <v>33</v>
      </c>
      <c r="B291" s="21"/>
      <c r="C291" s="31" t="s">
        <v>272</v>
      </c>
      <c r="D291" s="17">
        <v>126</v>
      </c>
      <c r="E291" s="21" t="s">
        <v>14</v>
      </c>
      <c r="F291" s="76">
        <f t="shared" si="36"/>
        <v>8.1074999999999999</v>
      </c>
      <c r="G291" s="18">
        <f t="shared" si="37"/>
        <v>1021.545</v>
      </c>
      <c r="I291" s="66">
        <v>7.05</v>
      </c>
      <c r="J291" s="66">
        <f t="shared" si="40"/>
        <v>1.1499999999999999</v>
      </c>
      <c r="K291" s="66">
        <f t="shared" si="41"/>
        <v>8.1074999999999999</v>
      </c>
      <c r="L291"/>
      <c r="M291" s="93"/>
      <c r="N291" s="94"/>
      <c r="O291" s="95"/>
    </row>
    <row r="292" spans="1:15" s="22" customFormat="1">
      <c r="A292" s="17">
        <v>34</v>
      </c>
      <c r="B292" s="21" t="s">
        <v>273</v>
      </c>
      <c r="C292" s="31" t="s">
        <v>274</v>
      </c>
      <c r="D292" s="17">
        <v>1716</v>
      </c>
      <c r="E292" s="21" t="s">
        <v>14</v>
      </c>
      <c r="F292" s="76">
        <f t="shared" si="36"/>
        <v>44.16</v>
      </c>
      <c r="G292" s="18">
        <f t="shared" si="37"/>
        <v>75778.559999999998</v>
      </c>
      <c r="I292" s="66">
        <v>38.4</v>
      </c>
      <c r="J292" s="66">
        <f t="shared" si="40"/>
        <v>1.1499999999999999</v>
      </c>
      <c r="K292" s="66">
        <f t="shared" si="41"/>
        <v>44.16</v>
      </c>
      <c r="L292"/>
      <c r="M292" s="93"/>
      <c r="N292" s="94"/>
      <c r="O292" s="95"/>
    </row>
    <row r="293" spans="1:15" s="22" customFormat="1">
      <c r="A293" s="17">
        <v>35</v>
      </c>
      <c r="B293" s="21" t="s">
        <v>275</v>
      </c>
      <c r="C293" s="31" t="s">
        <v>276</v>
      </c>
      <c r="D293" s="17">
        <v>3432</v>
      </c>
      <c r="E293" s="21" t="s">
        <v>14</v>
      </c>
      <c r="F293" s="76">
        <f t="shared" si="36"/>
        <v>17.134999999999998</v>
      </c>
      <c r="G293" s="18">
        <f t="shared" si="37"/>
        <v>58807.319999999992</v>
      </c>
      <c r="I293" s="66">
        <v>14.9</v>
      </c>
      <c r="J293" s="66">
        <f t="shared" si="40"/>
        <v>1.1499999999999999</v>
      </c>
      <c r="K293" s="66">
        <f t="shared" si="41"/>
        <v>17.134999999999998</v>
      </c>
      <c r="L293"/>
      <c r="M293" s="93"/>
      <c r="N293" s="94"/>
      <c r="O293" s="95"/>
    </row>
    <row r="294" spans="1:15" s="22" customFormat="1">
      <c r="A294" s="17">
        <v>36</v>
      </c>
      <c r="B294" s="21"/>
      <c r="C294" s="31" t="s">
        <v>265</v>
      </c>
      <c r="D294" s="17">
        <v>1</v>
      </c>
      <c r="E294" s="21" t="s">
        <v>10</v>
      </c>
      <c r="F294" s="76">
        <f t="shared" si="36"/>
        <v>1132.75</v>
      </c>
      <c r="G294" s="18">
        <f t="shared" si="37"/>
        <v>1132.75</v>
      </c>
      <c r="I294" s="66">
        <v>985</v>
      </c>
      <c r="J294" s="66">
        <f t="shared" si="40"/>
        <v>1.1499999999999999</v>
      </c>
      <c r="K294" s="66">
        <f t="shared" si="41"/>
        <v>1132.75</v>
      </c>
      <c r="L294"/>
      <c r="M294" s="93"/>
      <c r="N294" s="94"/>
      <c r="O294" s="95"/>
    </row>
    <row r="295" spans="1:15" s="22" customFormat="1">
      <c r="A295" s="17">
        <v>37</v>
      </c>
      <c r="B295" s="21"/>
      <c r="C295" s="31" t="s">
        <v>330</v>
      </c>
      <c r="D295" s="17">
        <v>2</v>
      </c>
      <c r="E295" s="21" t="s">
        <v>10</v>
      </c>
      <c r="F295" s="76">
        <f t="shared" si="36"/>
        <v>312.79999999999995</v>
      </c>
      <c r="G295" s="18">
        <f t="shared" si="37"/>
        <v>625.59999999999991</v>
      </c>
      <c r="I295" s="66">
        <v>272</v>
      </c>
      <c r="J295" s="66">
        <f t="shared" si="40"/>
        <v>1.1499999999999999</v>
      </c>
      <c r="K295" s="66">
        <f t="shared" si="41"/>
        <v>312.79999999999995</v>
      </c>
      <c r="L295"/>
      <c r="M295" s="93"/>
      <c r="N295" s="94"/>
      <c r="O295" s="95"/>
    </row>
    <row r="296" spans="1:15" s="22" customFormat="1">
      <c r="A296" s="17">
        <v>38</v>
      </c>
      <c r="B296" s="19" t="s">
        <v>490</v>
      </c>
      <c r="C296" s="19" t="s">
        <v>491</v>
      </c>
      <c r="D296" s="21">
        <v>2</v>
      </c>
      <c r="E296" s="17" t="s">
        <v>10</v>
      </c>
      <c r="F296" s="76">
        <f t="shared" si="36"/>
        <v>517.5</v>
      </c>
      <c r="G296" s="18">
        <f t="shared" si="37"/>
        <v>1035</v>
      </c>
      <c r="I296" s="66">
        <v>450</v>
      </c>
      <c r="J296" s="66">
        <f t="shared" si="40"/>
        <v>1.1499999999999999</v>
      </c>
      <c r="K296" s="66">
        <f t="shared" si="41"/>
        <v>517.5</v>
      </c>
      <c r="L296"/>
      <c r="M296" s="93"/>
      <c r="N296" s="94"/>
      <c r="O296" s="95"/>
    </row>
    <row r="297" spans="1:15" s="22" customFormat="1">
      <c r="A297" s="17">
        <v>39</v>
      </c>
      <c r="B297" s="19" t="s">
        <v>492</v>
      </c>
      <c r="C297" s="19" t="s">
        <v>493</v>
      </c>
      <c r="D297" s="21">
        <v>2</v>
      </c>
      <c r="E297" s="17" t="s">
        <v>10</v>
      </c>
      <c r="F297" s="76">
        <f t="shared" si="36"/>
        <v>517.5</v>
      </c>
      <c r="G297" s="18">
        <f t="shared" si="37"/>
        <v>1035</v>
      </c>
      <c r="I297" s="66">
        <v>450</v>
      </c>
      <c r="J297" s="66">
        <f t="shared" si="40"/>
        <v>1.1499999999999999</v>
      </c>
      <c r="K297" s="66">
        <f t="shared" si="41"/>
        <v>517.5</v>
      </c>
      <c r="L297"/>
      <c r="M297" s="93"/>
      <c r="N297" s="94"/>
      <c r="O297" s="95"/>
    </row>
    <row r="298" spans="1:15" s="22" customFormat="1">
      <c r="A298" s="17">
        <v>40</v>
      </c>
      <c r="B298" s="21" t="s">
        <v>350</v>
      </c>
      <c r="C298" s="31" t="s">
        <v>351</v>
      </c>
      <c r="D298" s="17">
        <v>1</v>
      </c>
      <c r="E298" s="21" t="s">
        <v>10</v>
      </c>
      <c r="F298" s="76">
        <f t="shared" si="36"/>
        <v>1752.6</v>
      </c>
      <c r="G298" s="18">
        <f t="shared" si="37"/>
        <v>1752.6</v>
      </c>
      <c r="I298" s="66">
        <v>1524</v>
      </c>
      <c r="J298" s="66">
        <f t="shared" si="40"/>
        <v>1.1499999999999999</v>
      </c>
      <c r="K298" s="66">
        <f t="shared" si="41"/>
        <v>1752.6</v>
      </c>
      <c r="L298"/>
      <c r="M298" s="93"/>
      <c r="N298" s="94"/>
      <c r="O298" s="95"/>
    </row>
    <row r="299" spans="1:15" s="22" customFormat="1">
      <c r="A299" s="17">
        <v>41</v>
      </c>
      <c r="B299" s="21" t="s">
        <v>352</v>
      </c>
      <c r="C299" s="31" t="s">
        <v>353</v>
      </c>
      <c r="D299" s="17">
        <v>2</v>
      </c>
      <c r="E299" s="21" t="s">
        <v>10</v>
      </c>
      <c r="F299" s="76">
        <f t="shared" si="36"/>
        <v>3140.6499999999996</v>
      </c>
      <c r="G299" s="18">
        <f t="shared" si="37"/>
        <v>6281.2999999999993</v>
      </c>
      <c r="I299" s="66">
        <v>2731</v>
      </c>
      <c r="J299" s="66">
        <f t="shared" si="40"/>
        <v>1.1499999999999999</v>
      </c>
      <c r="K299" s="66">
        <f t="shared" si="41"/>
        <v>3140.6499999999996</v>
      </c>
      <c r="L299"/>
      <c r="M299" s="93"/>
      <c r="N299" s="94"/>
      <c r="O299" s="95"/>
    </row>
    <row r="300" spans="1:15" ht="14.15">
      <c r="A300" s="6"/>
      <c r="B300" s="6"/>
      <c r="C300" s="13" t="s">
        <v>0</v>
      </c>
      <c r="D300" s="59"/>
      <c r="E300" s="14"/>
      <c r="F300" s="77"/>
      <c r="G300" s="15">
        <f>SUM(G259:G299)</f>
        <v>553154.255</v>
      </c>
      <c r="M300" s="93"/>
      <c r="N300" s="94"/>
      <c r="O300" s="95"/>
    </row>
    <row r="301" spans="1:15">
      <c r="B301" s="1"/>
      <c r="C301" s="5" t="s">
        <v>6</v>
      </c>
      <c r="D301" s="17"/>
      <c r="E301" s="8"/>
      <c r="G301" s="7">
        <f>0.21*G300</f>
        <v>116162.39354999999</v>
      </c>
      <c r="M301" s="93"/>
      <c r="N301" s="94"/>
      <c r="O301" s="95"/>
    </row>
    <row r="302" spans="1:15">
      <c r="M302" s="93"/>
      <c r="N302" s="94"/>
      <c r="O302" s="95"/>
    </row>
    <row r="303" spans="1:15" ht="15.45">
      <c r="C303" s="3" t="s">
        <v>290</v>
      </c>
      <c r="M303" s="93"/>
      <c r="N303" s="94"/>
      <c r="O303" s="95"/>
    </row>
    <row r="304" spans="1:15">
      <c r="A304" s="9" t="s">
        <v>1</v>
      </c>
      <c r="B304" s="9" t="s">
        <v>2</v>
      </c>
      <c r="C304" s="9" t="s">
        <v>3</v>
      </c>
      <c r="D304" s="58"/>
      <c r="E304" s="10" t="s">
        <v>4</v>
      </c>
      <c r="F304" s="75" t="s">
        <v>5</v>
      </c>
      <c r="G304" s="10" t="s">
        <v>0</v>
      </c>
      <c r="M304" s="93"/>
      <c r="N304" s="94"/>
      <c r="O304" s="95"/>
    </row>
    <row r="305" spans="1:15">
      <c r="A305" s="11">
        <v>1</v>
      </c>
      <c r="B305" s="11" t="s">
        <v>232</v>
      </c>
      <c r="C305" s="11" t="s">
        <v>291</v>
      </c>
      <c r="D305" s="21">
        <v>234</v>
      </c>
      <c r="E305" s="11" t="s">
        <v>14</v>
      </c>
      <c r="F305" s="76">
        <f t="shared" ref="F305:F324" si="42">K305+O305</f>
        <v>25.299999999999997</v>
      </c>
      <c r="G305" s="12">
        <f t="shared" ref="G305:G324" si="43">D305*F305</f>
        <v>5920.1999999999989</v>
      </c>
      <c r="M305" s="90">
        <v>22</v>
      </c>
      <c r="N305" s="91">
        <f t="shared" ref="N305:N323" si="44">$N$1</f>
        <v>1.1499999999999999</v>
      </c>
      <c r="O305" s="92">
        <f t="shared" ref="O305:O324" si="45">N305*M305</f>
        <v>25.299999999999997</v>
      </c>
    </row>
    <row r="306" spans="1:15">
      <c r="A306" s="11">
        <v>2</v>
      </c>
      <c r="B306" s="11" t="s">
        <v>292</v>
      </c>
      <c r="C306" s="11" t="s">
        <v>293</v>
      </c>
      <c r="D306" s="21">
        <v>32</v>
      </c>
      <c r="E306" s="11" t="s">
        <v>10</v>
      </c>
      <c r="F306" s="76">
        <f t="shared" si="42"/>
        <v>74.75</v>
      </c>
      <c r="G306" s="12">
        <f t="shared" si="43"/>
        <v>2392</v>
      </c>
      <c r="M306" s="90">
        <v>65</v>
      </c>
      <c r="N306" s="91">
        <f t="shared" si="44"/>
        <v>1.1499999999999999</v>
      </c>
      <c r="O306" s="92">
        <f t="shared" si="45"/>
        <v>74.75</v>
      </c>
    </row>
    <row r="307" spans="1:15">
      <c r="A307" s="11">
        <v>3</v>
      </c>
      <c r="B307" s="11" t="s">
        <v>213</v>
      </c>
      <c r="C307" s="11" t="s">
        <v>214</v>
      </c>
      <c r="D307" s="21">
        <v>32</v>
      </c>
      <c r="E307" s="11" t="s">
        <v>10</v>
      </c>
      <c r="F307" s="76">
        <f t="shared" si="42"/>
        <v>28.749999999999996</v>
      </c>
      <c r="G307" s="12">
        <f t="shared" si="43"/>
        <v>919.99999999999989</v>
      </c>
      <c r="M307" s="90">
        <v>25</v>
      </c>
      <c r="N307" s="91">
        <f t="shared" si="44"/>
        <v>1.1499999999999999</v>
      </c>
      <c r="O307" s="92">
        <f t="shared" si="45"/>
        <v>28.749999999999996</v>
      </c>
    </row>
    <row r="308" spans="1:15">
      <c r="A308" s="11">
        <v>4</v>
      </c>
      <c r="B308" s="11" t="s">
        <v>215</v>
      </c>
      <c r="C308" s="11" t="s">
        <v>216</v>
      </c>
      <c r="D308" s="21">
        <v>32</v>
      </c>
      <c r="E308" s="11" t="s">
        <v>10</v>
      </c>
      <c r="F308" s="76">
        <f t="shared" si="42"/>
        <v>55.199999999999996</v>
      </c>
      <c r="G308" s="12">
        <f t="shared" si="43"/>
        <v>1766.3999999999999</v>
      </c>
      <c r="M308" s="90">
        <v>48</v>
      </c>
      <c r="N308" s="91">
        <f t="shared" si="44"/>
        <v>1.1499999999999999</v>
      </c>
      <c r="O308" s="92">
        <f t="shared" si="45"/>
        <v>55.199999999999996</v>
      </c>
    </row>
    <row r="309" spans="1:15">
      <c r="A309" s="11">
        <v>5</v>
      </c>
      <c r="B309" s="11" t="s">
        <v>114</v>
      </c>
      <c r="C309" s="11" t="s">
        <v>294</v>
      </c>
      <c r="D309" s="21">
        <v>32</v>
      </c>
      <c r="E309" s="11" t="s">
        <v>10</v>
      </c>
      <c r="F309" s="76">
        <f t="shared" si="42"/>
        <v>51.749999999999993</v>
      </c>
      <c r="G309" s="12">
        <f t="shared" si="43"/>
        <v>1655.9999999999998</v>
      </c>
      <c r="M309" s="90">
        <v>45</v>
      </c>
      <c r="N309" s="91">
        <f t="shared" si="44"/>
        <v>1.1499999999999999</v>
      </c>
      <c r="O309" s="92">
        <f t="shared" si="45"/>
        <v>51.749999999999993</v>
      </c>
    </row>
    <row r="310" spans="1:15">
      <c r="A310" s="11">
        <v>6</v>
      </c>
      <c r="B310" s="11" t="s">
        <v>115</v>
      </c>
      <c r="C310" s="11" t="s">
        <v>295</v>
      </c>
      <c r="D310" s="21">
        <v>1</v>
      </c>
      <c r="E310" s="11" t="s">
        <v>10</v>
      </c>
      <c r="F310" s="76">
        <f t="shared" si="42"/>
        <v>17.25</v>
      </c>
      <c r="G310" s="12">
        <f t="shared" si="43"/>
        <v>17.25</v>
      </c>
      <c r="M310" s="90">
        <v>15</v>
      </c>
      <c r="N310" s="91">
        <f t="shared" si="44"/>
        <v>1.1499999999999999</v>
      </c>
      <c r="O310" s="92">
        <f t="shared" si="45"/>
        <v>17.25</v>
      </c>
    </row>
    <row r="311" spans="1:15">
      <c r="A311" s="11">
        <v>7</v>
      </c>
      <c r="B311" s="11"/>
      <c r="C311" s="11" t="s">
        <v>296</v>
      </c>
      <c r="D311" s="21">
        <v>2</v>
      </c>
      <c r="E311" s="11" t="s">
        <v>10</v>
      </c>
      <c r="F311" s="76">
        <f t="shared" si="42"/>
        <v>92</v>
      </c>
      <c r="G311" s="12">
        <f t="shared" si="43"/>
        <v>184</v>
      </c>
      <c r="M311" s="90">
        <v>80</v>
      </c>
      <c r="N311" s="91">
        <f t="shared" si="44"/>
        <v>1.1499999999999999</v>
      </c>
      <c r="O311" s="92">
        <f t="shared" si="45"/>
        <v>92</v>
      </c>
    </row>
    <row r="312" spans="1:15">
      <c r="A312" s="11">
        <v>8</v>
      </c>
      <c r="B312" s="11" t="s">
        <v>112</v>
      </c>
      <c r="C312" s="11" t="s">
        <v>123</v>
      </c>
      <c r="D312" s="21">
        <v>1</v>
      </c>
      <c r="E312" s="11" t="s">
        <v>10</v>
      </c>
      <c r="F312" s="76">
        <f t="shared" si="42"/>
        <v>758.99999999999989</v>
      </c>
      <c r="G312" s="12">
        <f t="shared" si="43"/>
        <v>758.99999999999989</v>
      </c>
      <c r="M312" s="90">
        <v>660</v>
      </c>
      <c r="N312" s="91">
        <f t="shared" si="44"/>
        <v>1.1499999999999999</v>
      </c>
      <c r="O312" s="92">
        <f t="shared" si="45"/>
        <v>758.99999999999989</v>
      </c>
    </row>
    <row r="313" spans="1:15">
      <c r="A313" s="11">
        <v>9</v>
      </c>
      <c r="B313" s="11" t="s">
        <v>297</v>
      </c>
      <c r="C313" s="11" t="s">
        <v>298</v>
      </c>
      <c r="D313" s="21">
        <v>1</v>
      </c>
      <c r="E313" s="11" t="s">
        <v>10</v>
      </c>
      <c r="F313" s="76">
        <f t="shared" si="42"/>
        <v>287.5</v>
      </c>
      <c r="G313" s="12">
        <f t="shared" si="43"/>
        <v>287.5</v>
      </c>
      <c r="M313" s="90">
        <v>250</v>
      </c>
      <c r="N313" s="91">
        <f t="shared" si="44"/>
        <v>1.1499999999999999</v>
      </c>
      <c r="O313" s="92">
        <f t="shared" si="45"/>
        <v>287.5</v>
      </c>
    </row>
    <row r="314" spans="1:15">
      <c r="A314" s="11">
        <v>10</v>
      </c>
      <c r="B314" s="11" t="s">
        <v>299</v>
      </c>
      <c r="C314" s="11" t="s">
        <v>500</v>
      </c>
      <c r="D314" s="21">
        <v>1</v>
      </c>
      <c r="E314" s="11" t="s">
        <v>10</v>
      </c>
      <c r="F314" s="76">
        <f t="shared" si="42"/>
        <v>299</v>
      </c>
      <c r="G314" s="12">
        <f t="shared" si="43"/>
        <v>299</v>
      </c>
      <c r="M314" s="90">
        <v>260</v>
      </c>
      <c r="N314" s="91">
        <f t="shared" si="44"/>
        <v>1.1499999999999999</v>
      </c>
      <c r="O314" s="92">
        <f t="shared" si="45"/>
        <v>299</v>
      </c>
    </row>
    <row r="315" spans="1:15">
      <c r="A315" s="11">
        <v>11</v>
      </c>
      <c r="B315" s="11" t="s">
        <v>300</v>
      </c>
      <c r="C315" s="11" t="s">
        <v>301</v>
      </c>
      <c r="D315" s="21">
        <v>13</v>
      </c>
      <c r="E315" s="11" t="s">
        <v>10</v>
      </c>
      <c r="F315" s="76">
        <f t="shared" si="42"/>
        <v>92</v>
      </c>
      <c r="G315" s="12">
        <f t="shared" si="43"/>
        <v>1196</v>
      </c>
      <c r="M315" s="90">
        <v>80</v>
      </c>
      <c r="N315" s="91">
        <f t="shared" si="44"/>
        <v>1.1499999999999999</v>
      </c>
      <c r="O315" s="92">
        <f t="shared" si="45"/>
        <v>92</v>
      </c>
    </row>
    <row r="316" spans="1:15">
      <c r="A316" s="11">
        <v>12</v>
      </c>
      <c r="B316" s="11" t="s">
        <v>302</v>
      </c>
      <c r="C316" s="11" t="s">
        <v>303</v>
      </c>
      <c r="D316" s="21">
        <v>3</v>
      </c>
      <c r="E316" s="11" t="s">
        <v>10</v>
      </c>
      <c r="F316" s="76">
        <f t="shared" si="42"/>
        <v>287.5</v>
      </c>
      <c r="G316" s="12">
        <f t="shared" si="43"/>
        <v>862.5</v>
      </c>
      <c r="M316" s="90">
        <v>250</v>
      </c>
      <c r="N316" s="91">
        <f t="shared" si="44"/>
        <v>1.1499999999999999</v>
      </c>
      <c r="O316" s="92">
        <f t="shared" si="45"/>
        <v>287.5</v>
      </c>
    </row>
    <row r="317" spans="1:15">
      <c r="A317" s="11">
        <v>13</v>
      </c>
      <c r="B317" s="11" t="s">
        <v>304</v>
      </c>
      <c r="C317" s="11" t="s">
        <v>305</v>
      </c>
      <c r="D317" s="21">
        <v>10</v>
      </c>
      <c r="E317" s="11" t="s">
        <v>10</v>
      </c>
      <c r="F317" s="76">
        <f t="shared" si="42"/>
        <v>345</v>
      </c>
      <c r="G317" s="12">
        <f t="shared" si="43"/>
        <v>3450</v>
      </c>
      <c r="M317" s="90">
        <v>300</v>
      </c>
      <c r="N317" s="91">
        <f t="shared" si="44"/>
        <v>1.1499999999999999</v>
      </c>
      <c r="O317" s="92">
        <f t="shared" si="45"/>
        <v>345</v>
      </c>
    </row>
    <row r="318" spans="1:15">
      <c r="A318" s="11">
        <v>14</v>
      </c>
      <c r="B318" s="11"/>
      <c r="C318" s="11" t="s">
        <v>76</v>
      </c>
      <c r="D318" s="21">
        <v>8</v>
      </c>
      <c r="E318" s="11" t="s">
        <v>73</v>
      </c>
      <c r="F318" s="76">
        <f t="shared" si="42"/>
        <v>517.5</v>
      </c>
      <c r="G318" s="12">
        <f t="shared" si="43"/>
        <v>4140</v>
      </c>
      <c r="M318" s="90">
        <v>450</v>
      </c>
      <c r="N318" s="91">
        <f t="shared" si="44"/>
        <v>1.1499999999999999</v>
      </c>
      <c r="O318" s="92">
        <f t="shared" si="45"/>
        <v>517.5</v>
      </c>
    </row>
    <row r="319" spans="1:15">
      <c r="A319" s="11">
        <v>15</v>
      </c>
      <c r="B319" s="11"/>
      <c r="C319" s="11" t="s">
        <v>77</v>
      </c>
      <c r="D319" s="21">
        <v>8</v>
      </c>
      <c r="E319" s="11" t="s">
        <v>73</v>
      </c>
      <c r="F319" s="76">
        <f t="shared" si="42"/>
        <v>517.5</v>
      </c>
      <c r="G319" s="12">
        <f t="shared" si="43"/>
        <v>4140</v>
      </c>
      <c r="M319" s="90">
        <v>450</v>
      </c>
      <c r="N319" s="91">
        <f t="shared" si="44"/>
        <v>1.1499999999999999</v>
      </c>
      <c r="O319" s="92">
        <f t="shared" si="45"/>
        <v>517.5</v>
      </c>
    </row>
    <row r="320" spans="1:15">
      <c r="A320" s="11">
        <v>16</v>
      </c>
      <c r="B320" s="11"/>
      <c r="C320" s="11" t="s">
        <v>238</v>
      </c>
      <c r="D320" s="21">
        <v>8</v>
      </c>
      <c r="E320" s="11" t="s">
        <v>73</v>
      </c>
      <c r="F320" s="76">
        <f t="shared" si="42"/>
        <v>977.49999999999989</v>
      </c>
      <c r="G320" s="12">
        <f t="shared" si="43"/>
        <v>7819.9999999999991</v>
      </c>
      <c r="M320" s="90">
        <v>850</v>
      </c>
      <c r="N320" s="91">
        <f t="shared" si="44"/>
        <v>1.1499999999999999</v>
      </c>
      <c r="O320" s="92">
        <f t="shared" si="45"/>
        <v>977.49999999999989</v>
      </c>
    </row>
    <row r="321" spans="1:15">
      <c r="A321" s="11">
        <v>17</v>
      </c>
      <c r="B321" s="11"/>
      <c r="C321" s="11" t="s">
        <v>314</v>
      </c>
      <c r="D321" s="21">
        <v>34</v>
      </c>
      <c r="E321" s="11" t="s">
        <v>14</v>
      </c>
      <c r="F321" s="76">
        <f t="shared" si="42"/>
        <v>16.099999999999998</v>
      </c>
      <c r="G321" s="12">
        <f t="shared" si="43"/>
        <v>547.4</v>
      </c>
      <c r="M321" s="90">
        <v>14</v>
      </c>
      <c r="N321" s="91">
        <f t="shared" si="44"/>
        <v>1.1499999999999999</v>
      </c>
      <c r="O321" s="92">
        <f t="shared" si="45"/>
        <v>16.099999999999998</v>
      </c>
    </row>
    <row r="322" spans="1:15">
      <c r="A322" s="11">
        <v>18</v>
      </c>
      <c r="B322" s="11"/>
      <c r="C322" s="11" t="s">
        <v>325</v>
      </c>
      <c r="D322" s="21">
        <v>2</v>
      </c>
      <c r="E322" s="11" t="s">
        <v>10</v>
      </c>
      <c r="F322" s="76">
        <f t="shared" si="42"/>
        <v>103.49999999999999</v>
      </c>
      <c r="G322" s="12">
        <f t="shared" si="43"/>
        <v>206.99999999999997</v>
      </c>
      <c r="M322" s="90">
        <v>90</v>
      </c>
      <c r="N322" s="91">
        <f t="shared" si="44"/>
        <v>1.1499999999999999</v>
      </c>
      <c r="O322" s="92">
        <f t="shared" si="45"/>
        <v>103.49999999999999</v>
      </c>
    </row>
    <row r="323" spans="1:15">
      <c r="A323" s="11">
        <v>19</v>
      </c>
      <c r="B323" s="11"/>
      <c r="C323" s="11" t="s">
        <v>315</v>
      </c>
      <c r="D323" s="21">
        <v>2</v>
      </c>
      <c r="E323" s="11" t="s">
        <v>10</v>
      </c>
      <c r="F323" s="76">
        <f t="shared" si="42"/>
        <v>92</v>
      </c>
      <c r="G323" s="12">
        <f t="shared" si="43"/>
        <v>184</v>
      </c>
      <c r="M323" s="90">
        <v>80</v>
      </c>
      <c r="N323" s="91">
        <f t="shared" si="44"/>
        <v>1.1499999999999999</v>
      </c>
      <c r="O323" s="92">
        <f t="shared" si="45"/>
        <v>92</v>
      </c>
    </row>
    <row r="324" spans="1:15">
      <c r="A324" s="11">
        <v>20</v>
      </c>
      <c r="B324" s="11"/>
      <c r="C324" s="11" t="s">
        <v>316</v>
      </c>
      <c r="D324" s="21">
        <v>1</v>
      </c>
      <c r="E324" s="11" t="s">
        <v>10</v>
      </c>
      <c r="F324" s="76">
        <f t="shared" si="42"/>
        <v>69</v>
      </c>
      <c r="G324" s="12">
        <f t="shared" si="43"/>
        <v>69</v>
      </c>
      <c r="M324" s="90">
        <v>60</v>
      </c>
      <c r="N324" s="91">
        <f t="shared" ref="N324" si="46">$N$1</f>
        <v>1.1499999999999999</v>
      </c>
      <c r="O324" s="92">
        <f t="shared" si="45"/>
        <v>69</v>
      </c>
    </row>
    <row r="325" spans="1:15" ht="14.15">
      <c r="A325" s="6"/>
      <c r="B325" s="6"/>
      <c r="C325" s="13" t="s">
        <v>0</v>
      </c>
      <c r="D325" s="59"/>
      <c r="E325" s="14"/>
      <c r="F325" s="77"/>
      <c r="G325" s="15">
        <f>SUM(G305:G324)</f>
        <v>36817.25</v>
      </c>
      <c r="M325" s="93"/>
      <c r="N325" s="94"/>
      <c r="O325" s="95"/>
    </row>
    <row r="326" spans="1:15">
      <c r="B326" s="1"/>
      <c r="C326" s="5" t="s">
        <v>6</v>
      </c>
      <c r="D326" s="17"/>
      <c r="E326" s="8"/>
      <c r="G326" s="7">
        <f>0.21*G325</f>
        <v>7731.6224999999995</v>
      </c>
      <c r="M326" s="93"/>
      <c r="N326" s="94"/>
      <c r="O326" s="95"/>
    </row>
    <row r="327" spans="1:15">
      <c r="M327" s="93"/>
      <c r="N327" s="94"/>
      <c r="O327" s="95"/>
    </row>
    <row r="328" spans="1:15" ht="15.45">
      <c r="C328" s="3" t="s">
        <v>306</v>
      </c>
      <c r="M328" s="93"/>
      <c r="N328" s="94"/>
      <c r="O328" s="95"/>
    </row>
    <row r="329" spans="1:15">
      <c r="A329" s="9" t="s">
        <v>1</v>
      </c>
      <c r="B329" s="9" t="s">
        <v>2</v>
      </c>
      <c r="C329" s="9" t="s">
        <v>3</v>
      </c>
      <c r="D329" s="58"/>
      <c r="E329" s="10" t="s">
        <v>4</v>
      </c>
      <c r="F329" s="75" t="s">
        <v>5</v>
      </c>
      <c r="G329" s="10" t="s">
        <v>0</v>
      </c>
      <c r="M329" s="93"/>
      <c r="N329" s="94"/>
      <c r="O329" s="95"/>
    </row>
    <row r="330" spans="1:15" s="22" customFormat="1">
      <c r="A330" s="17">
        <v>1</v>
      </c>
      <c r="B330" s="17" t="s">
        <v>307</v>
      </c>
      <c r="C330" s="25" t="s">
        <v>308</v>
      </c>
      <c r="D330" s="21">
        <v>234</v>
      </c>
      <c r="E330" s="21" t="s">
        <v>14</v>
      </c>
      <c r="F330" s="76">
        <f t="shared" ref="F330:F341" si="47">K330+O330</f>
        <v>19.262499999999999</v>
      </c>
      <c r="G330" s="18">
        <f t="shared" ref="G330:G341" si="48">D330*F330</f>
        <v>4507.4250000000002</v>
      </c>
      <c r="I330" s="66">
        <v>16.75</v>
      </c>
      <c r="J330" s="66">
        <f t="shared" ref="J330:J341" si="49">$J$1</f>
        <v>1.1499999999999999</v>
      </c>
      <c r="K330" s="66">
        <f t="shared" ref="K330:K341" si="50">J330*I330</f>
        <v>19.262499999999999</v>
      </c>
      <c r="L330"/>
      <c r="M330" s="93"/>
      <c r="N330" s="94"/>
      <c r="O330" s="95"/>
    </row>
    <row r="331" spans="1:15" s="22" customFormat="1">
      <c r="A331" s="17">
        <v>2</v>
      </c>
      <c r="B331" s="17"/>
      <c r="C331" s="25" t="s">
        <v>309</v>
      </c>
      <c r="D331" s="21">
        <v>1</v>
      </c>
      <c r="E331" s="21" t="s">
        <v>75</v>
      </c>
      <c r="F331" s="76">
        <f t="shared" si="47"/>
        <v>4600</v>
      </c>
      <c r="G331" s="18">
        <f t="shared" si="48"/>
        <v>4600</v>
      </c>
      <c r="I331" s="66">
        <v>4000</v>
      </c>
      <c r="J331" s="66">
        <f t="shared" si="49"/>
        <v>1.1499999999999999</v>
      </c>
      <c r="K331" s="66">
        <f t="shared" si="50"/>
        <v>4600</v>
      </c>
      <c r="L331"/>
      <c r="M331" s="93"/>
      <c r="N331" s="94"/>
      <c r="O331" s="95"/>
    </row>
    <row r="332" spans="1:15" s="22" customFormat="1">
      <c r="A332" s="17">
        <v>3</v>
      </c>
      <c r="B332" s="17"/>
      <c r="C332" s="25" t="s">
        <v>310</v>
      </c>
      <c r="D332" s="21">
        <v>1</v>
      </c>
      <c r="E332" s="21" t="s">
        <v>75</v>
      </c>
      <c r="F332" s="76">
        <f t="shared" si="47"/>
        <v>2070</v>
      </c>
      <c r="G332" s="18">
        <f t="shared" si="48"/>
        <v>2070</v>
      </c>
      <c r="I332" s="66">
        <v>1800</v>
      </c>
      <c r="J332" s="66">
        <f t="shared" si="49"/>
        <v>1.1499999999999999</v>
      </c>
      <c r="K332" s="66">
        <f t="shared" si="50"/>
        <v>2070</v>
      </c>
      <c r="L332"/>
      <c r="M332" s="93"/>
      <c r="N332" s="94"/>
      <c r="O332" s="95"/>
    </row>
    <row r="333" spans="1:15" s="22" customFormat="1">
      <c r="A333" s="17">
        <v>4</v>
      </c>
      <c r="B333" s="17"/>
      <c r="C333" s="25" t="s">
        <v>311</v>
      </c>
      <c r="D333" s="21">
        <v>1</v>
      </c>
      <c r="E333" s="21" t="s">
        <v>75</v>
      </c>
      <c r="F333" s="76">
        <f t="shared" si="47"/>
        <v>1104</v>
      </c>
      <c r="G333" s="18">
        <f t="shared" si="48"/>
        <v>1104</v>
      </c>
      <c r="I333" s="66">
        <v>960</v>
      </c>
      <c r="J333" s="66">
        <f t="shared" si="49"/>
        <v>1.1499999999999999</v>
      </c>
      <c r="K333" s="66">
        <f t="shared" si="50"/>
        <v>1104</v>
      </c>
      <c r="L333"/>
      <c r="M333" s="93"/>
      <c r="N333" s="94"/>
      <c r="O333" s="95"/>
    </row>
    <row r="334" spans="1:15" s="22" customFormat="1">
      <c r="A334" s="17">
        <v>5</v>
      </c>
      <c r="B334" s="17"/>
      <c r="C334" s="25" t="s">
        <v>312</v>
      </c>
      <c r="D334" s="21">
        <v>1</v>
      </c>
      <c r="E334" s="21" t="s">
        <v>75</v>
      </c>
      <c r="F334" s="76">
        <f t="shared" si="47"/>
        <v>736</v>
      </c>
      <c r="G334" s="18">
        <f t="shared" si="48"/>
        <v>736</v>
      </c>
      <c r="I334" s="66">
        <v>640</v>
      </c>
      <c r="J334" s="66">
        <f t="shared" si="49"/>
        <v>1.1499999999999999</v>
      </c>
      <c r="K334" s="66">
        <f t="shared" si="50"/>
        <v>736</v>
      </c>
      <c r="L334"/>
      <c r="M334" s="93"/>
      <c r="N334" s="94"/>
      <c r="O334" s="95"/>
    </row>
    <row r="335" spans="1:15" s="22" customFormat="1">
      <c r="A335" s="17">
        <v>6</v>
      </c>
      <c r="B335" s="17"/>
      <c r="C335" s="25" t="s">
        <v>313</v>
      </c>
      <c r="D335" s="21">
        <v>1</v>
      </c>
      <c r="E335" s="21" t="s">
        <v>75</v>
      </c>
      <c r="F335" s="76">
        <f t="shared" si="47"/>
        <v>575</v>
      </c>
      <c r="G335" s="18">
        <f t="shared" si="48"/>
        <v>575</v>
      </c>
      <c r="I335" s="66">
        <v>500</v>
      </c>
      <c r="J335" s="66">
        <f t="shared" si="49"/>
        <v>1.1499999999999999</v>
      </c>
      <c r="K335" s="66">
        <f t="shared" si="50"/>
        <v>575</v>
      </c>
      <c r="L335"/>
      <c r="M335" s="93"/>
      <c r="N335" s="94"/>
      <c r="O335" s="95"/>
    </row>
    <row r="336" spans="1:15" ht="23.15">
      <c r="A336" s="17">
        <v>7</v>
      </c>
      <c r="B336" s="30" t="s">
        <v>494</v>
      </c>
      <c r="C336" s="30" t="s">
        <v>495</v>
      </c>
      <c r="D336" s="21">
        <v>10</v>
      </c>
      <c r="E336" s="17" t="s">
        <v>10</v>
      </c>
      <c r="F336" s="76">
        <f t="shared" si="47"/>
        <v>661.25</v>
      </c>
      <c r="G336" s="18">
        <f t="shared" si="48"/>
        <v>6612.5</v>
      </c>
      <c r="I336" s="66">
        <v>575</v>
      </c>
      <c r="J336" s="66">
        <f t="shared" si="49"/>
        <v>1.1499999999999999</v>
      </c>
      <c r="K336" s="66">
        <f t="shared" si="50"/>
        <v>661.25</v>
      </c>
      <c r="M336" s="93"/>
      <c r="N336" s="94"/>
      <c r="O336" s="95"/>
    </row>
    <row r="337" spans="1:15" ht="23.15">
      <c r="A337" s="17">
        <v>8</v>
      </c>
      <c r="B337" s="30" t="s">
        <v>498</v>
      </c>
      <c r="C337" s="30" t="s">
        <v>499</v>
      </c>
      <c r="D337" s="21">
        <v>3</v>
      </c>
      <c r="E337" s="17" t="s">
        <v>10</v>
      </c>
      <c r="F337" s="76">
        <f t="shared" si="47"/>
        <v>2415</v>
      </c>
      <c r="G337" s="18">
        <f t="shared" si="48"/>
        <v>7245</v>
      </c>
      <c r="I337" s="66">
        <v>2100</v>
      </c>
      <c r="J337" s="66">
        <f t="shared" si="49"/>
        <v>1.1499999999999999</v>
      </c>
      <c r="K337" s="66">
        <f t="shared" si="50"/>
        <v>2415</v>
      </c>
      <c r="M337" s="93"/>
      <c r="N337" s="94"/>
      <c r="O337" s="95"/>
    </row>
    <row r="338" spans="1:15" ht="81">
      <c r="A338" s="17">
        <v>9</v>
      </c>
      <c r="B338" s="21" t="s">
        <v>496</v>
      </c>
      <c r="C338" s="30" t="s">
        <v>497</v>
      </c>
      <c r="D338" s="21">
        <v>1</v>
      </c>
      <c r="E338" s="17" t="s">
        <v>10</v>
      </c>
      <c r="F338" s="76">
        <f t="shared" si="47"/>
        <v>24575.499999999996</v>
      </c>
      <c r="G338" s="18">
        <f t="shared" si="48"/>
        <v>24575.499999999996</v>
      </c>
      <c r="I338" s="66">
        <v>21370</v>
      </c>
      <c r="J338" s="66">
        <f t="shared" si="49"/>
        <v>1.1499999999999999</v>
      </c>
      <c r="K338" s="66">
        <f t="shared" si="50"/>
        <v>24575.499999999996</v>
      </c>
      <c r="M338" s="93"/>
      <c r="N338" s="94"/>
      <c r="O338" s="95"/>
    </row>
    <row r="339" spans="1:15" s="22" customFormat="1">
      <c r="A339" s="17">
        <v>10</v>
      </c>
      <c r="B339" s="17"/>
      <c r="C339" s="25" t="s">
        <v>324</v>
      </c>
      <c r="D339" s="21">
        <v>2</v>
      </c>
      <c r="E339" s="21" t="s">
        <v>10</v>
      </c>
      <c r="F339" s="76">
        <f t="shared" si="47"/>
        <v>51.749999999999993</v>
      </c>
      <c r="G339" s="18">
        <f t="shared" si="48"/>
        <v>103.49999999999999</v>
      </c>
      <c r="I339" s="66">
        <v>45</v>
      </c>
      <c r="J339" s="66">
        <f t="shared" si="49"/>
        <v>1.1499999999999999</v>
      </c>
      <c r="K339" s="66">
        <f t="shared" si="50"/>
        <v>51.749999999999993</v>
      </c>
      <c r="L339"/>
      <c r="M339" s="93"/>
      <c r="N339" s="94"/>
      <c r="O339" s="95"/>
    </row>
    <row r="340" spans="1:15" s="22" customFormat="1">
      <c r="A340" s="17">
        <v>11</v>
      </c>
      <c r="B340" s="17"/>
      <c r="C340" s="25" t="s">
        <v>317</v>
      </c>
      <c r="D340" s="21">
        <v>2</v>
      </c>
      <c r="E340" s="21" t="s">
        <v>10</v>
      </c>
      <c r="F340" s="76">
        <f t="shared" si="47"/>
        <v>74.75</v>
      </c>
      <c r="G340" s="18">
        <f t="shared" si="48"/>
        <v>149.5</v>
      </c>
      <c r="I340" s="66">
        <v>65</v>
      </c>
      <c r="J340" s="66">
        <f t="shared" si="49"/>
        <v>1.1499999999999999</v>
      </c>
      <c r="K340" s="66">
        <f t="shared" si="50"/>
        <v>74.75</v>
      </c>
      <c r="L340"/>
      <c r="M340" s="93"/>
      <c r="N340" s="94"/>
      <c r="O340" s="95"/>
    </row>
    <row r="341" spans="1:15" s="22" customFormat="1" ht="12.9" thickBot="1">
      <c r="A341" s="17">
        <v>12</v>
      </c>
      <c r="B341" s="17"/>
      <c r="C341" s="25" t="s">
        <v>318</v>
      </c>
      <c r="D341" s="21">
        <v>34</v>
      </c>
      <c r="E341" s="21" t="s">
        <v>14</v>
      </c>
      <c r="F341" s="76">
        <f t="shared" si="47"/>
        <v>13.799999999999999</v>
      </c>
      <c r="G341" s="18">
        <f t="shared" si="48"/>
        <v>469.2</v>
      </c>
      <c r="I341" s="66">
        <v>12</v>
      </c>
      <c r="J341" s="66">
        <f t="shared" si="49"/>
        <v>1.1499999999999999</v>
      </c>
      <c r="K341" s="66">
        <f t="shared" si="50"/>
        <v>13.799999999999999</v>
      </c>
      <c r="L341"/>
      <c r="M341" s="96"/>
      <c r="N341" s="97"/>
      <c r="O341" s="98"/>
    </row>
    <row r="342" spans="1:15" ht="14.6" thickTop="1">
      <c r="A342" s="6"/>
      <c r="B342" s="6"/>
      <c r="C342" s="13" t="s">
        <v>0</v>
      </c>
      <c r="D342" s="60"/>
      <c r="E342" s="14"/>
      <c r="F342" s="77"/>
      <c r="G342" s="15">
        <f>SUM(G330:G341)</f>
        <v>52747.624999999993</v>
      </c>
    </row>
    <row r="343" spans="1:15">
      <c r="B343" s="1"/>
      <c r="C343" s="5" t="s">
        <v>6</v>
      </c>
      <c r="E343" s="8"/>
      <c r="G343" s="7">
        <f>0.21*G342</f>
        <v>11077.001249999998</v>
      </c>
    </row>
  </sheetData>
  <mergeCells count="2">
    <mergeCell ref="A2:G3"/>
    <mergeCell ref="A4:G5"/>
  </mergeCells>
  <pageMargins left="0.38" right="0.4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Položkově</vt:lpstr>
    </vt:vector>
  </TitlesOfParts>
  <Company>XXX.s.r.o.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Kaisler</dc:creator>
  <cp:lastModifiedBy>Martin Hrabcik</cp:lastModifiedBy>
  <cp:lastPrinted>2025-02-07T16:20:59Z</cp:lastPrinted>
  <dcterms:created xsi:type="dcterms:W3CDTF">1998-09-16T08:22:29Z</dcterms:created>
  <dcterms:modified xsi:type="dcterms:W3CDTF">2026-02-01T20:38:35Z</dcterms:modified>
</cp:coreProperties>
</file>