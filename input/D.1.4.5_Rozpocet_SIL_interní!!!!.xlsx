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409b716a5e78c18/Stratera/01_Zakázky/01_Realizace/2024_zakázky/24010_DEK Cheb/03_Rozpočty/"/>
    </mc:Choice>
  </mc:AlternateContent>
  <xr:revisionPtr revIDLastSave="400" documentId="8_{8F4E4CC5-12DC-4A44-B1FE-4068652372D0}" xr6:coauthVersionLast="47" xr6:coauthVersionMax="47" xr10:uidLastSave="{D07AFBE5-807E-48A0-BFA4-4E8B103EC3B5}"/>
  <bookViews>
    <workbookView xWindow="22944" yWindow="0" windowWidth="20832" windowHeight="16656" activeTab="1" xr2:uid="{00000000-000D-0000-FFFF-FFFF00000000}"/>
  </bookViews>
  <sheets>
    <sheet name="Rekapitulace" sheetId="3" r:id="rId1"/>
    <sheet name="Rozpočet" sheetId="2" r:id="rId2"/>
    <sheet name="Parametry" sheetId="1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19" i="2" l="1"/>
  <c r="U19" i="2" s="1"/>
  <c r="AA315" i="2" l="1"/>
  <c r="Y315" i="2"/>
  <c r="AA314" i="2"/>
  <c r="Y314" i="2"/>
  <c r="AA313" i="2"/>
  <c r="Y313" i="2"/>
  <c r="AA312" i="2"/>
  <c r="Y312" i="2"/>
  <c r="AA311" i="2"/>
  <c r="Y311" i="2"/>
  <c r="AA310" i="2"/>
  <c r="Y310" i="2"/>
  <c r="AA309" i="2"/>
  <c r="Y309" i="2"/>
  <c r="AA308" i="2"/>
  <c r="Y308" i="2"/>
  <c r="AA307" i="2"/>
  <c r="Y307" i="2"/>
  <c r="AA306" i="2"/>
  <c r="Y306" i="2"/>
  <c r="AA305" i="2"/>
  <c r="Y305" i="2"/>
  <c r="AA304" i="2"/>
  <c r="Y304" i="2"/>
  <c r="AA303" i="2"/>
  <c r="Y303" i="2"/>
  <c r="AA302" i="2"/>
  <c r="Y302" i="2"/>
  <c r="AA301" i="2"/>
  <c r="Y301" i="2"/>
  <c r="AA300" i="2"/>
  <c r="Y300" i="2"/>
  <c r="AA299" i="2"/>
  <c r="Y299" i="2"/>
  <c r="AA298" i="2"/>
  <c r="Y298" i="2"/>
  <c r="AA297" i="2"/>
  <c r="Y297" i="2"/>
  <c r="AA296" i="2"/>
  <c r="Y296" i="2"/>
  <c r="AA295" i="2"/>
  <c r="Y295" i="2"/>
  <c r="AA294" i="2"/>
  <c r="Y294" i="2"/>
  <c r="AA293" i="2"/>
  <c r="Y293" i="2"/>
  <c r="AA292" i="2"/>
  <c r="Y292" i="2"/>
  <c r="AA291" i="2"/>
  <c r="Y291" i="2"/>
  <c r="AA290" i="2"/>
  <c r="Y290" i="2"/>
  <c r="AA289" i="2"/>
  <c r="Y289" i="2"/>
  <c r="AA288" i="2"/>
  <c r="Y288" i="2"/>
  <c r="AA287" i="2"/>
  <c r="Y287" i="2"/>
  <c r="AA286" i="2"/>
  <c r="Y286" i="2"/>
  <c r="AA285" i="2"/>
  <c r="Y285" i="2"/>
  <c r="AA284" i="2"/>
  <c r="Y284" i="2"/>
  <c r="AA283" i="2"/>
  <c r="Y283" i="2"/>
  <c r="AA282" i="2"/>
  <c r="Y282" i="2"/>
  <c r="AA281" i="2"/>
  <c r="Y281" i="2"/>
  <c r="AA280" i="2"/>
  <c r="Y280" i="2"/>
  <c r="AA279" i="2"/>
  <c r="Y279" i="2"/>
  <c r="AA278" i="2"/>
  <c r="AA277" i="2"/>
  <c r="Y277" i="2"/>
  <c r="AA276" i="2"/>
  <c r="Y276" i="2"/>
  <c r="AA275" i="2"/>
  <c r="Y275" i="2"/>
  <c r="AA274" i="2"/>
  <c r="Y274" i="2"/>
  <c r="AA273" i="2"/>
  <c r="Y273" i="2"/>
  <c r="AA272" i="2"/>
  <c r="Y272" i="2"/>
  <c r="AA271" i="2"/>
  <c r="Y271" i="2"/>
  <c r="AA270" i="2"/>
  <c r="Y270" i="2"/>
  <c r="AA269" i="2"/>
  <c r="Y269" i="2"/>
  <c r="AA268" i="2"/>
  <c r="Y268" i="2"/>
  <c r="AA267" i="2"/>
  <c r="Y267" i="2"/>
  <c r="AA266" i="2"/>
  <c r="Y266" i="2"/>
  <c r="AA265" i="2"/>
  <c r="Y265" i="2"/>
  <c r="AA264" i="2"/>
  <c r="Y264" i="2"/>
  <c r="AA263" i="2"/>
  <c r="Y263" i="2"/>
  <c r="AA262" i="2"/>
  <c r="Y262" i="2"/>
  <c r="AA261" i="2"/>
  <c r="Y261" i="2"/>
  <c r="AA260" i="2"/>
  <c r="Y260" i="2"/>
  <c r="AA259" i="2"/>
  <c r="Y259" i="2"/>
  <c r="AA258" i="2"/>
  <c r="Y258" i="2"/>
  <c r="AA257" i="2"/>
  <c r="Y257" i="2"/>
  <c r="AA256" i="2"/>
  <c r="Y256" i="2"/>
  <c r="AA255" i="2"/>
  <c r="Y255" i="2"/>
  <c r="AA254" i="2"/>
  <c r="Y254" i="2"/>
  <c r="AA253" i="2"/>
  <c r="Y253" i="2"/>
  <c r="AA252" i="2"/>
  <c r="AA251" i="2"/>
  <c r="Y251" i="2"/>
  <c r="AA250" i="2"/>
  <c r="Y250" i="2"/>
  <c r="AA249" i="2"/>
  <c r="Y249" i="2"/>
  <c r="AA248" i="2"/>
  <c r="Y248" i="2"/>
  <c r="AA247" i="2"/>
  <c r="Y247" i="2"/>
  <c r="AA246" i="2"/>
  <c r="Y246" i="2"/>
  <c r="AA245" i="2"/>
  <c r="AA244" i="2"/>
  <c r="Y244" i="2"/>
  <c r="AA243" i="2"/>
  <c r="Y243" i="2"/>
  <c r="AA242" i="2"/>
  <c r="AA241" i="2"/>
  <c r="AA240" i="2"/>
  <c r="AA239" i="2"/>
  <c r="Y239" i="2"/>
  <c r="AA238" i="2"/>
  <c r="AA237" i="2"/>
  <c r="Y237" i="2"/>
  <c r="AA236" i="2"/>
  <c r="AA235" i="2"/>
  <c r="AA234" i="2"/>
  <c r="AA233" i="2"/>
  <c r="Y233" i="2"/>
  <c r="AA232" i="2"/>
  <c r="Y232" i="2"/>
  <c r="AA231" i="2"/>
  <c r="Y231" i="2"/>
  <c r="AA230" i="2"/>
  <c r="Y230" i="2"/>
  <c r="AA229" i="2"/>
  <c r="Y229" i="2"/>
  <c r="AA228" i="2"/>
  <c r="Y228" i="2"/>
  <c r="AA227" i="2"/>
  <c r="Y227" i="2"/>
  <c r="AA226" i="2"/>
  <c r="Y226" i="2"/>
  <c r="AA225" i="2"/>
  <c r="Y225" i="2"/>
  <c r="AA224" i="2"/>
  <c r="Y224" i="2"/>
  <c r="AA223" i="2"/>
  <c r="Y223" i="2"/>
  <c r="AA222" i="2"/>
  <c r="Y222" i="2"/>
  <c r="AA221" i="2"/>
  <c r="Y221" i="2"/>
  <c r="AA220" i="2"/>
  <c r="Y220" i="2"/>
  <c r="AA219" i="2"/>
  <c r="Y219" i="2"/>
  <c r="AA218" i="2"/>
  <c r="Y218" i="2"/>
  <c r="AA217" i="2"/>
  <c r="Y217" i="2"/>
  <c r="AA216" i="2"/>
  <c r="Y216" i="2"/>
  <c r="AA215" i="2"/>
  <c r="Y215" i="2"/>
  <c r="AA214" i="2"/>
  <c r="Y214" i="2"/>
  <c r="AA213" i="2"/>
  <c r="AA212" i="2"/>
  <c r="AA211" i="2"/>
  <c r="Y211" i="2"/>
  <c r="AA210" i="2"/>
  <c r="Y210" i="2"/>
  <c r="AA209" i="2"/>
  <c r="Y209" i="2"/>
  <c r="AA208" i="2"/>
  <c r="AA207" i="2"/>
  <c r="AA206" i="2"/>
  <c r="Y206" i="2"/>
  <c r="AA205" i="2"/>
  <c r="Y205" i="2"/>
  <c r="AA204" i="2"/>
  <c r="Y204" i="2"/>
  <c r="AA203" i="2"/>
  <c r="Y203" i="2"/>
  <c r="AA202" i="2"/>
  <c r="Y202" i="2"/>
  <c r="AA201" i="2"/>
  <c r="Y201" i="2"/>
  <c r="AA200" i="2"/>
  <c r="Y200" i="2"/>
  <c r="AA199" i="2"/>
  <c r="Y199" i="2"/>
  <c r="AA198" i="2"/>
  <c r="Y198" i="2"/>
  <c r="AA197" i="2"/>
  <c r="Y197" i="2"/>
  <c r="AA196" i="2"/>
  <c r="Y196" i="2"/>
  <c r="AA195" i="2"/>
  <c r="Y195" i="2"/>
  <c r="AA194" i="2"/>
  <c r="Y194" i="2"/>
  <c r="AA193" i="2"/>
  <c r="Y193" i="2"/>
  <c r="AA192" i="2"/>
  <c r="Y192" i="2"/>
  <c r="AA191" i="2"/>
  <c r="Y191" i="2"/>
  <c r="AA190" i="2"/>
  <c r="Y190" i="2"/>
  <c r="AA189" i="2"/>
  <c r="Y189" i="2"/>
  <c r="AA188" i="2"/>
  <c r="Y188" i="2"/>
  <c r="AA187" i="2"/>
  <c r="Y187" i="2"/>
  <c r="AA186" i="2"/>
  <c r="Y186" i="2"/>
  <c r="AA185" i="2"/>
  <c r="AA184" i="2"/>
  <c r="Y184" i="2"/>
  <c r="AA183" i="2"/>
  <c r="Y183" i="2"/>
  <c r="AA182" i="2"/>
  <c r="Y182" i="2"/>
  <c r="AA181" i="2"/>
  <c r="Y181" i="2"/>
  <c r="AA180" i="2"/>
  <c r="Y180" i="2"/>
  <c r="AA179" i="2"/>
  <c r="Y179" i="2"/>
  <c r="AA178" i="2"/>
  <c r="Y178" i="2"/>
  <c r="AA177" i="2"/>
  <c r="Y177" i="2"/>
  <c r="AA176" i="2"/>
  <c r="Y176" i="2"/>
  <c r="AA175" i="2"/>
  <c r="Y175" i="2"/>
  <c r="AA174" i="2"/>
  <c r="Y174" i="2"/>
  <c r="AA173" i="2"/>
  <c r="Y173" i="2"/>
  <c r="AA172" i="2"/>
  <c r="Y172" i="2"/>
  <c r="AA171" i="2"/>
  <c r="Y171" i="2"/>
  <c r="AA170" i="2"/>
  <c r="Y170" i="2"/>
  <c r="AA169" i="2"/>
  <c r="Y169" i="2"/>
  <c r="AA168" i="2"/>
  <c r="Y168" i="2"/>
  <c r="AA167" i="2"/>
  <c r="Y167" i="2"/>
  <c r="AA166" i="2"/>
  <c r="Y166" i="2"/>
  <c r="AA165" i="2"/>
  <c r="Y165" i="2"/>
  <c r="AA164" i="2"/>
  <c r="Y164" i="2"/>
  <c r="AA163" i="2"/>
  <c r="Y163" i="2"/>
  <c r="AA162" i="2"/>
  <c r="Y162" i="2"/>
  <c r="AA161" i="2"/>
  <c r="Y161" i="2"/>
  <c r="AA160" i="2"/>
  <c r="Y160" i="2"/>
  <c r="AA159" i="2"/>
  <c r="Y159" i="2"/>
  <c r="AA158" i="2"/>
  <c r="Y158" i="2"/>
  <c r="AA157" i="2"/>
  <c r="Y157" i="2"/>
  <c r="AA156" i="2"/>
  <c r="Y156" i="2"/>
  <c r="AA155" i="2"/>
  <c r="Y155" i="2"/>
  <c r="AA154" i="2"/>
  <c r="Y154" i="2"/>
  <c r="AA153" i="2"/>
  <c r="Y153" i="2"/>
  <c r="AA152" i="2"/>
  <c r="Y152" i="2"/>
  <c r="AA151" i="2"/>
  <c r="Y151" i="2"/>
  <c r="AA150" i="2"/>
  <c r="Y150" i="2"/>
  <c r="AA149" i="2"/>
  <c r="Y149" i="2"/>
  <c r="AA148" i="2"/>
  <c r="Y148" i="2"/>
  <c r="AA147" i="2"/>
  <c r="Y147" i="2"/>
  <c r="AA146" i="2"/>
  <c r="Y146" i="2"/>
  <c r="AA145" i="2"/>
  <c r="Y145" i="2"/>
  <c r="AA144" i="2"/>
  <c r="Y144" i="2"/>
  <c r="AA143" i="2"/>
  <c r="Y143" i="2"/>
  <c r="AA142" i="2"/>
  <c r="Y142" i="2"/>
  <c r="AA141" i="2"/>
  <c r="Y141" i="2"/>
  <c r="AA140" i="2"/>
  <c r="Y140" i="2"/>
  <c r="AA139" i="2"/>
  <c r="Y139" i="2"/>
  <c r="AA138" i="2"/>
  <c r="Y138" i="2"/>
  <c r="AA137" i="2"/>
  <c r="Y137" i="2"/>
  <c r="AA136" i="2"/>
  <c r="Y136" i="2"/>
  <c r="AA135" i="2"/>
  <c r="Y135" i="2"/>
  <c r="AA134" i="2"/>
  <c r="Y134" i="2"/>
  <c r="AA133" i="2"/>
  <c r="Y133" i="2"/>
  <c r="AA132" i="2"/>
  <c r="AA131" i="2"/>
  <c r="Y131" i="2"/>
  <c r="AA130" i="2"/>
  <c r="Y130" i="2"/>
  <c r="AA129" i="2"/>
  <c r="Y129" i="2"/>
  <c r="AA128" i="2"/>
  <c r="Y128" i="2"/>
  <c r="AA127" i="2"/>
  <c r="Y127" i="2"/>
  <c r="AA126" i="2"/>
  <c r="Y126" i="2"/>
  <c r="AA125" i="2"/>
  <c r="Y125" i="2"/>
  <c r="AA124" i="2"/>
  <c r="Y124" i="2"/>
  <c r="AA123" i="2"/>
  <c r="Y123" i="2"/>
  <c r="AA122" i="2"/>
  <c r="Y122" i="2"/>
  <c r="AA121" i="2"/>
  <c r="Y121" i="2"/>
  <c r="AA120" i="2"/>
  <c r="Y120" i="2"/>
  <c r="AA119" i="2"/>
  <c r="Y119" i="2"/>
  <c r="AA118" i="2"/>
  <c r="AA117" i="2"/>
  <c r="AA116" i="2"/>
  <c r="AA115" i="2"/>
  <c r="Y115" i="2"/>
  <c r="AA114" i="2"/>
  <c r="AA113" i="2"/>
  <c r="AA112" i="2"/>
  <c r="AA111" i="2"/>
  <c r="AA110" i="2"/>
  <c r="AA109" i="2"/>
  <c r="Y109" i="2"/>
  <c r="AA108" i="2"/>
  <c r="AA107" i="2"/>
  <c r="Y107" i="2"/>
  <c r="AA106" i="2"/>
  <c r="AA105" i="2"/>
  <c r="Y105" i="2"/>
  <c r="AA104" i="2"/>
  <c r="AA103" i="2"/>
  <c r="Y103" i="2"/>
  <c r="AA102" i="2"/>
  <c r="Y102" i="2"/>
  <c r="AA101" i="2"/>
  <c r="Y101" i="2"/>
  <c r="AA100" i="2"/>
  <c r="Y100" i="2"/>
  <c r="AA99" i="2"/>
  <c r="Y99" i="2"/>
  <c r="AA98" i="2"/>
  <c r="Y98" i="2"/>
  <c r="AA97" i="2"/>
  <c r="Y97" i="2"/>
  <c r="AA96" i="2"/>
  <c r="Y96" i="2"/>
  <c r="AA95" i="2"/>
  <c r="Y95" i="2"/>
  <c r="AA94" i="2"/>
  <c r="Y94" i="2"/>
  <c r="AA93" i="2"/>
  <c r="Y93" i="2"/>
  <c r="AA92" i="2"/>
  <c r="Y92" i="2"/>
  <c r="AA91" i="2"/>
  <c r="Y91" i="2"/>
  <c r="AA90" i="2"/>
  <c r="Y90" i="2"/>
  <c r="AA89" i="2"/>
  <c r="Y89" i="2"/>
  <c r="AA88" i="2"/>
  <c r="Y88" i="2"/>
  <c r="AA87" i="2"/>
  <c r="Y87" i="2"/>
  <c r="AA86" i="2"/>
  <c r="Y86" i="2"/>
  <c r="AA85" i="2"/>
  <c r="Y85" i="2"/>
  <c r="AA84" i="2"/>
  <c r="Y84" i="2"/>
  <c r="AA83" i="2"/>
  <c r="Y83" i="2"/>
  <c r="AA82" i="2"/>
  <c r="Y82" i="2"/>
  <c r="AA81" i="2"/>
  <c r="Y81" i="2"/>
  <c r="AA80" i="2"/>
  <c r="Y80" i="2"/>
  <c r="AA79" i="2"/>
  <c r="Y79" i="2"/>
  <c r="AA78" i="2"/>
  <c r="Y78" i="2"/>
  <c r="AA77" i="2"/>
  <c r="Y77" i="2"/>
  <c r="AA76" i="2"/>
  <c r="Y76" i="2"/>
  <c r="AA75" i="2"/>
  <c r="Y75" i="2"/>
  <c r="AA74" i="2"/>
  <c r="Y74" i="2"/>
  <c r="AA73" i="2"/>
  <c r="Y73" i="2"/>
  <c r="AA72" i="2"/>
  <c r="Y72" i="2"/>
  <c r="AA71" i="2"/>
  <c r="Y71" i="2"/>
  <c r="AA70" i="2"/>
  <c r="Y70" i="2"/>
  <c r="AA69" i="2"/>
  <c r="Y69" i="2"/>
  <c r="AA68" i="2"/>
  <c r="Y68" i="2"/>
  <c r="AA67" i="2"/>
  <c r="Y67" i="2"/>
  <c r="AA66" i="2"/>
  <c r="Y66" i="2"/>
  <c r="AA65" i="2"/>
  <c r="Y65" i="2"/>
  <c r="AA64" i="2"/>
  <c r="Y64" i="2"/>
  <c r="AA63" i="2"/>
  <c r="Y63" i="2"/>
  <c r="AA62" i="2"/>
  <c r="Y62" i="2"/>
  <c r="AA61" i="2"/>
  <c r="Y61" i="2"/>
  <c r="AA60" i="2"/>
  <c r="Y60" i="2"/>
  <c r="AA59" i="2"/>
  <c r="Y59" i="2"/>
  <c r="AA58" i="2"/>
  <c r="Y58" i="2"/>
  <c r="AA57" i="2"/>
  <c r="Y57" i="2"/>
  <c r="AA56" i="2"/>
  <c r="Y56" i="2"/>
  <c r="AA55" i="2"/>
  <c r="Y55" i="2"/>
  <c r="AA54" i="2"/>
  <c r="Y54" i="2"/>
  <c r="AA53" i="2"/>
  <c r="Y53" i="2"/>
  <c r="AA52" i="2"/>
  <c r="Y52" i="2"/>
  <c r="AA51" i="2"/>
  <c r="Y51" i="2"/>
  <c r="AA50" i="2"/>
  <c r="Y50" i="2"/>
  <c r="AA49" i="2"/>
  <c r="Y49" i="2"/>
  <c r="AA48" i="2"/>
  <c r="Y48" i="2"/>
  <c r="AA47" i="2"/>
  <c r="Y47" i="2"/>
  <c r="AA46" i="2"/>
  <c r="Y46" i="2"/>
  <c r="AA45" i="2"/>
  <c r="Y45" i="2"/>
  <c r="AA44" i="2"/>
  <c r="Y44" i="2"/>
  <c r="AA43" i="2"/>
  <c r="Y43" i="2"/>
  <c r="AA42" i="2"/>
  <c r="Y42" i="2"/>
  <c r="AA41" i="2"/>
  <c r="Y41" i="2"/>
  <c r="AA40" i="2"/>
  <c r="Y40" i="2"/>
  <c r="AA39" i="2"/>
  <c r="Y39" i="2"/>
  <c r="AA38" i="2"/>
  <c r="Y38" i="2"/>
  <c r="AA37" i="2"/>
  <c r="Y37" i="2"/>
  <c r="AA36" i="2"/>
  <c r="Y36" i="2"/>
  <c r="AA35" i="2"/>
  <c r="Y35" i="2"/>
  <c r="AA34" i="2"/>
  <c r="Y34" i="2"/>
  <c r="AA33" i="2"/>
  <c r="Y33" i="2"/>
  <c r="AA32" i="2"/>
  <c r="Y32" i="2"/>
  <c r="AA31" i="2"/>
  <c r="Y31" i="2"/>
  <c r="AA30" i="2"/>
  <c r="Y30" i="2"/>
  <c r="AA29" i="2"/>
  <c r="Y29" i="2"/>
  <c r="AA28" i="2"/>
  <c r="Y28" i="2"/>
  <c r="AA27" i="2"/>
  <c r="Y27" i="2"/>
  <c r="AA26" i="2"/>
  <c r="Y26" i="2"/>
  <c r="AA25" i="2"/>
  <c r="Y25" i="2"/>
  <c r="AA24" i="2"/>
  <c r="Y24" i="2"/>
  <c r="AA23" i="2"/>
  <c r="Y23" i="2"/>
  <c r="AA22" i="2"/>
  <c r="Y22" i="2"/>
  <c r="AA21" i="2"/>
  <c r="Y21" i="2"/>
  <c r="AA20" i="2"/>
  <c r="Y20" i="2"/>
  <c r="AA19" i="2"/>
  <c r="Y19" i="2"/>
  <c r="AA18" i="2"/>
  <c r="Y18" i="2"/>
  <c r="AA17" i="2"/>
  <c r="Y17" i="2"/>
  <c r="AA16" i="2"/>
  <c r="Y16" i="2"/>
  <c r="AA15" i="2"/>
  <c r="Y15" i="2"/>
  <c r="AA14" i="2"/>
  <c r="Y14" i="2"/>
  <c r="AA13" i="2"/>
  <c r="Y13" i="2"/>
  <c r="AA12" i="2"/>
  <c r="Y12" i="2"/>
  <c r="AA11" i="2"/>
  <c r="Y11" i="2"/>
  <c r="AA10" i="2"/>
  <c r="Y10" i="2"/>
  <c r="AA9" i="2"/>
  <c r="Y9" i="2"/>
  <c r="AA8" i="2"/>
  <c r="Y8" i="2"/>
  <c r="N278" i="2"/>
  <c r="Y278" i="2" s="1"/>
  <c r="N252" i="2"/>
  <c r="Y252" i="2" s="1"/>
  <c r="N245" i="2"/>
  <c r="Y245" i="2" s="1"/>
  <c r="N242" i="2"/>
  <c r="Y242" i="2" s="1"/>
  <c r="N241" i="2"/>
  <c r="Y241" i="2" s="1"/>
  <c r="N240" i="2"/>
  <c r="Y240" i="2" s="1"/>
  <c r="N238" i="2"/>
  <c r="Y238" i="2" s="1"/>
  <c r="N236" i="2"/>
  <c r="Y236" i="2" s="1"/>
  <c r="N235" i="2"/>
  <c r="Y235" i="2" s="1"/>
  <c r="N234" i="2"/>
  <c r="Y234" i="2" s="1"/>
  <c r="N213" i="2"/>
  <c r="Y213" i="2" s="1"/>
  <c r="N212" i="2"/>
  <c r="Y212" i="2" s="1"/>
  <c r="N208" i="2"/>
  <c r="Y208" i="2" s="1"/>
  <c r="N207" i="2"/>
  <c r="Y207" i="2" s="1"/>
  <c r="N185" i="2"/>
  <c r="Y185" i="2" s="1"/>
  <c r="N132" i="2"/>
  <c r="Y132" i="2" s="1"/>
  <c r="N118" i="2"/>
  <c r="Y118" i="2" s="1"/>
  <c r="N117" i="2"/>
  <c r="Y117" i="2" s="1"/>
  <c r="N116" i="2"/>
  <c r="Y116" i="2" s="1"/>
  <c r="N114" i="2"/>
  <c r="Y114" i="2" s="1"/>
  <c r="N113" i="2"/>
  <c r="Y113" i="2" s="1"/>
  <c r="N112" i="2"/>
  <c r="Y112" i="2" s="1"/>
  <c r="N111" i="2"/>
  <c r="Y111" i="2" s="1"/>
  <c r="N110" i="2"/>
  <c r="Y110" i="2" s="1"/>
  <c r="N108" i="2"/>
  <c r="Y108" i="2" s="1"/>
  <c r="N106" i="2"/>
  <c r="Y106" i="2" s="1"/>
  <c r="N104" i="2"/>
  <c r="Y104" i="2" s="1"/>
  <c r="N103" i="2"/>
  <c r="N102" i="2"/>
  <c r="N100" i="2"/>
  <c r="N98" i="2"/>
  <c r="N91" i="2"/>
  <c r="N89" i="2"/>
  <c r="N77" i="2"/>
  <c r="N76" i="2"/>
  <c r="N74" i="2"/>
  <c r="N70" i="2"/>
  <c r="N57" i="2"/>
  <c r="N54" i="2"/>
  <c r="N53" i="2"/>
  <c r="N52" i="2"/>
  <c r="S11" i="2"/>
  <c r="S8" i="2"/>
  <c r="Y325" i="2" l="1"/>
  <c r="AA325" i="2"/>
  <c r="T315" i="2"/>
  <c r="U315" i="2" s="1"/>
  <c r="G315" i="2" s="1"/>
  <c r="H315" i="2" s="1"/>
  <c r="O315" i="2"/>
  <c r="P315" i="2" s="1"/>
  <c r="E315" i="2" s="1"/>
  <c r="U310" i="2"/>
  <c r="G310" i="2" s="1"/>
  <c r="H310" i="2" s="1"/>
  <c r="O310" i="2"/>
  <c r="P310" i="2" s="1"/>
  <c r="E310" i="2" s="1"/>
  <c r="U309" i="2"/>
  <c r="G309" i="2" s="1"/>
  <c r="H309" i="2" s="1"/>
  <c r="O309" i="2"/>
  <c r="P309" i="2" s="1"/>
  <c r="E309" i="2" s="1"/>
  <c r="U308" i="2"/>
  <c r="G308" i="2" s="1"/>
  <c r="H308" i="2" s="1"/>
  <c r="O308" i="2"/>
  <c r="P308" i="2" s="1"/>
  <c r="E308" i="2" s="1"/>
  <c r="U307" i="2"/>
  <c r="G307" i="2" s="1"/>
  <c r="H307" i="2" s="1"/>
  <c r="O307" i="2"/>
  <c r="P307" i="2" s="1"/>
  <c r="E307" i="2" s="1"/>
  <c r="U306" i="2"/>
  <c r="G306" i="2" s="1"/>
  <c r="H306" i="2" s="1"/>
  <c r="O306" i="2"/>
  <c r="P306" i="2" s="1"/>
  <c r="E306" i="2" s="1"/>
  <c r="U305" i="2"/>
  <c r="G305" i="2" s="1"/>
  <c r="H305" i="2" s="1"/>
  <c r="O305" i="2"/>
  <c r="P305" i="2" s="1"/>
  <c r="E305" i="2" s="1"/>
  <c r="U304" i="2"/>
  <c r="G304" i="2" s="1"/>
  <c r="H304" i="2" s="1"/>
  <c r="O304" i="2"/>
  <c r="P304" i="2" s="1"/>
  <c r="E304" i="2" s="1"/>
  <c r="U303" i="2"/>
  <c r="G303" i="2" s="1"/>
  <c r="H303" i="2" s="1"/>
  <c r="O303" i="2"/>
  <c r="P303" i="2" s="1"/>
  <c r="E303" i="2" s="1"/>
  <c r="U302" i="2"/>
  <c r="G302" i="2" s="1"/>
  <c r="H302" i="2" s="1"/>
  <c r="O302" i="2"/>
  <c r="P302" i="2" s="1"/>
  <c r="E302" i="2" s="1"/>
  <c r="F302" i="2" s="1"/>
  <c r="T297" i="2"/>
  <c r="U297" i="2" s="1"/>
  <c r="G297" i="2" s="1"/>
  <c r="H297" i="2" s="1"/>
  <c r="H298" i="2" s="1"/>
  <c r="C40" i="3" s="1"/>
  <c r="O297" i="2"/>
  <c r="P297" i="2" s="1"/>
  <c r="E297" i="2" s="1"/>
  <c r="T296" i="2"/>
  <c r="U296" i="2" s="1"/>
  <c r="G296" i="2" s="1"/>
  <c r="H296" i="2" s="1"/>
  <c r="O296" i="2"/>
  <c r="P296" i="2" s="1"/>
  <c r="E296" i="2" s="1"/>
  <c r="T290" i="2"/>
  <c r="U290" i="2" s="1"/>
  <c r="G290" i="2" s="1"/>
  <c r="H290" i="2" s="1"/>
  <c r="O290" i="2"/>
  <c r="P290" i="2" s="1"/>
  <c r="E290" i="2" s="1"/>
  <c r="T289" i="2"/>
  <c r="U289" i="2" s="1"/>
  <c r="G289" i="2" s="1"/>
  <c r="O289" i="2"/>
  <c r="P289" i="2" s="1"/>
  <c r="E289" i="2" s="1"/>
  <c r="F289" i="2" s="1"/>
  <c r="T287" i="2"/>
  <c r="U287" i="2" s="1"/>
  <c r="G287" i="2" s="1"/>
  <c r="H287" i="2" s="1"/>
  <c r="O287" i="2"/>
  <c r="P287" i="2" s="1"/>
  <c r="E287" i="2" s="1"/>
  <c r="T285" i="2"/>
  <c r="U285" i="2" s="1"/>
  <c r="G285" i="2" s="1"/>
  <c r="H285" i="2" s="1"/>
  <c r="O285" i="2"/>
  <c r="P285" i="2" s="1"/>
  <c r="E285" i="2" s="1"/>
  <c r="T283" i="2"/>
  <c r="U283" i="2" s="1"/>
  <c r="G283" i="2" s="1"/>
  <c r="H283" i="2" s="1"/>
  <c r="O283" i="2"/>
  <c r="P283" i="2" s="1"/>
  <c r="E283" i="2" s="1"/>
  <c r="T282" i="2"/>
  <c r="U282" i="2" s="1"/>
  <c r="G282" i="2" s="1"/>
  <c r="H282" i="2" s="1"/>
  <c r="O282" i="2"/>
  <c r="P282" i="2" s="1"/>
  <c r="E282" i="2" s="1"/>
  <c r="F282" i="2" s="1"/>
  <c r="T280" i="2"/>
  <c r="U280" i="2" s="1"/>
  <c r="G280" i="2" s="1"/>
  <c r="H280" i="2" s="1"/>
  <c r="O280" i="2"/>
  <c r="P280" i="2" s="1"/>
  <c r="E280" i="2" s="1"/>
  <c r="T278" i="2"/>
  <c r="U278" i="2" s="1"/>
  <c r="G278" i="2" s="1"/>
  <c r="H278" i="2" s="1"/>
  <c r="O278" i="2"/>
  <c r="P278" i="2" s="1"/>
  <c r="E278" i="2" s="1"/>
  <c r="T276" i="2"/>
  <c r="U276" i="2" s="1"/>
  <c r="G276" i="2" s="1"/>
  <c r="H276" i="2" s="1"/>
  <c r="O276" i="2"/>
  <c r="P276" i="2" s="1"/>
  <c r="E276" i="2" s="1"/>
  <c r="T275" i="2"/>
  <c r="U275" i="2" s="1"/>
  <c r="G275" i="2" s="1"/>
  <c r="H275" i="2" s="1"/>
  <c r="O275" i="2"/>
  <c r="P275" i="2" s="1"/>
  <c r="E275" i="2" s="1"/>
  <c r="F275" i="2" s="1"/>
  <c r="T274" i="2"/>
  <c r="U274" i="2" s="1"/>
  <c r="G274" i="2" s="1"/>
  <c r="H274" i="2" s="1"/>
  <c r="O274" i="2"/>
  <c r="P274" i="2" s="1"/>
  <c r="E274" i="2" s="1"/>
  <c r="T269" i="2"/>
  <c r="U269" i="2" s="1"/>
  <c r="G269" i="2" s="1"/>
  <c r="H269" i="2" s="1"/>
  <c r="O269" i="2"/>
  <c r="P269" i="2" s="1"/>
  <c r="E269" i="2" s="1"/>
  <c r="T267" i="2"/>
  <c r="U267" i="2" s="1"/>
  <c r="G267" i="2" s="1"/>
  <c r="H267" i="2" s="1"/>
  <c r="O267" i="2"/>
  <c r="P267" i="2" s="1"/>
  <c r="E267" i="2" s="1"/>
  <c r="T266" i="2"/>
  <c r="U266" i="2" s="1"/>
  <c r="G266" i="2" s="1"/>
  <c r="H266" i="2" s="1"/>
  <c r="O266" i="2"/>
  <c r="P266" i="2" s="1"/>
  <c r="E266" i="2" s="1"/>
  <c r="F266" i="2" s="1"/>
  <c r="T264" i="2"/>
  <c r="U264" i="2" s="1"/>
  <c r="G264" i="2" s="1"/>
  <c r="H264" i="2" s="1"/>
  <c r="O264" i="2"/>
  <c r="P264" i="2" s="1"/>
  <c r="E264" i="2" s="1"/>
  <c r="T263" i="2"/>
  <c r="U263" i="2" s="1"/>
  <c r="G263" i="2" s="1"/>
  <c r="H263" i="2" s="1"/>
  <c r="O263" i="2"/>
  <c r="P263" i="2" s="1"/>
  <c r="E263" i="2" s="1"/>
  <c r="T262" i="2"/>
  <c r="U262" i="2" s="1"/>
  <c r="G262" i="2" s="1"/>
  <c r="H262" i="2" s="1"/>
  <c r="O262" i="2"/>
  <c r="P262" i="2" s="1"/>
  <c r="E262" i="2" s="1"/>
  <c r="T261" i="2"/>
  <c r="U261" i="2" s="1"/>
  <c r="G261" i="2" s="1"/>
  <c r="H261" i="2" s="1"/>
  <c r="O261" i="2"/>
  <c r="P261" i="2" s="1"/>
  <c r="E261" i="2" s="1"/>
  <c r="F261" i="2" s="1"/>
  <c r="T260" i="2"/>
  <c r="U260" i="2" s="1"/>
  <c r="G260" i="2" s="1"/>
  <c r="H260" i="2" s="1"/>
  <c r="O260" i="2"/>
  <c r="P260" i="2" s="1"/>
  <c r="E260" i="2" s="1"/>
  <c r="T259" i="2"/>
  <c r="U259" i="2" s="1"/>
  <c r="G259" i="2" s="1"/>
  <c r="H259" i="2" s="1"/>
  <c r="O259" i="2"/>
  <c r="P259" i="2" s="1"/>
  <c r="E259" i="2" s="1"/>
  <c r="T258" i="2"/>
  <c r="U258" i="2" s="1"/>
  <c r="G258" i="2" s="1"/>
  <c r="H258" i="2" s="1"/>
  <c r="O258" i="2"/>
  <c r="P258" i="2" s="1"/>
  <c r="E258" i="2" s="1"/>
  <c r="T257" i="2"/>
  <c r="U257" i="2" s="1"/>
  <c r="G257" i="2" s="1"/>
  <c r="H257" i="2" s="1"/>
  <c r="O257" i="2"/>
  <c r="P257" i="2" s="1"/>
  <c r="E257" i="2" s="1"/>
  <c r="T255" i="2"/>
  <c r="U255" i="2" s="1"/>
  <c r="G255" i="2" s="1"/>
  <c r="H255" i="2" s="1"/>
  <c r="O255" i="2"/>
  <c r="P255" i="2" s="1"/>
  <c r="E255" i="2" s="1"/>
  <c r="T254" i="2"/>
  <c r="U254" i="2" s="1"/>
  <c r="G254" i="2" s="1"/>
  <c r="H254" i="2" s="1"/>
  <c r="O254" i="2"/>
  <c r="P254" i="2" s="1"/>
  <c r="E254" i="2" s="1"/>
  <c r="T252" i="2"/>
  <c r="U252" i="2" s="1"/>
  <c r="G252" i="2" s="1"/>
  <c r="H252" i="2" s="1"/>
  <c r="O252" i="2"/>
  <c r="P252" i="2" s="1"/>
  <c r="E252" i="2" s="1"/>
  <c r="T251" i="2"/>
  <c r="U251" i="2" s="1"/>
  <c r="G251" i="2" s="1"/>
  <c r="H251" i="2" s="1"/>
  <c r="O251" i="2"/>
  <c r="P251" i="2" s="1"/>
  <c r="E251" i="2" s="1"/>
  <c r="T250" i="2"/>
  <c r="U250" i="2" s="1"/>
  <c r="G250" i="2" s="1"/>
  <c r="H250" i="2" s="1"/>
  <c r="O250" i="2"/>
  <c r="P250" i="2" s="1"/>
  <c r="E250" i="2" s="1"/>
  <c r="T249" i="2"/>
  <c r="U249" i="2" s="1"/>
  <c r="G249" i="2" s="1"/>
  <c r="H249" i="2" s="1"/>
  <c r="O249" i="2"/>
  <c r="P249" i="2" s="1"/>
  <c r="E249" i="2" s="1"/>
  <c r="T247" i="2"/>
  <c r="U247" i="2" s="1"/>
  <c r="G247" i="2" s="1"/>
  <c r="H247" i="2" s="1"/>
  <c r="O247" i="2"/>
  <c r="P247" i="2" s="1"/>
  <c r="E247" i="2" s="1"/>
  <c r="T245" i="2"/>
  <c r="U245" i="2" s="1"/>
  <c r="G245" i="2" s="1"/>
  <c r="H245" i="2" s="1"/>
  <c r="O245" i="2"/>
  <c r="P245" i="2" s="1"/>
  <c r="E245" i="2" s="1"/>
  <c r="F245" i="2" s="1"/>
  <c r="T242" i="2"/>
  <c r="U242" i="2" s="1"/>
  <c r="G242" i="2" s="1"/>
  <c r="H242" i="2" s="1"/>
  <c r="O242" i="2"/>
  <c r="P242" i="2" s="1"/>
  <c r="E242" i="2" s="1"/>
  <c r="T241" i="2"/>
  <c r="U241" i="2" s="1"/>
  <c r="G241" i="2" s="1"/>
  <c r="H241" i="2" s="1"/>
  <c r="O241" i="2"/>
  <c r="P241" i="2" s="1"/>
  <c r="E241" i="2" s="1"/>
  <c r="T240" i="2"/>
  <c r="U240" i="2" s="1"/>
  <c r="G240" i="2" s="1"/>
  <c r="H240" i="2" s="1"/>
  <c r="O240" i="2"/>
  <c r="P240" i="2" s="1"/>
  <c r="E240" i="2" s="1"/>
  <c r="T238" i="2"/>
  <c r="U238" i="2" s="1"/>
  <c r="G238" i="2" s="1"/>
  <c r="O238" i="2"/>
  <c r="P238" i="2" s="1"/>
  <c r="E238" i="2" s="1"/>
  <c r="F238" i="2" s="1"/>
  <c r="T236" i="2"/>
  <c r="U236" i="2" s="1"/>
  <c r="G236" i="2" s="1"/>
  <c r="H236" i="2" s="1"/>
  <c r="O236" i="2"/>
  <c r="P236" i="2" s="1"/>
  <c r="E236" i="2" s="1"/>
  <c r="T235" i="2"/>
  <c r="U235" i="2" s="1"/>
  <c r="G235" i="2" s="1"/>
  <c r="H235" i="2" s="1"/>
  <c r="O235" i="2"/>
  <c r="P235" i="2" s="1"/>
  <c r="E235" i="2" s="1"/>
  <c r="T234" i="2"/>
  <c r="U234" i="2" s="1"/>
  <c r="G234" i="2" s="1"/>
  <c r="H234" i="2" s="1"/>
  <c r="O234" i="2"/>
  <c r="P234" i="2" s="1"/>
  <c r="E234" i="2" s="1"/>
  <c r="T219" i="2"/>
  <c r="U219" i="2" s="1"/>
  <c r="G219" i="2" s="1"/>
  <c r="H219" i="2" s="1"/>
  <c r="O219" i="2"/>
  <c r="P219" i="2" s="1"/>
  <c r="E219" i="2" s="1"/>
  <c r="F219" i="2" s="1"/>
  <c r="T218" i="2"/>
  <c r="U218" i="2" s="1"/>
  <c r="G218" i="2" s="1"/>
  <c r="H218" i="2" s="1"/>
  <c r="O218" i="2"/>
  <c r="P218" i="2" s="1"/>
  <c r="E218" i="2" s="1"/>
  <c r="T216" i="2"/>
  <c r="U216" i="2" s="1"/>
  <c r="G216" i="2" s="1"/>
  <c r="H216" i="2" s="1"/>
  <c r="E216" i="2"/>
  <c r="T215" i="2"/>
  <c r="U215" i="2" s="1"/>
  <c r="G215" i="2" s="1"/>
  <c r="H215" i="2" s="1"/>
  <c r="E215" i="2"/>
  <c r="T213" i="2"/>
  <c r="U213" i="2" s="1"/>
  <c r="G213" i="2" s="1"/>
  <c r="H213" i="2" s="1"/>
  <c r="O213" i="2"/>
  <c r="P213" i="2" s="1"/>
  <c r="E213" i="2" s="1"/>
  <c r="F213" i="2" s="1"/>
  <c r="T212" i="2"/>
  <c r="U212" i="2" s="1"/>
  <c r="G212" i="2" s="1"/>
  <c r="H212" i="2" s="1"/>
  <c r="O212" i="2"/>
  <c r="P212" i="2" s="1"/>
  <c r="E212" i="2" s="1"/>
  <c r="T210" i="2"/>
  <c r="U210" i="2" s="1"/>
  <c r="G210" i="2" s="1"/>
  <c r="H210" i="2" s="1"/>
  <c r="O210" i="2"/>
  <c r="P210" i="2" s="1"/>
  <c r="E210" i="2" s="1"/>
  <c r="T209" i="2"/>
  <c r="U209" i="2" s="1"/>
  <c r="G209" i="2" s="1"/>
  <c r="H209" i="2" s="1"/>
  <c r="O209" i="2"/>
  <c r="P209" i="2" s="1"/>
  <c r="E209" i="2" s="1"/>
  <c r="T208" i="2"/>
  <c r="U208" i="2" s="1"/>
  <c r="G208" i="2" s="1"/>
  <c r="H208" i="2" s="1"/>
  <c r="O208" i="2"/>
  <c r="P208" i="2" s="1"/>
  <c r="E208" i="2" s="1"/>
  <c r="F208" i="2" s="1"/>
  <c r="T207" i="2"/>
  <c r="U207" i="2" s="1"/>
  <c r="G207" i="2" s="1"/>
  <c r="H207" i="2" s="1"/>
  <c r="O207" i="2"/>
  <c r="P207" i="2" s="1"/>
  <c r="E207" i="2" s="1"/>
  <c r="T206" i="2"/>
  <c r="U206" i="2" s="1"/>
  <c r="G206" i="2" s="1"/>
  <c r="H206" i="2" s="1"/>
  <c r="O206" i="2"/>
  <c r="P206" i="2" s="1"/>
  <c r="E206" i="2" s="1"/>
  <c r="T205" i="2"/>
  <c r="U205" i="2" s="1"/>
  <c r="O205" i="2"/>
  <c r="P205" i="2" s="1"/>
  <c r="E205" i="2" s="1"/>
  <c r="G205" i="2"/>
  <c r="H205" i="2" s="1"/>
  <c r="T203" i="2"/>
  <c r="U203" i="2" s="1"/>
  <c r="G203" i="2" s="1"/>
  <c r="H203" i="2" s="1"/>
  <c r="O203" i="2"/>
  <c r="P203" i="2" s="1"/>
  <c r="E203" i="2" s="1"/>
  <c r="F203" i="2" s="1"/>
  <c r="T201" i="2"/>
  <c r="U201" i="2" s="1"/>
  <c r="G201" i="2" s="1"/>
  <c r="H201" i="2" s="1"/>
  <c r="O201" i="2"/>
  <c r="P201" i="2" s="1"/>
  <c r="E201" i="2" s="1"/>
  <c r="T200" i="2"/>
  <c r="U200" i="2" s="1"/>
  <c r="G200" i="2" s="1"/>
  <c r="H200" i="2" s="1"/>
  <c r="O200" i="2"/>
  <c r="P200" i="2" s="1"/>
  <c r="E200" i="2"/>
  <c r="T199" i="2"/>
  <c r="U199" i="2" s="1"/>
  <c r="G199" i="2" s="1"/>
  <c r="H199" i="2" s="1"/>
  <c r="O199" i="2"/>
  <c r="P199" i="2" s="1"/>
  <c r="E199" i="2" s="1"/>
  <c r="T198" i="2"/>
  <c r="U198" i="2" s="1"/>
  <c r="G198" i="2" s="1"/>
  <c r="H198" i="2" s="1"/>
  <c r="O198" i="2"/>
  <c r="P198" i="2" s="1"/>
  <c r="E198" i="2" s="1"/>
  <c r="T197" i="2"/>
  <c r="U197" i="2" s="1"/>
  <c r="G197" i="2" s="1"/>
  <c r="H197" i="2" s="1"/>
  <c r="O197" i="2"/>
  <c r="P197" i="2" s="1"/>
  <c r="E197" i="2" s="1"/>
  <c r="T196" i="2"/>
  <c r="U196" i="2" s="1"/>
  <c r="G196" i="2" s="1"/>
  <c r="H196" i="2" s="1"/>
  <c r="O196" i="2"/>
  <c r="P196" i="2" s="1"/>
  <c r="E196" i="2" s="1"/>
  <c r="T195" i="2"/>
  <c r="U195" i="2" s="1"/>
  <c r="G195" i="2" s="1"/>
  <c r="H195" i="2" s="1"/>
  <c r="O195" i="2"/>
  <c r="P195" i="2" s="1"/>
  <c r="E195" i="2" s="1"/>
  <c r="T194" i="2"/>
  <c r="U194" i="2" s="1"/>
  <c r="G194" i="2" s="1"/>
  <c r="H194" i="2" s="1"/>
  <c r="O194" i="2"/>
  <c r="P194" i="2" s="1"/>
  <c r="E194" i="2" s="1"/>
  <c r="T191" i="2"/>
  <c r="U191" i="2" s="1"/>
  <c r="G191" i="2" s="1"/>
  <c r="H191" i="2" s="1"/>
  <c r="O191" i="2"/>
  <c r="P191" i="2" s="1"/>
  <c r="E191" i="2" s="1"/>
  <c r="T190" i="2"/>
  <c r="U190" i="2" s="1"/>
  <c r="G190" i="2" s="1"/>
  <c r="H190" i="2" s="1"/>
  <c r="O190" i="2"/>
  <c r="P190" i="2" s="1"/>
  <c r="E190" i="2" s="1"/>
  <c r="T189" i="2"/>
  <c r="U189" i="2" s="1"/>
  <c r="G189" i="2" s="1"/>
  <c r="H189" i="2" s="1"/>
  <c r="O189" i="2"/>
  <c r="P189" i="2" s="1"/>
  <c r="E189" i="2" s="1"/>
  <c r="T185" i="2"/>
  <c r="U185" i="2" s="1"/>
  <c r="G185" i="2" s="1"/>
  <c r="H185" i="2" s="1"/>
  <c r="O185" i="2"/>
  <c r="P185" i="2" s="1"/>
  <c r="E185" i="2" s="1"/>
  <c r="T178" i="2"/>
  <c r="U178" i="2" s="1"/>
  <c r="G178" i="2" s="1"/>
  <c r="H178" i="2" s="1"/>
  <c r="O178" i="2"/>
  <c r="P178" i="2" s="1"/>
  <c r="E178" i="2" s="1"/>
  <c r="T177" i="2"/>
  <c r="U177" i="2" s="1"/>
  <c r="G177" i="2" s="1"/>
  <c r="H177" i="2" s="1"/>
  <c r="O177" i="2"/>
  <c r="P177" i="2" s="1"/>
  <c r="E177" i="2" s="1"/>
  <c r="T176" i="2"/>
  <c r="U176" i="2" s="1"/>
  <c r="G176" i="2" s="1"/>
  <c r="H176" i="2" s="1"/>
  <c r="O176" i="2"/>
  <c r="P176" i="2" s="1"/>
  <c r="E176" i="2" s="1"/>
  <c r="T173" i="2"/>
  <c r="U173" i="2" s="1"/>
  <c r="G173" i="2" s="1"/>
  <c r="H173" i="2" s="1"/>
  <c r="E173" i="2"/>
  <c r="T172" i="2"/>
  <c r="U172" i="2" s="1"/>
  <c r="G172" i="2" s="1"/>
  <c r="H172" i="2" s="1"/>
  <c r="E172" i="2"/>
  <c r="T171" i="2"/>
  <c r="U171" i="2" s="1"/>
  <c r="G171" i="2" s="1"/>
  <c r="H171" i="2" s="1"/>
  <c r="E171" i="2"/>
  <c r="T170" i="2"/>
  <c r="U170" i="2" s="1"/>
  <c r="G170" i="2" s="1"/>
  <c r="H170" i="2" s="1"/>
  <c r="E170" i="2"/>
  <c r="T169" i="2"/>
  <c r="U169" i="2" s="1"/>
  <c r="G169" i="2" s="1"/>
  <c r="H169" i="2" s="1"/>
  <c r="E169" i="2"/>
  <c r="T164" i="2"/>
  <c r="U164" i="2" s="1"/>
  <c r="G164" i="2" s="1"/>
  <c r="H164" i="2" s="1"/>
  <c r="O164" i="2"/>
  <c r="P164" i="2" s="1"/>
  <c r="E164" i="2" s="1"/>
  <c r="T163" i="2"/>
  <c r="U163" i="2" s="1"/>
  <c r="G163" i="2" s="1"/>
  <c r="H163" i="2" s="1"/>
  <c r="O163" i="2"/>
  <c r="P163" i="2" s="1"/>
  <c r="E163" i="2" s="1"/>
  <c r="T162" i="2"/>
  <c r="U162" i="2" s="1"/>
  <c r="G162" i="2" s="1"/>
  <c r="H162" i="2" s="1"/>
  <c r="O162" i="2"/>
  <c r="P162" i="2" s="1"/>
  <c r="E162" i="2" s="1"/>
  <c r="T161" i="2"/>
  <c r="U161" i="2" s="1"/>
  <c r="G161" i="2" s="1"/>
  <c r="H161" i="2" s="1"/>
  <c r="O161" i="2"/>
  <c r="P161" i="2" s="1"/>
  <c r="E161" i="2" s="1"/>
  <c r="T159" i="2"/>
  <c r="U159" i="2" s="1"/>
  <c r="G159" i="2" s="1"/>
  <c r="H159" i="2" s="1"/>
  <c r="O159" i="2"/>
  <c r="P159" i="2" s="1"/>
  <c r="E159" i="2" s="1"/>
  <c r="T157" i="2"/>
  <c r="U157" i="2" s="1"/>
  <c r="G157" i="2" s="1"/>
  <c r="H157" i="2" s="1"/>
  <c r="O157" i="2"/>
  <c r="P157" i="2" s="1"/>
  <c r="E157" i="2" s="1"/>
  <c r="T155" i="2"/>
  <c r="U155" i="2" s="1"/>
  <c r="G155" i="2" s="1"/>
  <c r="H155" i="2" s="1"/>
  <c r="O155" i="2"/>
  <c r="P155" i="2" s="1"/>
  <c r="E155" i="2" s="1"/>
  <c r="T154" i="2"/>
  <c r="U154" i="2" s="1"/>
  <c r="G154" i="2" s="1"/>
  <c r="H154" i="2" s="1"/>
  <c r="P154" i="2"/>
  <c r="E154" i="2" s="1"/>
  <c r="O154" i="2"/>
  <c r="T153" i="2"/>
  <c r="U153" i="2" s="1"/>
  <c r="G153" i="2" s="1"/>
  <c r="H153" i="2" s="1"/>
  <c r="O153" i="2"/>
  <c r="P153" i="2" s="1"/>
  <c r="E153" i="2" s="1"/>
  <c r="T152" i="2"/>
  <c r="U152" i="2" s="1"/>
  <c r="G152" i="2" s="1"/>
  <c r="H152" i="2" s="1"/>
  <c r="O152" i="2"/>
  <c r="P152" i="2" s="1"/>
  <c r="E152" i="2" s="1"/>
  <c r="T151" i="2"/>
  <c r="U151" i="2" s="1"/>
  <c r="G151" i="2" s="1"/>
  <c r="H151" i="2" s="1"/>
  <c r="O151" i="2"/>
  <c r="P151" i="2" s="1"/>
  <c r="E151" i="2" s="1"/>
  <c r="T150" i="2"/>
  <c r="U150" i="2" s="1"/>
  <c r="G150" i="2" s="1"/>
  <c r="H150" i="2" s="1"/>
  <c r="O150" i="2"/>
  <c r="P150" i="2" s="1"/>
  <c r="E150" i="2" s="1"/>
  <c r="T149" i="2"/>
  <c r="U149" i="2" s="1"/>
  <c r="G149" i="2" s="1"/>
  <c r="H149" i="2" s="1"/>
  <c r="O149" i="2"/>
  <c r="P149" i="2" s="1"/>
  <c r="E149" i="2" s="1"/>
  <c r="T148" i="2"/>
  <c r="U148" i="2" s="1"/>
  <c r="G148" i="2" s="1"/>
  <c r="H148" i="2" s="1"/>
  <c r="O148" i="2"/>
  <c r="P148" i="2" s="1"/>
  <c r="E148" i="2" s="1"/>
  <c r="T143" i="2"/>
  <c r="U143" i="2" s="1"/>
  <c r="G143" i="2" s="1"/>
  <c r="H143" i="2" s="1"/>
  <c r="H144" i="2" s="1"/>
  <c r="C33" i="3" s="1"/>
  <c r="O143" i="2"/>
  <c r="P143" i="2" s="1"/>
  <c r="E143" i="2" s="1"/>
  <c r="T139" i="2"/>
  <c r="U139" i="2" s="1"/>
  <c r="G139" i="2" s="1"/>
  <c r="H139" i="2" s="1"/>
  <c r="O139" i="2"/>
  <c r="P139" i="2" s="1"/>
  <c r="E139" i="2" s="1"/>
  <c r="T138" i="2"/>
  <c r="U138" i="2" s="1"/>
  <c r="G138" i="2" s="1"/>
  <c r="H138" i="2" s="1"/>
  <c r="O138" i="2"/>
  <c r="P138" i="2" s="1"/>
  <c r="E138" i="2" s="1"/>
  <c r="T137" i="2"/>
  <c r="U137" i="2" s="1"/>
  <c r="G137" i="2" s="1"/>
  <c r="H137" i="2" s="1"/>
  <c r="O137" i="2"/>
  <c r="P137" i="2" s="1"/>
  <c r="E137" i="2" s="1"/>
  <c r="T133" i="2"/>
  <c r="U133" i="2" s="1"/>
  <c r="G133" i="2" s="1"/>
  <c r="H133" i="2" s="1"/>
  <c r="O133" i="2"/>
  <c r="P133" i="2" s="1"/>
  <c r="E133" i="2" s="1"/>
  <c r="T132" i="2"/>
  <c r="U132" i="2" s="1"/>
  <c r="G132" i="2" s="1"/>
  <c r="H132" i="2" s="1"/>
  <c r="O132" i="2"/>
  <c r="P132" i="2" s="1"/>
  <c r="E132" i="2" s="1"/>
  <c r="T131" i="2"/>
  <c r="U131" i="2" s="1"/>
  <c r="G131" i="2" s="1"/>
  <c r="H131" i="2" s="1"/>
  <c r="O131" i="2"/>
  <c r="P131" i="2" s="1"/>
  <c r="E131" i="2" s="1"/>
  <c r="T130" i="2"/>
  <c r="U130" i="2" s="1"/>
  <c r="G130" i="2" s="1"/>
  <c r="H130" i="2" s="1"/>
  <c r="O130" i="2"/>
  <c r="P130" i="2" s="1"/>
  <c r="E130" i="2" s="1"/>
  <c r="T128" i="2"/>
  <c r="U128" i="2" s="1"/>
  <c r="G128" i="2" s="1"/>
  <c r="H128" i="2" s="1"/>
  <c r="O128" i="2"/>
  <c r="P128" i="2" s="1"/>
  <c r="E128" i="2" s="1"/>
  <c r="T126" i="2"/>
  <c r="U126" i="2" s="1"/>
  <c r="G126" i="2" s="1"/>
  <c r="H126" i="2" s="1"/>
  <c r="O126" i="2"/>
  <c r="P126" i="2" s="1"/>
  <c r="E126" i="2" s="1"/>
  <c r="T124" i="2"/>
  <c r="U124" i="2" s="1"/>
  <c r="G124" i="2" s="1"/>
  <c r="H124" i="2" s="1"/>
  <c r="O124" i="2"/>
  <c r="P124" i="2" s="1"/>
  <c r="E124" i="2" s="1"/>
  <c r="T122" i="2"/>
  <c r="U122" i="2" s="1"/>
  <c r="G122" i="2" s="1"/>
  <c r="H122" i="2" s="1"/>
  <c r="O122" i="2"/>
  <c r="P122" i="2" s="1"/>
  <c r="E122" i="2" s="1"/>
  <c r="T121" i="2"/>
  <c r="U121" i="2" s="1"/>
  <c r="G121" i="2" s="1"/>
  <c r="H121" i="2" s="1"/>
  <c r="O121" i="2"/>
  <c r="P121" i="2" s="1"/>
  <c r="E121" i="2" s="1"/>
  <c r="T120" i="2"/>
  <c r="U120" i="2" s="1"/>
  <c r="G120" i="2" s="1"/>
  <c r="H120" i="2" s="1"/>
  <c r="O120" i="2"/>
  <c r="P120" i="2" s="1"/>
  <c r="E120" i="2" s="1"/>
  <c r="U118" i="2"/>
  <c r="G118" i="2" s="1"/>
  <c r="H118" i="2" s="1"/>
  <c r="T118" i="2"/>
  <c r="O118" i="2"/>
  <c r="P118" i="2" s="1"/>
  <c r="E118" i="2" s="1"/>
  <c r="T117" i="2"/>
  <c r="U117" i="2" s="1"/>
  <c r="G117" i="2" s="1"/>
  <c r="H117" i="2" s="1"/>
  <c r="O117" i="2"/>
  <c r="P117" i="2" s="1"/>
  <c r="E117" i="2" s="1"/>
  <c r="T116" i="2"/>
  <c r="U116" i="2" s="1"/>
  <c r="G116" i="2" s="1"/>
  <c r="H116" i="2" s="1"/>
  <c r="O116" i="2"/>
  <c r="P116" i="2" s="1"/>
  <c r="E116" i="2" s="1"/>
  <c r="T114" i="2"/>
  <c r="U114" i="2" s="1"/>
  <c r="G114" i="2" s="1"/>
  <c r="H114" i="2" s="1"/>
  <c r="O114" i="2"/>
  <c r="P114" i="2" s="1"/>
  <c r="E114" i="2" s="1"/>
  <c r="T113" i="2"/>
  <c r="U113" i="2" s="1"/>
  <c r="G113" i="2" s="1"/>
  <c r="H113" i="2" s="1"/>
  <c r="O113" i="2"/>
  <c r="P113" i="2" s="1"/>
  <c r="E113" i="2" s="1"/>
  <c r="T112" i="2"/>
  <c r="U112" i="2" s="1"/>
  <c r="G112" i="2" s="1"/>
  <c r="H112" i="2" s="1"/>
  <c r="O112" i="2"/>
  <c r="P112" i="2" s="1"/>
  <c r="E112" i="2" s="1"/>
  <c r="T111" i="2"/>
  <c r="U111" i="2" s="1"/>
  <c r="G111" i="2" s="1"/>
  <c r="H111" i="2" s="1"/>
  <c r="O111" i="2"/>
  <c r="P111" i="2" s="1"/>
  <c r="E111" i="2" s="1"/>
  <c r="T110" i="2"/>
  <c r="U110" i="2" s="1"/>
  <c r="G110" i="2" s="1"/>
  <c r="H110" i="2" s="1"/>
  <c r="P110" i="2"/>
  <c r="E110" i="2" s="1"/>
  <c r="O110" i="2"/>
  <c r="T108" i="2"/>
  <c r="U108" i="2" s="1"/>
  <c r="G108" i="2" s="1"/>
  <c r="H108" i="2" s="1"/>
  <c r="O108" i="2"/>
  <c r="P108" i="2" s="1"/>
  <c r="E108" i="2" s="1"/>
  <c r="T106" i="2"/>
  <c r="U106" i="2" s="1"/>
  <c r="G106" i="2" s="1"/>
  <c r="H106" i="2" s="1"/>
  <c r="O106" i="2"/>
  <c r="P106" i="2" s="1"/>
  <c r="E106" i="2" s="1"/>
  <c r="T104" i="2"/>
  <c r="U104" i="2" s="1"/>
  <c r="G104" i="2" s="1"/>
  <c r="H104" i="2" s="1"/>
  <c r="O104" i="2"/>
  <c r="P104" i="2" s="1"/>
  <c r="E104" i="2" s="1"/>
  <c r="T103" i="2"/>
  <c r="U103" i="2" s="1"/>
  <c r="G103" i="2" s="1"/>
  <c r="H103" i="2" s="1"/>
  <c r="O103" i="2"/>
  <c r="P103" i="2" s="1"/>
  <c r="E103" i="2" s="1"/>
  <c r="T102" i="2"/>
  <c r="U102" i="2" s="1"/>
  <c r="G102" i="2" s="1"/>
  <c r="H102" i="2" s="1"/>
  <c r="O102" i="2"/>
  <c r="P102" i="2" s="1"/>
  <c r="E102" i="2" s="1"/>
  <c r="T100" i="2"/>
  <c r="U100" i="2" s="1"/>
  <c r="G100" i="2" s="1"/>
  <c r="H100" i="2" s="1"/>
  <c r="O100" i="2"/>
  <c r="P100" i="2" s="1"/>
  <c r="E100" i="2" s="1"/>
  <c r="T98" i="2"/>
  <c r="U98" i="2" s="1"/>
  <c r="G98" i="2" s="1"/>
  <c r="H98" i="2" s="1"/>
  <c r="O98" i="2"/>
  <c r="P98" i="2" s="1"/>
  <c r="E98" i="2" s="1"/>
  <c r="T96" i="2"/>
  <c r="U96" i="2" s="1"/>
  <c r="G96" i="2" s="1"/>
  <c r="H96" i="2" s="1"/>
  <c r="O96" i="2"/>
  <c r="P96" i="2" s="1"/>
  <c r="E96" i="2" s="1"/>
  <c r="F96" i="2" s="1"/>
  <c r="T94" i="2"/>
  <c r="U94" i="2" s="1"/>
  <c r="G94" i="2" s="1"/>
  <c r="H94" i="2" s="1"/>
  <c r="O94" i="2"/>
  <c r="P94" i="2" s="1"/>
  <c r="E94" i="2" s="1"/>
  <c r="T93" i="2"/>
  <c r="U93" i="2" s="1"/>
  <c r="G93" i="2" s="1"/>
  <c r="H93" i="2" s="1"/>
  <c r="O93" i="2"/>
  <c r="P93" i="2" s="1"/>
  <c r="E93" i="2" s="1"/>
  <c r="F93" i="2" s="1"/>
  <c r="T92" i="2"/>
  <c r="U92" i="2" s="1"/>
  <c r="G92" i="2" s="1"/>
  <c r="H92" i="2" s="1"/>
  <c r="O92" i="2"/>
  <c r="P92" i="2" s="1"/>
  <c r="E92" i="2" s="1"/>
  <c r="U91" i="2"/>
  <c r="G91" i="2" s="1"/>
  <c r="H91" i="2" s="1"/>
  <c r="T91" i="2"/>
  <c r="O91" i="2"/>
  <c r="P91" i="2" s="1"/>
  <c r="E91" i="2" s="1"/>
  <c r="T89" i="2"/>
  <c r="U89" i="2" s="1"/>
  <c r="G89" i="2" s="1"/>
  <c r="H89" i="2" s="1"/>
  <c r="O89" i="2"/>
  <c r="P89" i="2" s="1"/>
  <c r="E89" i="2" s="1"/>
  <c r="T87" i="2"/>
  <c r="U87" i="2" s="1"/>
  <c r="G87" i="2" s="1"/>
  <c r="H87" i="2" s="1"/>
  <c r="O87" i="2"/>
  <c r="P87" i="2" s="1"/>
  <c r="E87" i="2" s="1"/>
  <c r="T85" i="2"/>
  <c r="U85" i="2" s="1"/>
  <c r="G85" i="2" s="1"/>
  <c r="H85" i="2" s="1"/>
  <c r="O85" i="2"/>
  <c r="P85" i="2" s="1"/>
  <c r="E85" i="2" s="1"/>
  <c r="T84" i="2"/>
  <c r="U84" i="2" s="1"/>
  <c r="G84" i="2" s="1"/>
  <c r="H84" i="2" s="1"/>
  <c r="O84" i="2"/>
  <c r="P84" i="2" s="1"/>
  <c r="E84" i="2" s="1"/>
  <c r="T82" i="2"/>
  <c r="U82" i="2" s="1"/>
  <c r="G82" i="2" s="1"/>
  <c r="H82" i="2" s="1"/>
  <c r="O82" i="2"/>
  <c r="P82" i="2" s="1"/>
  <c r="E82" i="2" s="1"/>
  <c r="T81" i="2"/>
  <c r="U81" i="2" s="1"/>
  <c r="G81" i="2" s="1"/>
  <c r="H81" i="2" s="1"/>
  <c r="O81" i="2"/>
  <c r="P81" i="2" s="1"/>
  <c r="E81" i="2" s="1"/>
  <c r="T79" i="2"/>
  <c r="U79" i="2" s="1"/>
  <c r="G79" i="2" s="1"/>
  <c r="H79" i="2" s="1"/>
  <c r="O79" i="2"/>
  <c r="P79" i="2" s="1"/>
  <c r="E79" i="2" s="1"/>
  <c r="T77" i="2"/>
  <c r="U77" i="2" s="1"/>
  <c r="G77" i="2" s="1"/>
  <c r="H77" i="2" s="1"/>
  <c r="O77" i="2"/>
  <c r="P77" i="2" s="1"/>
  <c r="E77" i="2" s="1"/>
  <c r="T76" i="2"/>
  <c r="U76" i="2" s="1"/>
  <c r="G76" i="2" s="1"/>
  <c r="H76" i="2" s="1"/>
  <c r="O76" i="2"/>
  <c r="P76" i="2" s="1"/>
  <c r="E76" i="2" s="1"/>
  <c r="T74" i="2"/>
  <c r="U74" i="2" s="1"/>
  <c r="G74" i="2" s="1"/>
  <c r="H74" i="2" s="1"/>
  <c r="O74" i="2"/>
  <c r="P74" i="2" s="1"/>
  <c r="E74" i="2" s="1"/>
  <c r="T72" i="2"/>
  <c r="U72" i="2" s="1"/>
  <c r="G72" i="2" s="1"/>
  <c r="H72" i="2" s="1"/>
  <c r="O72" i="2"/>
  <c r="P72" i="2" s="1"/>
  <c r="E72" i="2" s="1"/>
  <c r="T71" i="2"/>
  <c r="U71" i="2" s="1"/>
  <c r="G71" i="2" s="1"/>
  <c r="H71" i="2" s="1"/>
  <c r="O71" i="2"/>
  <c r="P71" i="2" s="1"/>
  <c r="E71" i="2" s="1"/>
  <c r="U70" i="2"/>
  <c r="G70" i="2" s="1"/>
  <c r="H70" i="2" s="1"/>
  <c r="T70" i="2"/>
  <c r="O70" i="2"/>
  <c r="P70" i="2" s="1"/>
  <c r="E70" i="2" s="1"/>
  <c r="T65" i="2"/>
  <c r="U65" i="2" s="1"/>
  <c r="G65" i="2" s="1"/>
  <c r="H65" i="2" s="1"/>
  <c r="O65" i="2"/>
  <c r="P65" i="2" s="1"/>
  <c r="E65" i="2" s="1"/>
  <c r="T64" i="2"/>
  <c r="U64" i="2" s="1"/>
  <c r="G64" i="2" s="1"/>
  <c r="H64" i="2" s="1"/>
  <c r="O64" i="2"/>
  <c r="P64" i="2" s="1"/>
  <c r="E64" i="2" s="1"/>
  <c r="T63" i="2"/>
  <c r="U63" i="2" s="1"/>
  <c r="G63" i="2" s="1"/>
  <c r="H63" i="2" s="1"/>
  <c r="O63" i="2"/>
  <c r="P63" i="2" s="1"/>
  <c r="E63" i="2" s="1"/>
  <c r="T62" i="2"/>
  <c r="U62" i="2" s="1"/>
  <c r="G62" i="2" s="1"/>
  <c r="H62" i="2" s="1"/>
  <c r="O62" i="2"/>
  <c r="P62" i="2" s="1"/>
  <c r="E62" i="2" s="1"/>
  <c r="T61" i="2"/>
  <c r="U61" i="2" s="1"/>
  <c r="G61" i="2" s="1"/>
  <c r="H61" i="2" s="1"/>
  <c r="O61" i="2"/>
  <c r="P61" i="2" s="1"/>
  <c r="E61" i="2" s="1"/>
  <c r="T60" i="2"/>
  <c r="U60" i="2" s="1"/>
  <c r="G60" i="2" s="1"/>
  <c r="H60" i="2" s="1"/>
  <c r="O60" i="2"/>
  <c r="P60" i="2" s="1"/>
  <c r="E60" i="2" s="1"/>
  <c r="T58" i="2"/>
  <c r="U58" i="2" s="1"/>
  <c r="G58" i="2" s="1"/>
  <c r="H58" i="2" s="1"/>
  <c r="O58" i="2"/>
  <c r="P58" i="2" s="1"/>
  <c r="E58" i="2" s="1"/>
  <c r="T57" i="2"/>
  <c r="U57" i="2" s="1"/>
  <c r="G57" i="2" s="1"/>
  <c r="H57" i="2" s="1"/>
  <c r="O57" i="2"/>
  <c r="P57" i="2" s="1"/>
  <c r="E57" i="2" s="1"/>
  <c r="T56" i="2"/>
  <c r="U56" i="2" s="1"/>
  <c r="G56" i="2" s="1"/>
  <c r="H56" i="2" s="1"/>
  <c r="O56" i="2"/>
  <c r="P56" i="2" s="1"/>
  <c r="E56" i="2" s="1"/>
  <c r="T54" i="2"/>
  <c r="U54" i="2" s="1"/>
  <c r="G54" i="2" s="1"/>
  <c r="H54" i="2" s="1"/>
  <c r="P54" i="2"/>
  <c r="E54" i="2" s="1"/>
  <c r="O54" i="2"/>
  <c r="T53" i="2"/>
  <c r="U53" i="2" s="1"/>
  <c r="G53" i="2" s="1"/>
  <c r="H53" i="2" s="1"/>
  <c r="O53" i="2"/>
  <c r="P53" i="2" s="1"/>
  <c r="E53" i="2" s="1"/>
  <c r="T52" i="2"/>
  <c r="U52" i="2" s="1"/>
  <c r="G52" i="2" s="1"/>
  <c r="H52" i="2" s="1"/>
  <c r="O52" i="2"/>
  <c r="P52" i="2" s="1"/>
  <c r="E52" i="2" s="1"/>
  <c r="T47" i="2"/>
  <c r="U47" i="2" s="1"/>
  <c r="G47" i="2" s="1"/>
  <c r="H47" i="2" s="1"/>
  <c r="E47" i="2"/>
  <c r="T46" i="2"/>
  <c r="U46" i="2" s="1"/>
  <c r="G46" i="2" s="1"/>
  <c r="H46" i="2" s="1"/>
  <c r="E46" i="2"/>
  <c r="U44" i="2"/>
  <c r="G44" i="2" s="1"/>
  <c r="H44" i="2" s="1"/>
  <c r="T44" i="2"/>
  <c r="E44" i="2"/>
  <c r="T42" i="2"/>
  <c r="U42" i="2" s="1"/>
  <c r="G42" i="2" s="1"/>
  <c r="H42" i="2" s="1"/>
  <c r="E42" i="2"/>
  <c r="T40" i="2"/>
  <c r="U40" i="2" s="1"/>
  <c r="G40" i="2" s="1"/>
  <c r="H40" i="2" s="1"/>
  <c r="E40" i="2"/>
  <c r="T38" i="2"/>
  <c r="U38" i="2" s="1"/>
  <c r="G38" i="2" s="1"/>
  <c r="H38" i="2" s="1"/>
  <c r="E38" i="2"/>
  <c r="T36" i="2"/>
  <c r="U36" i="2" s="1"/>
  <c r="G36" i="2" s="1"/>
  <c r="H36" i="2" s="1"/>
  <c r="E36" i="2"/>
  <c r="T34" i="2"/>
  <c r="U34" i="2" s="1"/>
  <c r="G34" i="2" s="1"/>
  <c r="H34" i="2" s="1"/>
  <c r="E34" i="2"/>
  <c r="T32" i="2"/>
  <c r="U32" i="2" s="1"/>
  <c r="G32" i="2" s="1"/>
  <c r="H32" i="2" s="1"/>
  <c r="E32" i="2"/>
  <c r="T31" i="2"/>
  <c r="U31" i="2" s="1"/>
  <c r="G31" i="2" s="1"/>
  <c r="H31" i="2" s="1"/>
  <c r="E31" i="2"/>
  <c r="T29" i="2"/>
  <c r="U29" i="2" s="1"/>
  <c r="G29" i="2" s="1"/>
  <c r="H29" i="2" s="1"/>
  <c r="E29" i="2"/>
  <c r="T27" i="2"/>
  <c r="U27" i="2" s="1"/>
  <c r="G27" i="2" s="1"/>
  <c r="H27" i="2" s="1"/>
  <c r="E27" i="2"/>
  <c r="T25" i="2"/>
  <c r="U25" i="2" s="1"/>
  <c r="G25" i="2" s="1"/>
  <c r="H25" i="2" s="1"/>
  <c r="E25" i="2"/>
  <c r="T23" i="2"/>
  <c r="U23" i="2" s="1"/>
  <c r="G23" i="2" s="1"/>
  <c r="H23" i="2" s="1"/>
  <c r="E23" i="2"/>
  <c r="T21" i="2"/>
  <c r="U21" i="2" s="1"/>
  <c r="G21" i="2" s="1"/>
  <c r="H21" i="2" s="1"/>
  <c r="E21" i="2"/>
  <c r="G19" i="2"/>
  <c r="H19" i="2" s="1"/>
  <c r="E19" i="2"/>
  <c r="T13" i="2"/>
  <c r="U13" i="2" s="1"/>
  <c r="G13" i="2" s="1"/>
  <c r="H13" i="2" s="1"/>
  <c r="E13" i="2"/>
  <c r="T11" i="2"/>
  <c r="U11" i="2" s="1"/>
  <c r="G11" i="2" s="1"/>
  <c r="H11" i="2" s="1"/>
  <c r="O11" i="2"/>
  <c r="P11" i="2" s="1"/>
  <c r="E11" i="2" s="1"/>
  <c r="T10" i="2"/>
  <c r="U10" i="2" s="1"/>
  <c r="G10" i="2" s="1"/>
  <c r="H10" i="2" s="1"/>
  <c r="E10" i="2"/>
  <c r="T8" i="2"/>
  <c r="U8" i="2" s="1"/>
  <c r="G8" i="2" s="1"/>
  <c r="H8" i="2" s="1"/>
  <c r="O8" i="2"/>
  <c r="P8" i="2" s="1"/>
  <c r="E8" i="2" s="1"/>
  <c r="C9" i="3"/>
  <c r="C4" i="3"/>
  <c r="B4" i="3"/>
  <c r="B7" i="3" s="1"/>
  <c r="B3" i="3"/>
  <c r="J326" i="2"/>
  <c r="I326" i="2"/>
  <c r="J324" i="2"/>
  <c r="I324" i="2"/>
  <c r="I323" i="2"/>
  <c r="H323" i="2"/>
  <c r="F323" i="2"/>
  <c r="I321" i="2"/>
  <c r="H321" i="2"/>
  <c r="F321" i="2"/>
  <c r="J321" i="2" s="1"/>
  <c r="J319" i="2"/>
  <c r="I319" i="2"/>
  <c r="J317" i="2"/>
  <c r="I317" i="2"/>
  <c r="J314" i="2"/>
  <c r="I314" i="2"/>
  <c r="J312" i="2"/>
  <c r="I312" i="2"/>
  <c r="J299" i="2"/>
  <c r="I299" i="2"/>
  <c r="J292" i="2"/>
  <c r="I292" i="2"/>
  <c r="J271" i="2"/>
  <c r="I271" i="2"/>
  <c r="J231" i="2"/>
  <c r="I231" i="2"/>
  <c r="I229" i="2"/>
  <c r="H229" i="2"/>
  <c r="F229" i="2"/>
  <c r="I228" i="2"/>
  <c r="H228" i="2"/>
  <c r="F228" i="2"/>
  <c r="I227" i="2"/>
  <c r="H227" i="2"/>
  <c r="F227" i="2"/>
  <c r="I226" i="2"/>
  <c r="H226" i="2"/>
  <c r="F226" i="2"/>
  <c r="J226" i="2" s="1"/>
  <c r="I225" i="2"/>
  <c r="H225" i="2"/>
  <c r="F225" i="2"/>
  <c r="I224" i="2"/>
  <c r="H224" i="2"/>
  <c r="F224" i="2"/>
  <c r="J221" i="2"/>
  <c r="I221" i="2"/>
  <c r="J180" i="2"/>
  <c r="I180" i="2"/>
  <c r="J166" i="2"/>
  <c r="I166" i="2"/>
  <c r="J145" i="2"/>
  <c r="I145" i="2"/>
  <c r="J141" i="2"/>
  <c r="I141" i="2"/>
  <c r="J67" i="2"/>
  <c r="I67" i="2"/>
  <c r="J49" i="2"/>
  <c r="I49" i="2"/>
  <c r="J18" i="2"/>
  <c r="I18" i="2"/>
  <c r="J17" i="2"/>
  <c r="I17" i="2"/>
  <c r="J15" i="2"/>
  <c r="I15" i="2"/>
  <c r="J6" i="2"/>
  <c r="I6" i="2"/>
  <c r="J4" i="2"/>
  <c r="I4" i="2"/>
  <c r="J2" i="2"/>
  <c r="I2" i="2"/>
  <c r="Y327" i="2" l="1"/>
  <c r="J302" i="2"/>
  <c r="I108" i="2"/>
  <c r="J266" i="2"/>
  <c r="J213" i="2"/>
  <c r="I172" i="2"/>
  <c r="I153" i="2"/>
  <c r="I245" i="2"/>
  <c r="I118" i="2"/>
  <c r="I191" i="2"/>
  <c r="J275" i="2"/>
  <c r="I124" i="2"/>
  <c r="I102" i="2"/>
  <c r="I149" i="2"/>
  <c r="I164" i="2"/>
  <c r="J208" i="2"/>
  <c r="I302" i="2"/>
  <c r="I131" i="2"/>
  <c r="J245" i="2"/>
  <c r="I178" i="2"/>
  <c r="I261" i="2"/>
  <c r="I113" i="2"/>
  <c r="I138" i="2"/>
  <c r="I159" i="2"/>
  <c r="I266" i="2"/>
  <c r="I275" i="2"/>
  <c r="J225" i="2"/>
  <c r="J229" i="2"/>
  <c r="I213" i="2"/>
  <c r="I208" i="2"/>
  <c r="I203" i="2"/>
  <c r="I25" i="2"/>
  <c r="F25" i="2"/>
  <c r="J25" i="2" s="1"/>
  <c r="I56" i="2"/>
  <c r="F56" i="2"/>
  <c r="J56" i="2" s="1"/>
  <c r="I65" i="2"/>
  <c r="F65" i="2"/>
  <c r="J65" i="2" s="1"/>
  <c r="I81" i="2"/>
  <c r="F81" i="2"/>
  <c r="J81" i="2" s="1"/>
  <c r="I40" i="2"/>
  <c r="F40" i="2"/>
  <c r="J40" i="2" s="1"/>
  <c r="F42" i="2"/>
  <c r="J42" i="2" s="1"/>
  <c r="I42" i="2"/>
  <c r="F70" i="2"/>
  <c r="I70" i="2"/>
  <c r="I85" i="2"/>
  <c r="F85" i="2"/>
  <c r="J85" i="2" s="1"/>
  <c r="I98" i="2"/>
  <c r="F98" i="2"/>
  <c r="J98" i="2" s="1"/>
  <c r="F27" i="2"/>
  <c r="J27" i="2" s="1"/>
  <c r="I27" i="2"/>
  <c r="I36" i="2"/>
  <c r="F36" i="2"/>
  <c r="J36" i="2" s="1"/>
  <c r="I53" i="2"/>
  <c r="F53" i="2"/>
  <c r="J53" i="2" s="1"/>
  <c r="I60" i="2"/>
  <c r="F60" i="2"/>
  <c r="J60" i="2" s="1"/>
  <c r="I72" i="2"/>
  <c r="F72" i="2"/>
  <c r="J72" i="2" s="1"/>
  <c r="I91" i="2"/>
  <c r="F91" i="2"/>
  <c r="J91" i="2" s="1"/>
  <c r="I13" i="2"/>
  <c r="F13" i="2"/>
  <c r="J13" i="2" s="1"/>
  <c r="I32" i="2"/>
  <c r="F32" i="2"/>
  <c r="J32" i="2" s="1"/>
  <c r="I61" i="2"/>
  <c r="F61" i="2"/>
  <c r="J61" i="2" s="1"/>
  <c r="I74" i="2"/>
  <c r="F74" i="2"/>
  <c r="J74" i="2" s="1"/>
  <c r="I87" i="2"/>
  <c r="F87" i="2"/>
  <c r="J87" i="2" s="1"/>
  <c r="I94" i="2"/>
  <c r="F94" i="2"/>
  <c r="J94" i="2" s="1"/>
  <c r="I21" i="2"/>
  <c r="F21" i="2"/>
  <c r="J21" i="2" s="1"/>
  <c r="F57" i="2"/>
  <c r="J57" i="2" s="1"/>
  <c r="I57" i="2"/>
  <c r="F82" i="2"/>
  <c r="J82" i="2" s="1"/>
  <c r="I82" i="2"/>
  <c r="I47" i="2"/>
  <c r="F47" i="2"/>
  <c r="J47" i="2" s="1"/>
  <c r="F100" i="2"/>
  <c r="J100" i="2" s="1"/>
  <c r="I100" i="2"/>
  <c r="I11" i="2"/>
  <c r="F11" i="2"/>
  <c r="J11" i="2" s="1"/>
  <c r="I31" i="2"/>
  <c r="F31" i="2"/>
  <c r="J31" i="2" s="1"/>
  <c r="I46" i="2"/>
  <c r="F46" i="2"/>
  <c r="J46" i="2" s="1"/>
  <c r="I63" i="2"/>
  <c r="F63" i="2"/>
  <c r="J63" i="2" s="1"/>
  <c r="I77" i="2"/>
  <c r="F77" i="2"/>
  <c r="J77" i="2" s="1"/>
  <c r="I10" i="2"/>
  <c r="F10" i="2"/>
  <c r="J10" i="2" s="1"/>
  <c r="F19" i="2"/>
  <c r="J19" i="2" s="1"/>
  <c r="I19" i="2"/>
  <c r="I23" i="2"/>
  <c r="F23" i="2"/>
  <c r="J23" i="2" s="1"/>
  <c r="I29" i="2"/>
  <c r="F29" i="2"/>
  <c r="J29" i="2" s="1"/>
  <c r="F34" i="2"/>
  <c r="J34" i="2" s="1"/>
  <c r="I34" i="2"/>
  <c r="I38" i="2"/>
  <c r="F38" i="2"/>
  <c r="J38" i="2" s="1"/>
  <c r="I44" i="2"/>
  <c r="F44" i="2"/>
  <c r="J44" i="2" s="1"/>
  <c r="F52" i="2"/>
  <c r="J52" i="2" s="1"/>
  <c r="I52" i="2"/>
  <c r="I54" i="2"/>
  <c r="F54" i="2"/>
  <c r="J54" i="2" s="1"/>
  <c r="I58" i="2"/>
  <c r="F58" i="2"/>
  <c r="J58" i="2" s="1"/>
  <c r="F62" i="2"/>
  <c r="J62" i="2" s="1"/>
  <c r="I62" i="2"/>
  <c r="I64" i="2"/>
  <c r="F64" i="2"/>
  <c r="J64" i="2" s="1"/>
  <c r="I71" i="2"/>
  <c r="F71" i="2"/>
  <c r="J71" i="2" s="1"/>
  <c r="F76" i="2"/>
  <c r="J76" i="2" s="1"/>
  <c r="I76" i="2"/>
  <c r="I79" i="2"/>
  <c r="F79" i="2"/>
  <c r="J79" i="2" s="1"/>
  <c r="I84" i="2"/>
  <c r="F84" i="2"/>
  <c r="J84" i="2" s="1"/>
  <c r="F89" i="2"/>
  <c r="J89" i="2" s="1"/>
  <c r="I89" i="2"/>
  <c r="I92" i="2"/>
  <c r="F92" i="2"/>
  <c r="J92" i="2" s="1"/>
  <c r="I103" i="2"/>
  <c r="F103" i="2"/>
  <c r="J103" i="2" s="1"/>
  <c r="I110" i="2"/>
  <c r="F110" i="2"/>
  <c r="J110" i="2" s="1"/>
  <c r="I114" i="2"/>
  <c r="F114" i="2"/>
  <c r="J114" i="2" s="1"/>
  <c r="I120" i="2"/>
  <c r="F120" i="2"/>
  <c r="J120" i="2" s="1"/>
  <c r="I210" i="2"/>
  <c r="F210" i="2"/>
  <c r="J210" i="2" s="1"/>
  <c r="F102" i="2"/>
  <c r="J102" i="2" s="1"/>
  <c r="F108" i="2"/>
  <c r="J108" i="2" s="1"/>
  <c r="F113" i="2"/>
  <c r="J113" i="2" s="1"/>
  <c r="F118" i="2"/>
  <c r="J118" i="2" s="1"/>
  <c r="F124" i="2"/>
  <c r="J124" i="2" s="1"/>
  <c r="F131" i="2"/>
  <c r="J131" i="2" s="1"/>
  <c r="F138" i="2"/>
  <c r="J138" i="2" s="1"/>
  <c r="F149" i="2"/>
  <c r="J149" i="2" s="1"/>
  <c r="F153" i="2"/>
  <c r="J153" i="2" s="1"/>
  <c r="F159" i="2"/>
  <c r="J159" i="2" s="1"/>
  <c r="F164" i="2"/>
  <c r="J164" i="2" s="1"/>
  <c r="F172" i="2"/>
  <c r="J172" i="2" s="1"/>
  <c r="F178" i="2"/>
  <c r="J178" i="2" s="1"/>
  <c r="F191" i="2"/>
  <c r="J191" i="2" s="1"/>
  <c r="F197" i="2"/>
  <c r="J197" i="2" s="1"/>
  <c r="I197" i="2"/>
  <c r="F257" i="2"/>
  <c r="J257" i="2" s="1"/>
  <c r="I257" i="2"/>
  <c r="I260" i="2"/>
  <c r="F260" i="2"/>
  <c r="J260" i="2" s="1"/>
  <c r="I263" i="2"/>
  <c r="F263" i="2"/>
  <c r="J263" i="2" s="1"/>
  <c r="I126" i="2"/>
  <c r="F126" i="2"/>
  <c r="J126" i="2" s="1"/>
  <c r="I132" i="2"/>
  <c r="F132" i="2"/>
  <c r="J132" i="2" s="1"/>
  <c r="I139" i="2"/>
  <c r="F139" i="2"/>
  <c r="J139" i="2" s="1"/>
  <c r="I150" i="2"/>
  <c r="F150" i="2"/>
  <c r="J150" i="2" s="1"/>
  <c r="I154" i="2"/>
  <c r="F154" i="2"/>
  <c r="J154" i="2" s="1"/>
  <c r="I161" i="2"/>
  <c r="F161" i="2"/>
  <c r="J161" i="2" s="1"/>
  <c r="I169" i="2"/>
  <c r="F169" i="2"/>
  <c r="J169" i="2" s="1"/>
  <c r="I173" i="2"/>
  <c r="F173" i="2"/>
  <c r="J173" i="2" s="1"/>
  <c r="I185" i="2"/>
  <c r="F185" i="2"/>
  <c r="J185" i="2" s="1"/>
  <c r="I194" i="2"/>
  <c r="F194" i="2"/>
  <c r="J194" i="2" s="1"/>
  <c r="F251" i="2"/>
  <c r="J251" i="2" s="1"/>
  <c r="I251" i="2"/>
  <c r="I304" i="2"/>
  <c r="F304" i="2"/>
  <c r="J304" i="2" s="1"/>
  <c r="I308" i="2"/>
  <c r="F308" i="2"/>
  <c r="J308" i="2" s="1"/>
  <c r="I104" i="2"/>
  <c r="F104" i="2"/>
  <c r="J104" i="2" s="1"/>
  <c r="I111" i="2"/>
  <c r="F111" i="2"/>
  <c r="J111" i="2" s="1"/>
  <c r="I116" i="2"/>
  <c r="F116" i="2"/>
  <c r="J116" i="2" s="1"/>
  <c r="I121" i="2"/>
  <c r="F121" i="2"/>
  <c r="J121" i="2" s="1"/>
  <c r="I128" i="2"/>
  <c r="F128" i="2"/>
  <c r="J128" i="2" s="1"/>
  <c r="I133" i="2"/>
  <c r="F133" i="2"/>
  <c r="J133" i="2" s="1"/>
  <c r="I143" i="2"/>
  <c r="F143" i="2"/>
  <c r="I151" i="2"/>
  <c r="F151" i="2"/>
  <c r="J151" i="2" s="1"/>
  <c r="I155" i="2"/>
  <c r="F155" i="2"/>
  <c r="J155" i="2" s="1"/>
  <c r="I162" i="2"/>
  <c r="F162" i="2"/>
  <c r="J162" i="2" s="1"/>
  <c r="I170" i="2"/>
  <c r="F170" i="2"/>
  <c r="J170" i="2" s="1"/>
  <c r="I176" i="2"/>
  <c r="F176" i="2"/>
  <c r="J176" i="2" s="1"/>
  <c r="I189" i="2"/>
  <c r="F189" i="2"/>
  <c r="J189" i="2" s="1"/>
  <c r="I195" i="2"/>
  <c r="F195" i="2"/>
  <c r="J195" i="2" s="1"/>
  <c r="I200" i="2"/>
  <c r="F200" i="2"/>
  <c r="J200" i="2" s="1"/>
  <c r="I235" i="2"/>
  <c r="F235" i="2"/>
  <c r="J235" i="2" s="1"/>
  <c r="F247" i="2"/>
  <c r="J247" i="2" s="1"/>
  <c r="I247" i="2"/>
  <c r="F252" i="2"/>
  <c r="J252" i="2" s="1"/>
  <c r="I252" i="2"/>
  <c r="I309" i="2"/>
  <c r="F309" i="2"/>
  <c r="J309" i="2" s="1"/>
  <c r="I241" i="2"/>
  <c r="F241" i="2"/>
  <c r="J241" i="2" s="1"/>
  <c r="H289" i="2"/>
  <c r="H291" i="2" s="1"/>
  <c r="C39" i="3" s="1"/>
  <c r="I289" i="2"/>
  <c r="I96" i="2"/>
  <c r="F198" i="2"/>
  <c r="J198" i="2" s="1"/>
  <c r="I198" i="2"/>
  <c r="I249" i="2"/>
  <c r="F249" i="2"/>
  <c r="J249" i="2" s="1"/>
  <c r="I269" i="2"/>
  <c r="F269" i="2"/>
  <c r="J269" i="2" s="1"/>
  <c r="F306" i="2"/>
  <c r="J306" i="2" s="1"/>
  <c r="I306" i="2"/>
  <c r="F310" i="2"/>
  <c r="J310" i="2" s="1"/>
  <c r="I310" i="2"/>
  <c r="I201" i="2"/>
  <c r="F201" i="2"/>
  <c r="J201" i="2" s="1"/>
  <c r="I206" i="2"/>
  <c r="F206" i="2"/>
  <c r="J206" i="2" s="1"/>
  <c r="J93" i="2"/>
  <c r="I93" i="2"/>
  <c r="J96" i="2"/>
  <c r="F196" i="2"/>
  <c r="J196" i="2" s="1"/>
  <c r="I196" i="2"/>
  <c r="I259" i="2"/>
  <c r="F259" i="2"/>
  <c r="J259" i="2" s="1"/>
  <c r="I285" i="2"/>
  <c r="F285" i="2"/>
  <c r="J285" i="2" s="1"/>
  <c r="F303" i="2"/>
  <c r="J303" i="2" s="1"/>
  <c r="I303" i="2"/>
  <c r="F307" i="2"/>
  <c r="J307" i="2" s="1"/>
  <c r="I307" i="2"/>
  <c r="F106" i="2"/>
  <c r="J106" i="2" s="1"/>
  <c r="I106" i="2"/>
  <c r="F112" i="2"/>
  <c r="J112" i="2" s="1"/>
  <c r="I112" i="2"/>
  <c r="F117" i="2"/>
  <c r="J117" i="2" s="1"/>
  <c r="I117" i="2"/>
  <c r="F122" i="2"/>
  <c r="J122" i="2" s="1"/>
  <c r="I122" i="2"/>
  <c r="F130" i="2"/>
  <c r="J130" i="2" s="1"/>
  <c r="I130" i="2"/>
  <c r="F137" i="2"/>
  <c r="J137" i="2" s="1"/>
  <c r="I137" i="2"/>
  <c r="F148" i="2"/>
  <c r="J148" i="2" s="1"/>
  <c r="I148" i="2"/>
  <c r="F152" i="2"/>
  <c r="J152" i="2" s="1"/>
  <c r="I152" i="2"/>
  <c r="F157" i="2"/>
  <c r="J157" i="2" s="1"/>
  <c r="I157" i="2"/>
  <c r="F163" i="2"/>
  <c r="J163" i="2" s="1"/>
  <c r="I163" i="2"/>
  <c r="F171" i="2"/>
  <c r="J171" i="2" s="1"/>
  <c r="I171" i="2"/>
  <c r="F177" i="2"/>
  <c r="J177" i="2" s="1"/>
  <c r="I177" i="2"/>
  <c r="F190" i="2"/>
  <c r="J190" i="2" s="1"/>
  <c r="I190" i="2"/>
  <c r="H238" i="2"/>
  <c r="J238" i="2" s="1"/>
  <c r="I238" i="2"/>
  <c r="I255" i="2"/>
  <c r="F255" i="2"/>
  <c r="J255" i="2" s="1"/>
  <c r="I296" i="2"/>
  <c r="F296" i="2"/>
  <c r="J296" i="2" s="1"/>
  <c r="F205" i="2"/>
  <c r="J205" i="2" s="1"/>
  <c r="I205" i="2"/>
  <c r="I212" i="2"/>
  <c r="F212" i="2"/>
  <c r="J212" i="2" s="1"/>
  <c r="I216" i="2"/>
  <c r="F216" i="2"/>
  <c r="J216" i="2" s="1"/>
  <c r="F262" i="2"/>
  <c r="J262" i="2" s="1"/>
  <c r="I262" i="2"/>
  <c r="I274" i="2"/>
  <c r="F274" i="2"/>
  <c r="J274" i="2" s="1"/>
  <c r="I278" i="2"/>
  <c r="F278" i="2"/>
  <c r="J278" i="2" s="1"/>
  <c r="F234" i="2"/>
  <c r="J234" i="2" s="1"/>
  <c r="I234" i="2"/>
  <c r="I242" i="2"/>
  <c r="F242" i="2"/>
  <c r="J242" i="2" s="1"/>
  <c r="F283" i="2"/>
  <c r="J283" i="2" s="1"/>
  <c r="I283" i="2"/>
  <c r="J289" i="2"/>
  <c r="I297" i="2"/>
  <c r="F297" i="2"/>
  <c r="J297" i="2" s="1"/>
  <c r="F199" i="2"/>
  <c r="J199" i="2" s="1"/>
  <c r="I199" i="2"/>
  <c r="F209" i="2"/>
  <c r="J209" i="2" s="1"/>
  <c r="I209" i="2"/>
  <c r="I218" i="2"/>
  <c r="F218" i="2"/>
  <c r="J218" i="2" s="1"/>
  <c r="F267" i="2"/>
  <c r="J267" i="2" s="1"/>
  <c r="I267" i="2"/>
  <c r="I280" i="2"/>
  <c r="F280" i="2"/>
  <c r="J280" i="2" s="1"/>
  <c r="F240" i="2"/>
  <c r="J240" i="2" s="1"/>
  <c r="I240" i="2"/>
  <c r="I250" i="2"/>
  <c r="F250" i="2"/>
  <c r="J250" i="2" s="1"/>
  <c r="I254" i="2"/>
  <c r="F254" i="2"/>
  <c r="J254" i="2" s="1"/>
  <c r="F290" i="2"/>
  <c r="J290" i="2" s="1"/>
  <c r="I290" i="2"/>
  <c r="I305" i="2"/>
  <c r="F305" i="2"/>
  <c r="J305" i="2" s="1"/>
  <c r="J203" i="2"/>
  <c r="I207" i="2"/>
  <c r="F207" i="2"/>
  <c r="J207" i="2" s="1"/>
  <c r="I219" i="2"/>
  <c r="F258" i="2"/>
  <c r="J258" i="2" s="1"/>
  <c r="I258" i="2"/>
  <c r="J261" i="2"/>
  <c r="I264" i="2"/>
  <c r="F264" i="2"/>
  <c r="J264" i="2" s="1"/>
  <c r="I282" i="2"/>
  <c r="F315" i="2"/>
  <c r="J315" i="2" s="1"/>
  <c r="I315" i="2"/>
  <c r="F215" i="2"/>
  <c r="J215" i="2" s="1"/>
  <c r="I215" i="2"/>
  <c r="J219" i="2"/>
  <c r="I236" i="2"/>
  <c r="F236" i="2"/>
  <c r="J236" i="2" s="1"/>
  <c r="F276" i="2"/>
  <c r="J276" i="2" s="1"/>
  <c r="I276" i="2"/>
  <c r="J282" i="2"/>
  <c r="I287" i="2"/>
  <c r="F287" i="2"/>
  <c r="J287" i="2" s="1"/>
  <c r="I8" i="2"/>
  <c r="F8" i="2"/>
  <c r="J8" i="2" s="1"/>
  <c r="H325" i="2"/>
  <c r="C42" i="3" s="1"/>
  <c r="H140" i="2"/>
  <c r="C32" i="3" s="1"/>
  <c r="H165" i="2"/>
  <c r="C34" i="3" s="1"/>
  <c r="H230" i="2"/>
  <c r="C37" i="3" s="1"/>
  <c r="H14" i="2"/>
  <c r="C29" i="3" s="1"/>
  <c r="H66" i="2"/>
  <c r="C31" i="3" s="1"/>
  <c r="J224" i="2"/>
  <c r="J323" i="2"/>
  <c r="J325" i="2" s="1"/>
  <c r="H220" i="2"/>
  <c r="C36" i="3" s="1"/>
  <c r="H48" i="2"/>
  <c r="C30" i="3" s="1"/>
  <c r="H179" i="2"/>
  <c r="C35" i="3" s="1"/>
  <c r="J228" i="2"/>
  <c r="J230" i="2" s="1"/>
  <c r="H311" i="2"/>
  <c r="C41" i="3" s="1"/>
  <c r="J227" i="2"/>
  <c r="F230" i="2"/>
  <c r="B37" i="3" s="1"/>
  <c r="B12" i="3"/>
  <c r="F325" i="2"/>
  <c r="H270" i="2" l="1"/>
  <c r="C38" i="3" s="1"/>
  <c r="F298" i="2"/>
  <c r="B40" i="3" s="1"/>
  <c r="F291" i="2"/>
  <c r="B39" i="3" s="1"/>
  <c r="J291" i="2"/>
  <c r="F165" i="2"/>
  <c r="B34" i="3" s="1"/>
  <c r="J165" i="2"/>
  <c r="F48" i="2"/>
  <c r="B30" i="3" s="1"/>
  <c r="M1" i="2"/>
  <c r="M2" i="2" s="1"/>
  <c r="M3" i="2" s="1"/>
  <c r="M4" i="2" s="1"/>
  <c r="M5" i="2" s="1"/>
  <c r="M6" i="2" s="1"/>
  <c r="M7" i="2" s="1"/>
  <c r="F313" i="2"/>
  <c r="B28" i="3" s="1"/>
  <c r="F140" i="2"/>
  <c r="B32" i="3" s="1"/>
  <c r="J70" i="2"/>
  <c r="J140" i="2" s="1"/>
  <c r="H316" i="2"/>
  <c r="C6" i="3" s="1"/>
  <c r="F66" i="2"/>
  <c r="B31" i="3" s="1"/>
  <c r="F270" i="2"/>
  <c r="B38" i="3" s="1"/>
  <c r="F179" i="2"/>
  <c r="B35" i="3" s="1"/>
  <c r="F14" i="2"/>
  <c r="B29" i="3" s="1"/>
  <c r="F311" i="2"/>
  <c r="B41" i="3" s="1"/>
  <c r="F144" i="2"/>
  <c r="B33" i="3" s="1"/>
  <c r="J143" i="2"/>
  <c r="J144" i="2" s="1"/>
  <c r="F220" i="2"/>
  <c r="B36" i="3" s="1"/>
  <c r="H313" i="2"/>
  <c r="C28" i="3" s="1"/>
  <c r="J66" i="2"/>
  <c r="J48" i="2"/>
  <c r="J220" i="2"/>
  <c r="J179" i="2"/>
  <c r="J311" i="2"/>
  <c r="J298" i="2"/>
  <c r="J270" i="2"/>
  <c r="J14" i="2"/>
  <c r="F316" i="2"/>
  <c r="C5" i="3" s="1"/>
  <c r="B42" i="3"/>
  <c r="C10" i="3"/>
  <c r="C11" i="3" s="1"/>
  <c r="J313" i="2" l="1"/>
  <c r="J316" i="2"/>
  <c r="C27" i="3"/>
  <c r="B27" i="3"/>
  <c r="C8" i="3"/>
  <c r="C7" i="3"/>
  <c r="C12" i="3" l="1"/>
  <c r="C15" i="3"/>
  <c r="C20" i="3" l="1"/>
  <c r="C19" i="3"/>
  <c r="C13" i="3"/>
  <c r="C14" i="3"/>
  <c r="C16" i="3" l="1"/>
  <c r="C22" i="3" s="1"/>
  <c r="C21" i="3"/>
  <c r="C24" i="3" l="1"/>
  <c r="AC327" i="2" s="1"/>
  <c r="AF327" i="2" s="1"/>
</calcChain>
</file>

<file path=xl/sharedStrings.xml><?xml version="1.0" encoding="utf-8"?>
<sst xmlns="http://schemas.openxmlformats.org/spreadsheetml/2006/main" count="1114" uniqueCount="621">
  <si>
    <t>Název</t>
  </si>
  <si>
    <t>Hodnota</t>
  </si>
  <si>
    <t>Nadpis rekapitulace</t>
  </si>
  <si>
    <t>Seznam prací a dodávek elektrotechnických zařízení</t>
  </si>
  <si>
    <t>Akce</t>
  </si>
  <si>
    <t>Prodejna pro dům a zahradu, Cheb, ul. Ke Hřbitovu</t>
  </si>
  <si>
    <t>Projekt</t>
  </si>
  <si>
    <t>D.1.4.5 Silnoproudá elektrotechnika</t>
  </si>
  <si>
    <t>Investor</t>
  </si>
  <si>
    <t>DEKINVEST, investiční fond s proměnným základním kapitálem, a.s. Tiskařská 257/10, 108 00 Praha 10</t>
  </si>
  <si>
    <t>Z. č.</t>
  </si>
  <si>
    <t>2021-34-05</t>
  </si>
  <si>
    <t>A. č.</t>
  </si>
  <si>
    <t>24510</t>
  </si>
  <si>
    <t>Smlouva</t>
  </si>
  <si>
    <t/>
  </si>
  <si>
    <t>Vypracoval</t>
  </si>
  <si>
    <t>Martin Zeman</t>
  </si>
  <si>
    <t>Kontroloval</t>
  </si>
  <si>
    <t>Datum</t>
  </si>
  <si>
    <t>28.3.2024</t>
  </si>
  <si>
    <t>Zpracovatel</t>
  </si>
  <si>
    <t>Martin Zeman, Zašovská 256, Valašské Meziříčí</t>
  </si>
  <si>
    <t>CÚ</t>
  </si>
  <si>
    <t>03/2024</t>
  </si>
  <si>
    <t>Poznámka</t>
  </si>
  <si>
    <t>Uvedené ceny jsou v Kč a nezahrnují DPH, pokud to není uvedeno.</t>
  </si>
  <si>
    <t>Doprava dodávek  (3,6) %</t>
  </si>
  <si>
    <t>3,60</t>
  </si>
  <si>
    <t>Přesun dodávek  (1) %</t>
  </si>
  <si>
    <t>1,00</t>
  </si>
  <si>
    <t>PPV  (1 nebo 6) %</t>
  </si>
  <si>
    <t>PPV zemních prací, nátěrů  (1) %</t>
  </si>
  <si>
    <t>0,00</t>
  </si>
  <si>
    <t>Dodavat. dokumentace  (1 - 1,5) %</t>
  </si>
  <si>
    <t>Rizika a pojištění  (1 - 1,5) %</t>
  </si>
  <si>
    <t>Opravy v záruce  (5 - 7) %</t>
  </si>
  <si>
    <t>GZS  (3,25 nebo 8,4) %</t>
  </si>
  <si>
    <t>Provozní vlivy  %</t>
  </si>
  <si>
    <t>Kompletační činnost - a</t>
  </si>
  <si>
    <t>Kompletační činnost - b</t>
  </si>
  <si>
    <t>0,952842</t>
  </si>
  <si>
    <t>Kompletační činnost - k1</t>
  </si>
  <si>
    <t>Kompletační činnost - k2</t>
  </si>
  <si>
    <t>Roční nárůst cen 1   %</t>
  </si>
  <si>
    <t>Roční nárůst cen 2   %</t>
  </si>
  <si>
    <t>1. sazba DPH %
- i pro přirážky rekapitulace</t>
  </si>
  <si>
    <t>21</t>
  </si>
  <si>
    <t>2. sazba DPH %</t>
  </si>
  <si>
    <t>15</t>
  </si>
  <si>
    <t>Procento PM % 1</t>
  </si>
  <si>
    <t>Procento PM % 2</t>
  </si>
  <si>
    <t>Věta</t>
  </si>
  <si>
    <t>Mj</t>
  </si>
  <si>
    <t>Počet</t>
  </si>
  <si>
    <t>Materiál</t>
  </si>
  <si>
    <t>Materiál celkem</t>
  </si>
  <si>
    <t>Montáž</t>
  </si>
  <si>
    <t>Montáž celkem</t>
  </si>
  <si>
    <t>Cena</t>
  </si>
  <si>
    <t>Cena celkem</t>
  </si>
  <si>
    <t>Elektromontáže</t>
  </si>
  <si>
    <t>D.1.4.5 - Silnoproudá elektrotechnika</t>
  </si>
  <si>
    <t>Rozvaděče</t>
  </si>
  <si>
    <t>Skříňový rozvaděč RH, volně stojící, přívod zdola, vývody shora, prostorová rezerva 30%</t>
  </si>
  <si>
    <t>ks</t>
  </si>
  <si>
    <t>7004-19008</t>
  </si>
  <si>
    <t>MONTÁŽ  ROZVADĚČŮ SKŘÍŇOVÝCH</t>
  </si>
  <si>
    <t>7004-19010</t>
  </si>
  <si>
    <t xml:space="preserve"> do  300 kg</t>
  </si>
  <si>
    <t>Nástěnný rozvaděč R1, přívod zespodu, vývody shora, prostorová rezerva 30%</t>
  </si>
  <si>
    <t>7004-19001</t>
  </si>
  <si>
    <t>MONTÁŽ ROZVODNIC</t>
  </si>
  <si>
    <t>7004-19003</t>
  </si>
  <si>
    <t xml:space="preserve"> do  50 kg</t>
  </si>
  <si>
    <t>Rozvaděče - celkem</t>
  </si>
  <si>
    <t>Svítidla</t>
  </si>
  <si>
    <t>POZNÁMKA: CENA SVÍTIDEL A PŘESNÉ POČTY NOSNÉHO SYSTÉMU BUDE UPŘESNĚNO FIRMOU THOME</t>
  </si>
  <si>
    <t>Svítidla hlavní + nouzová, Thome Lighting</t>
  </si>
  <si>
    <t>sada</t>
  </si>
  <si>
    <t>9998-5113</t>
  </si>
  <si>
    <t>Montáž modulového osvětlovacího systému se zapojením vodičů a příslušenství, délky</t>
  </si>
  <si>
    <t>9998-5115</t>
  </si>
  <si>
    <t xml:space="preserve"> přes 1100 mm</t>
  </si>
  <si>
    <t>m</t>
  </si>
  <si>
    <t>9998-5046</t>
  </si>
  <si>
    <t>Montáž svítidel LED se zapojením vodičů - Modulový systém, A, A2, A2/N13, A3/N13</t>
  </si>
  <si>
    <t>9998-5047</t>
  </si>
  <si>
    <t xml:space="preserve"> 1 zdroj</t>
  </si>
  <si>
    <t>9998-4987</t>
  </si>
  <si>
    <t>Montáž LED svítidel se zapojením vodičů, vestavných - B, B1</t>
  </si>
  <si>
    <t>9998-4988</t>
  </si>
  <si>
    <t>Montáž svítidel LED  (DALI) se zapojením vodičů - 600x600mm, D2</t>
  </si>
  <si>
    <t>Montáž svítidel LED se zapojením vodičů - 600x600mm, D3</t>
  </si>
  <si>
    <t>Montáž LED svítidel se zapojením vodičů průmyslových stropních přisazených, E, Ex, F, Fx</t>
  </si>
  <si>
    <t>9998-5048</t>
  </si>
  <si>
    <t xml:space="preserve"> 1 zdroj - venkovní mytí</t>
  </si>
  <si>
    <t>Montáž LED svítidel se zapojením vodičů průmyslových stropních přisazených, H</t>
  </si>
  <si>
    <t>9998-5073</t>
  </si>
  <si>
    <t>Montáž svítidel výbojkových se zapojením vodičů, průmyslových nebo venkovních, V1</t>
  </si>
  <si>
    <t>9998-5075</t>
  </si>
  <si>
    <t xml:space="preserve"> na třmen</t>
  </si>
  <si>
    <t>Svítidlo do soc. zařízení</t>
  </si>
  <si>
    <t>3002-2</t>
  </si>
  <si>
    <t>K - Nástěnné svítidlo Lucis Izar I LED 16W, l=600mm, bílá</t>
  </si>
  <si>
    <t>Montáž svítidel LED se zapojením vodičů - K</t>
  </si>
  <si>
    <t>Montáž LED svítidel se zapojením vodičů, vestavných - N6, N8, N11</t>
  </si>
  <si>
    <t>Montáž LED svítidel se zapojením vodičů, přizazených - N1, N3, N12</t>
  </si>
  <si>
    <t>Montáž LED svítidel se zapojením vodičů, přizazených, s pikrogramem - P1</t>
  </si>
  <si>
    <t>3001-19</t>
  </si>
  <si>
    <t xml:space="preserve"> SL002 Poplatek za recyklaci svítidla</t>
  </si>
  <si>
    <t>Svítidla - celkem</t>
  </si>
  <si>
    <t>Elektrické vytápění</t>
  </si>
  <si>
    <t>3002-7</t>
  </si>
  <si>
    <t>Elektrický konvektor</t>
  </si>
  <si>
    <t>3002-8</t>
  </si>
  <si>
    <t xml:space="preserve"> ECOFLEX TAC 05, 500W</t>
  </si>
  <si>
    <t>3002-9</t>
  </si>
  <si>
    <t xml:space="preserve"> ECOFLEX TAC 07, 750W</t>
  </si>
  <si>
    <t>3002-10</t>
  </si>
  <si>
    <t xml:space="preserve"> ECOFLEX TAC 10, 1000W</t>
  </si>
  <si>
    <t>3002-11</t>
  </si>
  <si>
    <t>Regulátor teploty</t>
  </si>
  <si>
    <t>3002-12</t>
  </si>
  <si>
    <t xml:space="preserve"> Regulátor teploty, FENIX  TFT</t>
  </si>
  <si>
    <t>3002-1501</t>
  </si>
  <si>
    <t xml:space="preserve"> Topný žebřík KD-E 900/1680 (v=1680mm), včetně topné patrony a termostatem</t>
  </si>
  <si>
    <t>3002-16</t>
  </si>
  <si>
    <t xml:space="preserve">  Sada úchytů K(D)-E</t>
  </si>
  <si>
    <t>3002-48</t>
  </si>
  <si>
    <t>Elektrická topná rohož</t>
  </si>
  <si>
    <t>3002-49</t>
  </si>
  <si>
    <t xml:space="preserve"> LDTS80/0,8, příkon 60W</t>
  </si>
  <si>
    <t>3002-51</t>
  </si>
  <si>
    <t xml:space="preserve"> LDTS80/2,3, příkon 180W</t>
  </si>
  <si>
    <t>3002-53</t>
  </si>
  <si>
    <t xml:space="preserve"> LDTS80/3,6, příkon 290W</t>
  </si>
  <si>
    <t>3002-67</t>
  </si>
  <si>
    <t xml:space="preserve"> LDTS100/4,7, příkon 460W</t>
  </si>
  <si>
    <t>3002-70</t>
  </si>
  <si>
    <t xml:space="preserve"> LDTS100/10,2, příkon 1000W</t>
  </si>
  <si>
    <t>3002-76</t>
  </si>
  <si>
    <t xml:space="preserve"> LDTS160/1,6, příkon 260W</t>
  </si>
  <si>
    <t>Elektrické vytápění - celkem</t>
  </si>
  <si>
    <t>Zásuvky, spínače, krabice</t>
  </si>
  <si>
    <t>3002-104</t>
  </si>
  <si>
    <t>PODLAHOVÉ KRABICE, ZÁSUVKY, PŘÍSLUŠENSTVÍ</t>
  </si>
  <si>
    <t>3002-105</t>
  </si>
  <si>
    <t xml:space="preserve"> Podlahová zásuvka 18 modulová, šedý plast, 9 násobná, včetně příslušenství a podlahové krabice, LEGRAND</t>
  </si>
  <si>
    <t>3002-106</t>
  </si>
  <si>
    <t xml:space="preserve"> Zásuvka 45x45, s ochranným kolíkem; řazení 2P+PE; d. Profil 45</t>
  </si>
  <si>
    <t>3002-107</t>
  </si>
  <si>
    <t xml:space="preserve"> Zásuvka 45x45 s ochranným kolíkem, s clonkami, s ochranou před přepětím, s optickou signalizací poruchy; řazení 2P+PE; d. Profil 45</t>
  </si>
  <si>
    <t>3002-115</t>
  </si>
  <si>
    <t>ZÁSUVKA KOMPLETNÍ, S RÁMEČKEM, FUTURE LINEAR, IP20, BARVA ANTRACITOVÁ</t>
  </si>
  <si>
    <t>3002-118</t>
  </si>
  <si>
    <t xml:space="preserve"> Zásuvka dvojnásobná, s ochranným kolíkem, řazení 2P+PE</t>
  </si>
  <si>
    <t>3002-121</t>
  </si>
  <si>
    <t>ZÁSUVKA KOMPLETNÍ, S RÁMEČKEM, FUTURE LINEAR, IP20, BARVA BÍLÁ</t>
  </si>
  <si>
    <t>3002-122</t>
  </si>
  <si>
    <t xml:space="preserve"> Zásuvka jednonásobná, s ochranným kolíkem; řazení 2P+PE</t>
  </si>
  <si>
    <t>3002-124</t>
  </si>
  <si>
    <t>3002-130</t>
  </si>
  <si>
    <t>ZÁSUVKA NÁSTĚNNÁ S VYŠŠÍM KRYTÍM, IP44, VARIANT</t>
  </si>
  <si>
    <t>3002-131</t>
  </si>
  <si>
    <t>3002-142</t>
  </si>
  <si>
    <t>ZÁSUVKA, PŘÍVODKA PRŮMYSLOVÁ, 400V, ABB</t>
  </si>
  <si>
    <t>3002-143</t>
  </si>
  <si>
    <t xml:space="preserve"> Přívodka průmyslová, nástěnná montáž; řazení 3P+N+PE; b. IP 67 / IP 69, 32 A</t>
  </si>
  <si>
    <t>3002-144</t>
  </si>
  <si>
    <t xml:space="preserve"> Zásuvka průmyslová, nástěnná montáž; řazení 3P+N+PE; b. IP 44, 16A</t>
  </si>
  <si>
    <t>7004-11228</t>
  </si>
  <si>
    <t>ZÁSUVKA PRŮMYSLOVÁ NÁSTĚNNÁ, IP67 - venkovní mytí</t>
  </si>
  <si>
    <t>7004-11230</t>
  </si>
  <si>
    <t>IZG1653 16A,400V,3p+N+PE</t>
  </si>
  <si>
    <t>7004-11232</t>
  </si>
  <si>
    <t>IZG3253 32A,400V,3p+N+PE</t>
  </si>
  <si>
    <t>7004-11192</t>
  </si>
  <si>
    <t>ZÁSUVKA NASTĚNNÁ V Al IP55 - venkovní mytí</t>
  </si>
  <si>
    <t>7004-11193</t>
  </si>
  <si>
    <t>5518-2750 2p+PE,venkovní</t>
  </si>
  <si>
    <t>3002-109</t>
  </si>
  <si>
    <t>ZÁSUVKA KOMPLETNÍ, S RÁMEČKEM, TANGO, IP20, BARVA BÍLÁ, USB PORT</t>
  </si>
  <si>
    <t>3002-112</t>
  </si>
  <si>
    <t xml:space="preserve"> Zásuvka s ochranným kolíkem, řazení 2P+PE, USB port</t>
  </si>
  <si>
    <t>ZÁSUVKA KOMPLETNÍ, S RÁMEČKEM, TANGO, IP20, BARVA BÍLÁ</t>
  </si>
  <si>
    <t>3002-110</t>
  </si>
  <si>
    <t>3002-111</t>
  </si>
  <si>
    <t xml:space="preserve"> Zásuvka jednonásobná, s ochranným kolíkem, s ochranou před přepětím; řazení 2P+PE</t>
  </si>
  <si>
    <t>Zásuvka pro pohyblivý přívod 2xPZ, 230V, 16A  – přímá, barva černá, IP20</t>
  </si>
  <si>
    <t>3002-147</t>
  </si>
  <si>
    <t>ZÁSUVKOVÉ SKŘÍNĚ</t>
  </si>
  <si>
    <t>3002-148</t>
  </si>
  <si>
    <t xml:space="preserve"> Zásuvková skříň, 400V/16A/5p, 2x 230V, TYP: Mi-78222, proudový chránič</t>
  </si>
  <si>
    <t>3002-166</t>
  </si>
  <si>
    <t>STMÍVAČ KOMPLETNÍ, S RÁMEČKEM, FUTURE LINEAR, IP20, BARVA ANTRACITOVÁ</t>
  </si>
  <si>
    <t>3002-167</t>
  </si>
  <si>
    <t xml:space="preserve"> Výkonový stmívač, ovládání potenciomerem, spínání tlačítky, DALI, typ strojku: 6599-0-2988</t>
  </si>
  <si>
    <t>3002-170</t>
  </si>
  <si>
    <t>STMÍVAČ KOMPLETNÍ, S RÁMEČKEM, FUTURE LINEAR, IP20, BARVA BÍLÁ</t>
  </si>
  <si>
    <t>3002-171</t>
  </si>
  <si>
    <t>3002-227</t>
  </si>
  <si>
    <t>SPÍNAČ, PŘEPÍNAČ KOMPLETNÍ S RÁMEČKEM, FUTURE LINEAR, IP20, BARVA BÍLÁ</t>
  </si>
  <si>
    <t>3002-228</t>
  </si>
  <si>
    <t xml:space="preserve"> Spínač jednopolový, kompletní</t>
  </si>
  <si>
    <t>3002-230</t>
  </si>
  <si>
    <t xml:space="preserve"> Spínač sériový, kompletní</t>
  </si>
  <si>
    <t>3002-231</t>
  </si>
  <si>
    <t xml:space="preserve"> Spínač střídavý přepínací</t>
  </si>
  <si>
    <t>3002-178</t>
  </si>
  <si>
    <t>POHYBOVÝ SPÍNAČ AUTOMATICKÝ, KOMPLETNÍ, IP20, ABB, BARVA BÍLÁ</t>
  </si>
  <si>
    <t>3002-179</t>
  </si>
  <si>
    <t xml:space="preserve"> Spínací prvek relé, ABB 3299-22103</t>
  </si>
  <si>
    <t>POHYBOVÝ SPÍNAČ AUTOMATICKÝ, KOMPLETNÍ, IP44, ELBOCK, BARVA BÍLÁ</t>
  </si>
  <si>
    <t>IR48 profiI, P44</t>
  </si>
  <si>
    <t>3002-190</t>
  </si>
  <si>
    <t>SPÍNAČ, PŘEPÍNAČ KOMPLETNÍ S RÁMEČKEM, TANGO, IP20, BARVA BÍLÁ</t>
  </si>
  <si>
    <t>3002-191</t>
  </si>
  <si>
    <t>3002-193</t>
  </si>
  <si>
    <t>3002-194</t>
  </si>
  <si>
    <t>3002-195</t>
  </si>
  <si>
    <t xml:space="preserve"> Spínač křížový přepínací</t>
  </si>
  <si>
    <t>3002-196</t>
  </si>
  <si>
    <t xml:space="preserve"> Vypínač s doutnavkou (1S,1So)</t>
  </si>
  <si>
    <t>3002-201</t>
  </si>
  <si>
    <t>SPÍNAČ, PŘEPÍNAČ KOMPLETNÍ S RÁMEČKEM, TANGO, IP44, BARVA BÍLÁ</t>
  </si>
  <si>
    <t>3002-202</t>
  </si>
  <si>
    <t xml:space="preserve"> Sériový přepínač</t>
  </si>
  <si>
    <t>3002-203</t>
  </si>
  <si>
    <t xml:space="preserve"> Střídavý přepínač</t>
  </si>
  <si>
    <t>3002-205</t>
  </si>
  <si>
    <t xml:space="preserve"> Tlačítko</t>
  </si>
  <si>
    <t>3002-208</t>
  </si>
  <si>
    <t>SPÍNAČ DO VLHKA, VARIANT PLUS, IP44,  BARVA BÍLÁ</t>
  </si>
  <si>
    <t>3002-211</t>
  </si>
  <si>
    <t>3002-209</t>
  </si>
  <si>
    <t>3002-216</t>
  </si>
  <si>
    <t xml:space="preserve"> Tlačítko (1/0)</t>
  </si>
  <si>
    <t>7004-11062</t>
  </si>
  <si>
    <t>SPÍNAČ VENKOVNÍ V Al IP66 - venkovní mytí</t>
  </si>
  <si>
    <t>7004-11063</t>
  </si>
  <si>
    <t>3558-01750 1-pólový vypínač</t>
  </si>
  <si>
    <t>3002-219</t>
  </si>
  <si>
    <t>SADA PRO NOUZOVOU SIGNALIZACI, ABB, IP20, BARVA ALPSKÁ BÍLÁ</t>
  </si>
  <si>
    <t>3002-220</t>
  </si>
  <si>
    <t xml:space="preserve"> Sada pro nouzovou signalizaci, TYP: 3280B-C10001 B</t>
  </si>
  <si>
    <t>3002-222</t>
  </si>
  <si>
    <t>STOP TLAČÍTKO PROSKLENNÉ, (CENTRAL/TOTAL STOP), IP55, BARVA ČERVENÁ</t>
  </si>
  <si>
    <t>3002-223</t>
  </si>
  <si>
    <t xml:space="preserve"> GW42201 Požární tlačítko 120x120x50 IP55 se 2 kontakty Gewiss</t>
  </si>
  <si>
    <t>3002-238</t>
  </si>
  <si>
    <t>SPORÁKOVA PŘÍPOJKA  3-PÓLOVÁ ZAPUŠTĚNÁ</t>
  </si>
  <si>
    <t>3002-239</t>
  </si>
  <si>
    <t xml:space="preserve"> 3425A-0344 B</t>
  </si>
  <si>
    <t>1123-17</t>
  </si>
  <si>
    <t>KP 68/2 KRABICE PŘÍSTROJOVÁ</t>
  </si>
  <si>
    <t>1123-3</t>
  </si>
  <si>
    <t>KU 68-1902 KRABICE ODBOČNÁ s víčkem</t>
  </si>
  <si>
    <t>1123-27</t>
  </si>
  <si>
    <t>KR 97 KRABICE ROZVODNÁ</t>
  </si>
  <si>
    <t>1066-3267</t>
  </si>
  <si>
    <t>DK-KABELOVÉ KRABICOVÉ ROZVODKY IP 65</t>
  </si>
  <si>
    <t>1066-3268</t>
  </si>
  <si>
    <t>BEZ KABELOVÝCH VSTUPŮ /plné stěny/</t>
  </si>
  <si>
    <t>1066-3269</t>
  </si>
  <si>
    <t>VE DNĚ A STĚNÁCH KRABICOVÉ ROZVODKY</t>
  </si>
  <si>
    <t>1066-3272</t>
  </si>
  <si>
    <t>DK 0202 GZ Nová rozvodnice v krytí IP 66</t>
  </si>
  <si>
    <t>1265-19</t>
  </si>
  <si>
    <t>Svorkovnice krabicová, 4x1-2,5mm2</t>
  </si>
  <si>
    <t>1265-22</t>
  </si>
  <si>
    <t>Svorkovnice krabicová, 5x1-2,5mm2</t>
  </si>
  <si>
    <t>Zásuvky, spínače, krabice - celkem</t>
  </si>
  <si>
    <t>Ovládací skříně</t>
  </si>
  <si>
    <t>Ovládací plastová skříň s tlačítky pro ovládání el. vrat. Přesný počet ovládacích tlačítek bude upřesněn firmou dodávající el. vrata</t>
  </si>
  <si>
    <t>Ovládací skříně - celkem</t>
  </si>
  <si>
    <t>Kabely</t>
  </si>
  <si>
    <t>7002-17</t>
  </si>
  <si>
    <t>KABEL SILOVÝ,IZOLACE PVC</t>
  </si>
  <si>
    <t>7002-22</t>
  </si>
  <si>
    <t>CYKY-J 3x1.5</t>
  </si>
  <si>
    <t>7002-23</t>
  </si>
  <si>
    <t>CYKY-J 3x2.5</t>
  </si>
  <si>
    <t>7002-32</t>
  </si>
  <si>
    <t>CYKY-J 5x1.5</t>
  </si>
  <si>
    <t>7002-33</t>
  </si>
  <si>
    <t>CYKY-J 5x2.5</t>
  </si>
  <si>
    <t>7002-34</t>
  </si>
  <si>
    <t>CYKY-J 5x4</t>
  </si>
  <si>
    <t>7002-35</t>
  </si>
  <si>
    <t>CYKY-J 5x6</t>
  </si>
  <si>
    <t>7002-36</t>
  </si>
  <si>
    <t>CYKY-J 5x10</t>
  </si>
  <si>
    <t>7002-37</t>
  </si>
  <si>
    <t>CYKY-J 5x16</t>
  </si>
  <si>
    <t>7002-437</t>
  </si>
  <si>
    <t>KABEL STÍNĚNÝ</t>
  </si>
  <si>
    <t>7002-439</t>
  </si>
  <si>
    <t>FTP 4P, kabel je pro propojení el. vrat s centrálním ovládáním. Přesný typ bude upřesněn firmou dodávající el. vrata.</t>
  </si>
  <si>
    <t>7002-870</t>
  </si>
  <si>
    <t>KABEL SE SNÍŽENOU HOŘLAVOSTÍ, S FUNKČNÍ SCHOPNOSTÍ PŘI POŽÁRU, TŘÍDA REAKCE NA OHEŇ - B2 ca, s1, d0</t>
  </si>
  <si>
    <t>7002-877</t>
  </si>
  <si>
    <t>1-CXKH-V-J 4x1.5</t>
  </si>
  <si>
    <t>7002-492</t>
  </si>
  <si>
    <t>7002-493</t>
  </si>
  <si>
    <t>CYKY-O 2x1.5</t>
  </si>
  <si>
    <t>7002-497</t>
  </si>
  <si>
    <t>CYKY-O 3x1.5</t>
  </si>
  <si>
    <t>7002-501</t>
  </si>
  <si>
    <t>CYKY-O 4x1.5</t>
  </si>
  <si>
    <t>7002-507</t>
  </si>
  <si>
    <t>CYKY-O 5x1.5</t>
  </si>
  <si>
    <t>Kabely - celkem</t>
  </si>
  <si>
    <t>Ukončení vodičů</t>
  </si>
  <si>
    <t>9998-3130</t>
  </si>
  <si>
    <t>Ukončení vodičů izolovaných s označením a zapojením na svorkovnici s otevřením a uzavřením krytu</t>
  </si>
  <si>
    <t>9998-3131</t>
  </si>
  <si>
    <t xml:space="preserve"> do 2,5 mm2</t>
  </si>
  <si>
    <t>9998-3132</t>
  </si>
  <si>
    <t xml:space="preserve"> 4 mm2</t>
  </si>
  <si>
    <t>9998-3133</t>
  </si>
  <si>
    <t xml:space="preserve"> 6 mm2</t>
  </si>
  <si>
    <t>9998-3134</t>
  </si>
  <si>
    <t xml:space="preserve"> 10 mm2</t>
  </si>
  <si>
    <t>9998-3135</t>
  </si>
  <si>
    <t xml:space="preserve"> 16 mm2</t>
  </si>
  <si>
    <t>9999-412</t>
  </si>
  <si>
    <t>UKONČENÍ KABELŮ SMRŠŤOVACÍ</t>
  </si>
  <si>
    <t>9999-413</t>
  </si>
  <si>
    <t>ZÁKLOPKOU DO</t>
  </si>
  <si>
    <t>9999-414</t>
  </si>
  <si>
    <t xml:space="preserve"> 4x10 mm2</t>
  </si>
  <si>
    <t>9999-2756</t>
  </si>
  <si>
    <t xml:space="preserve"> 4x 16mm2</t>
  </si>
  <si>
    <t>Štítky, označení kabelů, stahovací pásky a ostatní</t>
  </si>
  <si>
    <t>klp</t>
  </si>
  <si>
    <t>Ukončení vodičů - celkem</t>
  </si>
  <si>
    <t>Kabelové trasy, nosné konstrukce</t>
  </si>
  <si>
    <t>1245-15</t>
  </si>
  <si>
    <t>KABELOVÝ ŽLAB PLECHOVÝ</t>
  </si>
  <si>
    <t>1245-16</t>
  </si>
  <si>
    <t>DÉLKA 2 M VČETNĚ SPOJEK</t>
  </si>
  <si>
    <t>1245-17</t>
  </si>
  <si>
    <t>A SPOJOVACÍHO MAT.</t>
  </si>
  <si>
    <t>1245-18</t>
  </si>
  <si>
    <t>40/20 žlab s víkem</t>
  </si>
  <si>
    <t>1245-19</t>
  </si>
  <si>
    <t>1245-20</t>
  </si>
  <si>
    <t>DÉLKA 3 M VČETNĚ SPOJEK</t>
  </si>
  <si>
    <t>1245-21</t>
  </si>
  <si>
    <t>1245-23</t>
  </si>
  <si>
    <t>125/50 žlab s víkem</t>
  </si>
  <si>
    <t>1245-26</t>
  </si>
  <si>
    <t>250/100 žlab s víkem</t>
  </si>
  <si>
    <t>1245-27</t>
  </si>
  <si>
    <t>500/100 žlab s víkem</t>
  </si>
  <si>
    <t>1245-184</t>
  </si>
  <si>
    <t>PŘÍSLUŠENSTVÍ  KABELOVÝCH</t>
  </si>
  <si>
    <t>1245-185</t>
  </si>
  <si>
    <t>ŽLABŮ PLECHOVÝCH</t>
  </si>
  <si>
    <t>1245-196</t>
  </si>
  <si>
    <t xml:space="preserve"> nosník žlabu 40</t>
  </si>
  <si>
    <t>1245-197</t>
  </si>
  <si>
    <t xml:space="preserve"> nosník zlabu 125</t>
  </si>
  <si>
    <t>1245-463</t>
  </si>
  <si>
    <t xml:space="preserve"> nosník žlabu 250</t>
  </si>
  <si>
    <t>1245-465</t>
  </si>
  <si>
    <t xml:space="preserve"> nosník žlabu 500</t>
  </si>
  <si>
    <t>1123-72</t>
  </si>
  <si>
    <t>1436/1 TRUBKA OHEBNÁ - MONOFLEX</t>
  </si>
  <si>
    <t>1123-4513</t>
  </si>
  <si>
    <t>1520 TRUBKA TUHÁ PVC 320N délka 3 m barva světle šedá</t>
  </si>
  <si>
    <t>1123-4514</t>
  </si>
  <si>
    <t>1525 TRUBKA TUHÁ PVC 320N délka 3 m barva světle šedá</t>
  </si>
  <si>
    <t>1123-4515</t>
  </si>
  <si>
    <t>1532 TRUBKA TUHÁ PVC 320N délka 3 m barva světle šedá</t>
  </si>
  <si>
    <t>7004-1068</t>
  </si>
  <si>
    <t>TRUBKA OCELOVÁ  ŽÁROVĚ ZINKOVANÁ</t>
  </si>
  <si>
    <t>7004-1073</t>
  </si>
  <si>
    <t>6040 ZN d 40</t>
  </si>
  <si>
    <t>7004-1076</t>
  </si>
  <si>
    <t>OHEBNÁ CHRÁNIČKA KOPOFLEX</t>
  </si>
  <si>
    <t>7004-1085</t>
  </si>
  <si>
    <t>KF09160 světlost 136mm</t>
  </si>
  <si>
    <t>7004-1082</t>
  </si>
  <si>
    <t>KF09110 světlost 94mm</t>
  </si>
  <si>
    <t>1123-8153</t>
  </si>
  <si>
    <t>SB 6.3X45 ŠROUB DO BETONU</t>
  </si>
  <si>
    <t>1123-6308</t>
  </si>
  <si>
    <t>5225 PŘÍCHYTKA TYP OMEGA, pro požární kabelové trasy</t>
  </si>
  <si>
    <t>9999-193</t>
  </si>
  <si>
    <t>OCEL.NOSNÉ KONSTR.PRO PŘÍSTR., do 10kg</t>
  </si>
  <si>
    <t>1123-4016</t>
  </si>
  <si>
    <t>LK 80X16 T KRABICE LIŠTOVÁ TANGO</t>
  </si>
  <si>
    <t>9999-177</t>
  </si>
  <si>
    <t>LANO OCELOVÉ POZINKOVANÉ</t>
  </si>
  <si>
    <t>9999-178</t>
  </si>
  <si>
    <t>D 2.5mm</t>
  </si>
  <si>
    <t>1123-2097</t>
  </si>
  <si>
    <t>Svěrka lanová</t>
  </si>
  <si>
    <t>9999-1213</t>
  </si>
  <si>
    <t>PRŮRAZ CIHLOVÝM ZDIVEM</t>
  </si>
  <si>
    <t>9999-1214</t>
  </si>
  <si>
    <t xml:space="preserve"> O tloušťce 15cm</t>
  </si>
  <si>
    <t>9999-1215</t>
  </si>
  <si>
    <t xml:space="preserve"> O tloušťce 30cm</t>
  </si>
  <si>
    <t>9999-1226</t>
  </si>
  <si>
    <t>PRŮRAZ BETONOVOU ZDÍ</t>
  </si>
  <si>
    <t>9999-1228</t>
  </si>
  <si>
    <t>9999-1229</t>
  </si>
  <si>
    <t xml:space="preserve"> O tloušťce 45cm</t>
  </si>
  <si>
    <t>Kabelové trasy, nosné konstrukce - celkem</t>
  </si>
  <si>
    <t>Protipožární zabezpečení</t>
  </si>
  <si>
    <t>9999-250</t>
  </si>
  <si>
    <t>PROTIPOŽÁRNÍ PŘEPÁŽKY</t>
  </si>
  <si>
    <t>9999-258</t>
  </si>
  <si>
    <t xml:space="preserve"> Protip.průchod stropem t 20cm</t>
  </si>
  <si>
    <t>m2</t>
  </si>
  <si>
    <t>9999-260</t>
  </si>
  <si>
    <t xml:space="preserve"> Protip.průchod stěnou t 15cm</t>
  </si>
  <si>
    <t>9999-261</t>
  </si>
  <si>
    <t xml:space="preserve"> Protip.průchod stěnou t 30cm</t>
  </si>
  <si>
    <t>CP 673 Protipožární nátěr 6kg</t>
  </si>
  <si>
    <t>Minerální vata</t>
  </si>
  <si>
    <t>Montáž a vyplnění štítku požár. uzávěru</t>
  </si>
  <si>
    <t>Protipožární zabezpečení - celkem</t>
  </si>
  <si>
    <t>Hromosvod a uzemnění</t>
  </si>
  <si>
    <t>1244-6</t>
  </si>
  <si>
    <t>OCELOVÝ PÁSEK POZINKOVANÝ</t>
  </si>
  <si>
    <t>1244-8</t>
  </si>
  <si>
    <t>Páska 30x4 páska 30x4 (0,95 kg/m)</t>
  </si>
  <si>
    <t>1244-112</t>
  </si>
  <si>
    <t>Nátěr zemnícího pásku, asfalt</t>
  </si>
  <si>
    <t>1030-18730</t>
  </si>
  <si>
    <t xml:space="preserve"> Vodič AlMgSi Rd 8 polotvrdý</t>
  </si>
  <si>
    <t>1244-176</t>
  </si>
  <si>
    <t>PODPĚRA VEDENÍ</t>
  </si>
  <si>
    <t>1244-57</t>
  </si>
  <si>
    <t>PV21c na ploché střechy, plast se štěrkovou výplní ø 144mm</t>
  </si>
  <si>
    <t>HVI VEDENÍ</t>
  </si>
  <si>
    <t>1030-201088</t>
  </si>
  <si>
    <t>819 136 Vodič HVI long šedý D 23, Délka bude upřeněna dle dispozice panelů FVE</t>
  </si>
  <si>
    <t>1030-201193</t>
  </si>
  <si>
    <t>819 198 Připojovací prvek HVI long D 23 se svorníkem d 10 - 50 mm</t>
  </si>
  <si>
    <t>1030-201158</t>
  </si>
  <si>
    <t>105 275 Distanční vzpěra pro vymezení oblasti koncovky vodiče HVI s PA svorkou</t>
  </si>
  <si>
    <t>1244-100</t>
  </si>
  <si>
    <t>ZINKOVANÉ PROVEDENÍ</t>
  </si>
  <si>
    <t>1244-1</t>
  </si>
  <si>
    <t>OCELOVÝ DRÁT POZINKOVANÝ</t>
  </si>
  <si>
    <t>1244-3</t>
  </si>
  <si>
    <t>Drát 10 drát o 10mm(0,62kg/m)</t>
  </si>
  <si>
    <t>1244-107</t>
  </si>
  <si>
    <t>1244-108</t>
  </si>
  <si>
    <t xml:space="preserve"> Nátěr svodového vodiče, asfalt</t>
  </si>
  <si>
    <t>1244-113</t>
  </si>
  <si>
    <t>JÍMACÍ TYČ A OCHRANNÁ TRUBKA, VČETNĚ PŘÍSLUŠENSTVÍ</t>
  </si>
  <si>
    <t>1244-449</t>
  </si>
  <si>
    <t>JR 1,0 AlMgSi s rovným koncem, L 1000mm</t>
  </si>
  <si>
    <t>1244-451</t>
  </si>
  <si>
    <t>JR 2,0 AlMgSi s rovným koncem, L 2000mm</t>
  </si>
  <si>
    <t>1244-452</t>
  </si>
  <si>
    <t>JR 3,0 AlMgSi s rovným koncem, L 3000mm</t>
  </si>
  <si>
    <t>Betonový podstavec PB19 pro jímač do 2m s podložkou</t>
  </si>
  <si>
    <t>1244-473</t>
  </si>
  <si>
    <t>ODDÁLENÝ HROMOSVOD</t>
  </si>
  <si>
    <t>1244-497</t>
  </si>
  <si>
    <t>DOHT 6 držák oddáleného hromosvodu na trubku 2"</t>
  </si>
  <si>
    <t>1244-199</t>
  </si>
  <si>
    <t>SVORKA HROMOSVODNÍ,UZEMŇOVACÍ</t>
  </si>
  <si>
    <t>1244-72</t>
  </si>
  <si>
    <t>SZ zkušební</t>
  </si>
  <si>
    <t>1244-214</t>
  </si>
  <si>
    <t>SJ k jímací tyči</t>
  </si>
  <si>
    <t>1244-71</t>
  </si>
  <si>
    <t>SS spojovací</t>
  </si>
  <si>
    <t>1244-73</t>
  </si>
  <si>
    <t>SP připojovací</t>
  </si>
  <si>
    <t>1244-74</t>
  </si>
  <si>
    <t>SK křížová</t>
  </si>
  <si>
    <t>1244-239</t>
  </si>
  <si>
    <t>SR 3 svorka páska-drát</t>
  </si>
  <si>
    <t>1244-560</t>
  </si>
  <si>
    <t>Štítek uzemnění</t>
  </si>
  <si>
    <t>1030-21563</t>
  </si>
  <si>
    <t>552 030 Průchodka plast</t>
  </si>
  <si>
    <t>7004-22187</t>
  </si>
  <si>
    <t>MONTÁŽNÍ PRÁCE</t>
  </si>
  <si>
    <t>7004-22189</t>
  </si>
  <si>
    <t>Tvarování mont.dílu</t>
  </si>
  <si>
    <t>Napojení svárem délky 10cm</t>
  </si>
  <si>
    <t>9998-5320</t>
  </si>
  <si>
    <t>Měření zemních odporů, zemnící sítě délky pásu</t>
  </si>
  <si>
    <t>9998-5323</t>
  </si>
  <si>
    <t xml:space="preserve"> přes 200 do 500 m</t>
  </si>
  <si>
    <t>Hromosvod a uzemnění - celkem</t>
  </si>
  <si>
    <t>Uzemnění pospojování</t>
  </si>
  <si>
    <t>7002-408</t>
  </si>
  <si>
    <t>VODIČ JEDNOŽILOVÝ, IZOLACE PVC</t>
  </si>
  <si>
    <t>7002-413</t>
  </si>
  <si>
    <t>H07V-K 4</t>
  </si>
  <si>
    <t>7002-414</t>
  </si>
  <si>
    <t>H07V-K 6</t>
  </si>
  <si>
    <t>7002-416</t>
  </si>
  <si>
    <t>H07V-K 16</t>
  </si>
  <si>
    <t>7004-22001</t>
  </si>
  <si>
    <t>7004-22003</t>
  </si>
  <si>
    <t>FeZn-D10 (0,62kg/m)</t>
  </si>
  <si>
    <t>7004-22132</t>
  </si>
  <si>
    <t>SVORKA HROMOSVODNÍ, UZEMŇOVACÍ</t>
  </si>
  <si>
    <t>7004-22138</t>
  </si>
  <si>
    <t>SPb připojovací</t>
  </si>
  <si>
    <t>1042-152</t>
  </si>
  <si>
    <t>ZEMNÍCÍ SVORKA</t>
  </si>
  <si>
    <t>1042-12</t>
  </si>
  <si>
    <t>ZSA16 zemnicí svorka na potrubí</t>
  </si>
  <si>
    <t>1042-13</t>
  </si>
  <si>
    <t>Cu pás.ZSA16 Pásek uzemňovací Cu, 0.5m</t>
  </si>
  <si>
    <t>1042-147</t>
  </si>
  <si>
    <t>EKVIPOTENCIONÁLNÍ SVORKOVNICE</t>
  </si>
  <si>
    <t>1042-151</t>
  </si>
  <si>
    <t>EPS2 EPS 2 s krytem</t>
  </si>
  <si>
    <t>9998-3115</t>
  </si>
  <si>
    <t>Ukončení vodičů izolovaných s označením a zapojením v rozváděči nebo na přístroji</t>
  </si>
  <si>
    <t>9998-3116</t>
  </si>
  <si>
    <t>9999-456</t>
  </si>
  <si>
    <t>UKONČENÍ VODIČŮ NA SVORKOVNICI</t>
  </si>
  <si>
    <t>9999-2766</t>
  </si>
  <si>
    <t xml:space="preserve"> Do  6 mm2</t>
  </si>
  <si>
    <t>9999-457</t>
  </si>
  <si>
    <t xml:space="preserve"> Do  16 mm2</t>
  </si>
  <si>
    <t>Uzemnění pospojování - celkem</t>
  </si>
  <si>
    <t>Revize</t>
  </si>
  <si>
    <t>9999-1296</t>
  </si>
  <si>
    <t>PROVEDENI REVIZNICH ZKOUSEK</t>
  </si>
  <si>
    <t>9999-1297</t>
  </si>
  <si>
    <t>DLE CSN 331500</t>
  </si>
  <si>
    <t>9999-1298</t>
  </si>
  <si>
    <t xml:space="preserve"> Revizni technik</t>
  </si>
  <si>
    <t>hod</t>
  </si>
  <si>
    <t>9999-1299</t>
  </si>
  <si>
    <t xml:space="preserve"> Spoluprace s reviz.technikem</t>
  </si>
  <si>
    <t>Revize - celkem</t>
  </si>
  <si>
    <t>Ostatní</t>
  </si>
  <si>
    <t>9999-1280</t>
  </si>
  <si>
    <t>HODINOVE ZUCTOVACI SAZBY</t>
  </si>
  <si>
    <t>Ekologická likvidace odpadu</t>
  </si>
  <si>
    <t>3002-24</t>
  </si>
  <si>
    <t xml:space="preserve"> Jednofázový vývod 230V, 3 žíly</t>
  </si>
  <si>
    <t>3002-25</t>
  </si>
  <si>
    <t xml:space="preserve"> Trojfázový vývod 400V, 5 žíl</t>
  </si>
  <si>
    <t>Ochranné pomůcky do rozvoden</t>
  </si>
  <si>
    <t>kpl</t>
  </si>
  <si>
    <t>Lešení a plošiny montážní práce ve výšce 10m</t>
  </si>
  <si>
    <t>dní</t>
  </si>
  <si>
    <t>Podíl prací jiných profesí</t>
  </si>
  <si>
    <t>Dokumentace skutečného provedení</t>
  </si>
  <si>
    <t>hod.</t>
  </si>
  <si>
    <t>Uvedení do provozu</t>
  </si>
  <si>
    <t>Protokol měření intenzity osvětlení</t>
  </si>
  <si>
    <t>Ostatní - celkem</t>
  </si>
  <si>
    <t>D.1.4.5 - Silnoproudá elektrotechnika_x000D_
 - celkem</t>
  </si>
  <si>
    <t>Podružný materiál</t>
  </si>
  <si>
    <t>Elektromontáže - celkem</t>
  </si>
  <si>
    <t>Zemní práce</t>
  </si>
  <si>
    <t>9999-991</t>
  </si>
  <si>
    <t>HLOUBENÍ KABELOVÉ RÝHY</t>
  </si>
  <si>
    <t>9999-999</t>
  </si>
  <si>
    <t xml:space="preserve"> Zemina třídy 3, šíře 600mm,hloubka 1000mm</t>
  </si>
  <si>
    <t>9999-1175</t>
  </si>
  <si>
    <t>ZÁHOZ KABELOVÉ RÝHY</t>
  </si>
  <si>
    <t>9999-1180</t>
  </si>
  <si>
    <t>Zemní práce - celkem</t>
  </si>
  <si>
    <t>Hodnota A</t>
  </si>
  <si>
    <t>Hodnota B</t>
  </si>
  <si>
    <t>Základní náklady</t>
  </si>
  <si>
    <t>Dodávka</t>
  </si>
  <si>
    <t>Doprava 3,60%, Přesun 1,00%</t>
  </si>
  <si>
    <t>Montáž - materiál</t>
  </si>
  <si>
    <t>Montáž - práce</t>
  </si>
  <si>
    <t>Mezisoučet 1</t>
  </si>
  <si>
    <t>PPV 1,00% z montáže: materiál + práce</t>
  </si>
  <si>
    <t>Nátěry</t>
  </si>
  <si>
    <t>PPV 0,00% z nátěrů a zemních prací</t>
  </si>
  <si>
    <t>Mezisoučet 2</t>
  </si>
  <si>
    <t>Dodav. dokumentace 0,00% z mezisoučtu 2</t>
  </si>
  <si>
    <t>Rizika a pojištění 0,00% z mezisoučtu 2</t>
  </si>
  <si>
    <t>Opravy v záruce 0,00% z mezisoučtu 1</t>
  </si>
  <si>
    <t>Základní náklady celkem</t>
  </si>
  <si>
    <t>Vedlejší náklady</t>
  </si>
  <si>
    <t>GZS 0,00% z pravé strany mezisoučtu 2</t>
  </si>
  <si>
    <t>Provozní vlivy 0,00% z pravé strany mezisoučtu 2</t>
  </si>
  <si>
    <t>Vedlejší náklady celkem</t>
  </si>
  <si>
    <t>Kompletační činnost</t>
  </si>
  <si>
    <t>Náklady celkem bez DPH</t>
  </si>
  <si>
    <t>Součty odstavců</t>
  </si>
  <si>
    <t xml:space="preserve">  D.1.4.5 - Silnoproudá elektrotechnika</t>
  </si>
  <si>
    <t xml:space="preserve">    Rozvaděče</t>
  </si>
  <si>
    <t xml:space="preserve">    Svítidla</t>
  </si>
  <si>
    <t xml:space="preserve">    Elektrické vytápění</t>
  </si>
  <si>
    <t xml:space="preserve">    Zásuvky, spínače, krabice</t>
  </si>
  <si>
    <t xml:space="preserve">    Ovládací skříně</t>
  </si>
  <si>
    <t xml:space="preserve">    Kabely</t>
  </si>
  <si>
    <t xml:space="preserve">    Ukončení vodičů</t>
  </si>
  <si>
    <t xml:space="preserve">    Kabelové trasy, nosné konstrukce</t>
  </si>
  <si>
    <t xml:space="preserve">    Protipožární zabezpečení</t>
  </si>
  <si>
    <t xml:space="preserve">    Hromosvod a uzemnění</t>
  </si>
  <si>
    <t xml:space="preserve">    Uzemnění pospojování</t>
  </si>
  <si>
    <t xml:space="preserve">    Revize</t>
  </si>
  <si>
    <t xml:space="preserve">    Ostatní</t>
  </si>
  <si>
    <t>pouze montáž</t>
  </si>
  <si>
    <t>Dodávka "A"</t>
  </si>
  <si>
    <t>Koeficient</t>
  </si>
  <si>
    <t>Dodávka "C"</t>
  </si>
  <si>
    <t>Montáž "A"</t>
  </si>
  <si>
    <t>Montáž "C"</t>
  </si>
  <si>
    <t>3x600+2x800+rohx2000x400+sokl IP55/20</t>
  </si>
  <si>
    <t>Rozvaděč RH je zvětšen kvuli prostorové rezervě psané ve VV a doplněn o rohové pole dle dispozic rozvodny ve 2.NP.</t>
  </si>
  <si>
    <t>jedná se o výprodejový model, který se již nevyrábí</t>
  </si>
  <si>
    <t>v ceně žebříku</t>
  </si>
  <si>
    <t>kalkulováno bez výřezů do SDK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</si>
</sst>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č&quot;_-;\-* #,##0.00\ &quot;Kč&quot;_-;_-* &quot;-&quot;??\ &quot;Kč&quot;_-;_-@_-"/>
    <numFmt numFmtId="43" formatCode="_-* #,##0.00_-;\-* #,##0.00_-;_-* &quot;-&quot;??_-;_-@_-"/>
  </numFmts>
  <fonts count="18">
    <font>
      <sz val="12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8"/>
      <color rgb="FF000000"/>
      <name val="慔潨慭"/>
      <charset val="238"/>
    </font>
    <font>
      <b/>
      <sz val="11"/>
      <color rgb="FF000000"/>
      <name val="慔潨慭"/>
      <charset val="238"/>
    </font>
    <font>
      <b/>
      <sz val="9"/>
      <color rgb="FF000000"/>
      <name val="慔潨慭"/>
      <charset val="238"/>
    </font>
    <font>
      <b/>
      <sz val="8"/>
      <color rgb="FF000000"/>
      <name val="慔潨慭"/>
      <charset val="238"/>
    </font>
    <font>
      <i/>
      <sz val="9"/>
      <color rgb="FF000000"/>
      <name val="慔潨慭"/>
      <charset val="238"/>
    </font>
    <font>
      <sz val="11"/>
      <color theme="1"/>
      <name val="Calibri"/>
      <family val="2"/>
      <charset val="238"/>
      <scheme val="minor"/>
    </font>
    <font>
      <sz val="10"/>
      <color rgb="FFFF0000"/>
      <name val="Calibri"/>
      <family val="2"/>
      <charset val="238"/>
    </font>
    <font>
      <sz val="12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0"/>
      <name val="Arial CE"/>
      <charset val="238"/>
    </font>
    <font>
      <sz val="10"/>
      <name val="Arial"/>
      <family val="2"/>
      <charset val="238"/>
    </font>
    <font>
      <sz val="8"/>
      <color rgb="FF000000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sz val="8"/>
      <color rgb="FFFF0000"/>
      <name val="慔潨慭"/>
      <charset val="238"/>
    </font>
    <font>
      <sz val="12"/>
      <color rgb="FFFF0000"/>
      <name val="Calibri"/>
      <family val="2"/>
      <charset val="238"/>
      <scheme val="minor"/>
    </font>
    <font>
      <sz val="10"/>
      <color rgb="FFFF0000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4D0C8"/>
        <bgColor indexed="64"/>
      </patternFill>
    </fill>
    <fill>
      <patternFill patternType="solid">
        <fgColor rgb="FFBFEBFF"/>
        <bgColor indexed="64"/>
      </patternFill>
    </fill>
    <fill>
      <patternFill patternType="solid">
        <fgColor rgb="FFE0FEE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AFF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</borders>
  <cellStyleXfs count="12">
    <xf numFmtId="0" fontId="0" fillId="0" borderId="0"/>
    <xf numFmtId="0" fontId="7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" fillId="0" borderId="0"/>
    <xf numFmtId="0" fontId="1" fillId="0" borderId="0"/>
    <xf numFmtId="0" fontId="1" fillId="0" borderId="0"/>
    <xf numFmtId="0" fontId="12" fillId="0" borderId="0"/>
    <xf numFmtId="44" fontId="9" fillId="0" borderId="0" applyFont="0" applyFill="0" applyBorder="0" applyAlignment="0" applyProtection="0"/>
    <xf numFmtId="0" fontId="12" fillId="0" borderId="0"/>
    <xf numFmtId="0" fontId="12" fillId="0" borderId="0" applyAlignment="0">
      <alignment vertical="top" wrapText="1"/>
      <protection locked="0"/>
    </xf>
    <xf numFmtId="43" fontId="9" fillId="0" borderId="0" applyFont="0" applyFill="0" applyBorder="0" applyAlignment="0" applyProtection="0"/>
  </cellStyleXfs>
  <cellXfs count="44">
    <xf numFmtId="0" fontId="0" fillId="0" borderId="0" xfId="0"/>
    <xf numFmtId="49" fontId="0" fillId="0" borderId="0" xfId="0" applyNumberFormat="1"/>
    <xf numFmtId="49" fontId="2" fillId="2" borderId="1" xfId="0" applyNumberFormat="1" applyFont="1" applyFill="1" applyBorder="1" applyAlignment="1">
      <alignment horizontal="left"/>
    </xf>
    <xf numFmtId="0" fontId="0" fillId="0" borderId="1" xfId="0" applyBorder="1"/>
    <xf numFmtId="49" fontId="3" fillId="3" borderId="1" xfId="0" applyNumberFormat="1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49" fontId="5" fillId="6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 wrapText="1"/>
    </xf>
    <xf numFmtId="4" fontId="0" fillId="0" borderId="0" xfId="0" applyNumberFormat="1"/>
    <xf numFmtId="4" fontId="2" fillId="2" borderId="1" xfId="0" applyNumberFormat="1" applyFont="1" applyFill="1" applyBorder="1" applyAlignment="1">
      <alignment horizontal="left"/>
    </xf>
    <xf numFmtId="4" fontId="2" fillId="5" borderId="1" xfId="0" applyNumberFormat="1" applyFont="1" applyFill="1" applyBorder="1" applyAlignment="1">
      <alignment horizontal="right"/>
    </xf>
    <xf numFmtId="4" fontId="3" fillId="3" borderId="1" xfId="0" applyNumberFormat="1" applyFont="1" applyFill="1" applyBorder="1" applyAlignment="1">
      <alignment horizontal="right"/>
    </xf>
    <xf numFmtId="4" fontId="4" fillId="4" borderId="1" xfId="0" applyNumberFormat="1" applyFont="1" applyFill="1" applyBorder="1" applyAlignment="1">
      <alignment horizontal="right"/>
    </xf>
    <xf numFmtId="4" fontId="5" fillId="6" borderId="1" xfId="0" applyNumberFormat="1" applyFont="1" applyFill="1" applyBorder="1" applyAlignment="1">
      <alignment horizontal="right"/>
    </xf>
    <xf numFmtId="49" fontId="6" fillId="7" borderId="1" xfId="0" applyNumberFormat="1" applyFont="1" applyFill="1" applyBorder="1" applyAlignment="1">
      <alignment horizontal="left"/>
    </xf>
    <xf numFmtId="4" fontId="6" fillId="7" borderId="1" xfId="0" applyNumberFormat="1" applyFont="1" applyFill="1" applyBorder="1" applyAlignment="1">
      <alignment horizontal="right"/>
    </xf>
    <xf numFmtId="4" fontId="6" fillId="7" borderId="1" xfId="0" applyNumberFormat="1" applyFont="1" applyFill="1" applyBorder="1" applyAlignment="1">
      <alignment horizontal="left"/>
    </xf>
    <xf numFmtId="4" fontId="2" fillId="5" borderId="1" xfId="0" applyNumberFormat="1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 wrapText="1"/>
    </xf>
    <xf numFmtId="49" fontId="4" fillId="4" borderId="1" xfId="0" applyNumberFormat="1" applyFont="1" applyFill="1" applyBorder="1" applyAlignment="1">
      <alignment horizontal="center"/>
    </xf>
    <xf numFmtId="49" fontId="2" fillId="8" borderId="1" xfId="0" applyNumberFormat="1" applyFont="1" applyFill="1" applyBorder="1" applyAlignment="1">
      <alignment horizontal="left"/>
    </xf>
    <xf numFmtId="4" fontId="2" fillId="8" borderId="1" xfId="0" applyNumberFormat="1" applyFont="1" applyFill="1" applyBorder="1" applyAlignment="1">
      <alignment horizontal="right"/>
    </xf>
    <xf numFmtId="0" fontId="0" fillId="8" borderId="1" xfId="0" applyFill="1" applyBorder="1"/>
    <xf numFmtId="0" fontId="0" fillId="8" borderId="0" xfId="0" applyFill="1"/>
    <xf numFmtId="4" fontId="8" fillId="5" borderId="0" xfId="1" applyNumberFormat="1" applyFont="1" applyFill="1" applyAlignment="1">
      <alignment horizontal="left"/>
    </xf>
    <xf numFmtId="4" fontId="15" fillId="5" borderId="1" xfId="0" applyNumberFormat="1" applyFont="1" applyFill="1" applyBorder="1" applyAlignment="1">
      <alignment horizontal="right"/>
    </xf>
    <xf numFmtId="0" fontId="11" fillId="0" borderId="0" xfId="4"/>
    <xf numFmtId="0" fontId="10" fillId="0" borderId="0" xfId="4" applyFont="1"/>
    <xf numFmtId="0" fontId="14" fillId="0" borderId="0" xfId="4" applyFont="1"/>
    <xf numFmtId="0" fontId="13" fillId="9" borderId="0" xfId="6" applyFont="1" applyFill="1" applyAlignment="1">
      <alignment vertical="top"/>
    </xf>
    <xf numFmtId="0" fontId="10" fillId="9" borderId="0" xfId="4" applyFont="1" applyFill="1"/>
    <xf numFmtId="0" fontId="14" fillId="9" borderId="0" xfId="4" applyFont="1" applyFill="1"/>
    <xf numFmtId="0" fontId="14" fillId="10" borderId="0" xfId="4" applyFont="1" applyFill="1"/>
    <xf numFmtId="0" fontId="10" fillId="10" borderId="0" xfId="4" applyFont="1" applyFill="1"/>
    <xf numFmtId="0" fontId="16" fillId="0" borderId="1" xfId="0" applyFont="1" applyBorder="1"/>
    <xf numFmtId="49" fontId="17" fillId="0" borderId="2" xfId="0" applyNumberFormat="1" applyFont="1" applyBorder="1" applyAlignment="1">
      <alignment horizontal="left" vertical="top"/>
    </xf>
    <xf numFmtId="0" fontId="16" fillId="8" borderId="1" xfId="0" applyFont="1" applyFill="1" applyBorder="1"/>
    <xf numFmtId="0" fontId="16" fillId="0" borderId="0" xfId="0" applyFont="1"/>
    <xf numFmtId="43" fontId="0" fillId="0" borderId="0" xfId="2" applyFont="1"/>
    <xf numFmtId="9" fontId="16" fillId="0" borderId="0" xfId="3" applyFont="1"/>
    <xf numFmtId="43" fontId="0" fillId="0" borderId="0" xfId="0" applyNumberFormat="1"/>
    <xf numFmtId="0" fontId="0" fillId="0" borderId="0" xfId="0"/>
    <xf numFmtId="4" fontId="0" fillId="0" borderId="0" xfId="0" applyNumberFormat="1"/>
  </cellXfs>
  <cellStyles count="12">
    <cellStyle name="Čárka" xfId="2" builtinId="3"/>
    <cellStyle name="Čárka 2" xfId="11" xr:uid="{2D426C72-B264-4A4F-809C-FC427BCB6B84}"/>
    <cellStyle name="Měna 2" xfId="8" xr:uid="{8BA20087-CF2B-4257-B2D7-E3BB88861626}"/>
    <cellStyle name="Normální" xfId="0" builtinId="0"/>
    <cellStyle name="Normální 11 2" xfId="1" xr:uid="{B6796B4C-89C4-440A-AA95-8AD7F66DA0FD}"/>
    <cellStyle name="Normální 11 2 2" xfId="6" xr:uid="{999C04A2-4794-4F2D-821D-3748ADC0E92D}"/>
    <cellStyle name="Normální 15" xfId="9" xr:uid="{188ED356-73A1-4C13-8AFB-3D020AB05CE9}"/>
    <cellStyle name="Normální 2" xfId="4" xr:uid="{CC990399-989D-4D16-9F0B-A53099A02590}"/>
    <cellStyle name="Normální 2 2" xfId="10" xr:uid="{15C03C19-FF9F-47A2-9225-6CA241C87359}"/>
    <cellStyle name="Normální 3" xfId="7" xr:uid="{8FE0C518-D9AB-40CA-9BAF-D0FE07582C13}"/>
    <cellStyle name="normální 31" xfId="5" xr:uid="{A8EB117B-973E-47C2-8DD4-2D2733F1A16C}"/>
    <cellStyle name="Procenta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409b716a5e78c18/Stratera/01_Zak&#225;zky/02_Cene&#780;ni&#769;/2024_cen&#283;n&#237;/24010_DEK%20Cheb/04_Nab&#237;dky/Dodavatel/Argos/NAB-170-24-02794%20%20DEK%20Cheb%20%20%20-%20%20silnoprou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1"/>
      <sheetName val="List2"/>
      <sheetName val="List3"/>
    </sheetNames>
    <sheetDataSet>
      <sheetData sheetId="0">
        <row r="59">
          <cell r="E59">
            <v>75.043999999999997</v>
          </cell>
        </row>
        <row r="60">
          <cell r="E60">
            <v>79.927000000000007</v>
          </cell>
        </row>
        <row r="61">
          <cell r="E61">
            <v>87.123000000000005</v>
          </cell>
        </row>
        <row r="62">
          <cell r="E62">
            <v>628.62199999999996</v>
          </cell>
        </row>
        <row r="63">
          <cell r="E63">
            <v>329.12</v>
          </cell>
        </row>
        <row r="64">
          <cell r="E64">
            <v>1</v>
          </cell>
        </row>
        <row r="65">
          <cell r="E65">
            <v>75.043999999999997</v>
          </cell>
        </row>
        <row r="66">
          <cell r="E66">
            <v>29.041</v>
          </cell>
        </row>
        <row r="67">
          <cell r="E67">
            <v>18.349799999999998</v>
          </cell>
        </row>
        <row r="68">
          <cell r="E68">
            <v>101.258</v>
          </cell>
        </row>
        <row r="69">
          <cell r="E69">
            <v>36.1342</v>
          </cell>
        </row>
        <row r="70">
          <cell r="E70">
            <v>18.349799999999998</v>
          </cell>
        </row>
        <row r="74">
          <cell r="E74">
            <v>115.393</v>
          </cell>
        </row>
        <row r="75">
          <cell r="E75">
            <v>29.041</v>
          </cell>
        </row>
        <row r="76">
          <cell r="E76">
            <v>18.349799999999998</v>
          </cell>
        </row>
        <row r="77">
          <cell r="E77">
            <v>75.043999999999997</v>
          </cell>
        </row>
        <row r="78">
          <cell r="E78">
            <v>24.158000000000001</v>
          </cell>
        </row>
        <row r="79">
          <cell r="E79">
            <v>18.349799999999998</v>
          </cell>
        </row>
        <row r="80">
          <cell r="E80">
            <v>148.28899999999999</v>
          </cell>
        </row>
        <row r="81">
          <cell r="E81">
            <v>18.349799999999998</v>
          </cell>
        </row>
        <row r="82">
          <cell r="E82">
            <v>127.986</v>
          </cell>
        </row>
        <row r="83">
          <cell r="E83">
            <v>18.349799999999998</v>
          </cell>
        </row>
        <row r="84">
          <cell r="E84">
            <v>141.864</v>
          </cell>
        </row>
        <row r="85">
          <cell r="E85">
            <v>18.349799999999998</v>
          </cell>
        </row>
        <row r="93">
          <cell r="E93">
            <v>4.7244000000000002</v>
          </cell>
        </row>
        <row r="94">
          <cell r="E94">
            <v>5.9581999999999997</v>
          </cell>
        </row>
        <row r="115">
          <cell r="E115">
            <v>97.11</v>
          </cell>
        </row>
        <row r="116">
          <cell r="E116">
            <v>44.69</v>
          </cell>
        </row>
        <row r="140">
          <cell r="F140">
            <v>2186</v>
          </cell>
        </row>
        <row r="141">
          <cell r="F141">
            <v>15214.8</v>
          </cell>
        </row>
        <row r="143">
          <cell r="F143">
            <v>4930</v>
          </cell>
        </row>
        <row r="144">
          <cell r="E144">
            <v>1.5075000000000001</v>
          </cell>
        </row>
        <row r="145">
          <cell r="F145">
            <v>12000</v>
          </cell>
        </row>
        <row r="146">
          <cell r="E146">
            <v>212.49</v>
          </cell>
        </row>
        <row r="147">
          <cell r="F147">
            <v>25800</v>
          </cell>
        </row>
        <row r="149">
          <cell r="E149">
            <v>14.256</v>
          </cell>
        </row>
        <row r="150">
          <cell r="E150">
            <v>31050</v>
          </cell>
        </row>
        <row r="151">
          <cell r="E151">
            <v>630</v>
          </cell>
        </row>
        <row r="152">
          <cell r="E152">
            <v>622</v>
          </cell>
        </row>
        <row r="153">
          <cell r="E153">
            <v>364</v>
          </cell>
        </row>
        <row r="154">
          <cell r="F154">
            <v>1904</v>
          </cell>
        </row>
        <row r="161">
          <cell r="E161">
            <v>328.68</v>
          </cell>
        </row>
        <row r="162">
          <cell r="E162">
            <v>102.96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opLeftCell="A25" workbookViewId="0">
      <selection activeCell="C27" sqref="C27"/>
    </sheetView>
  </sheetViews>
  <sheetFormatPr defaultRowHeight="15.6"/>
  <cols>
    <col min="1" max="1" width="31.69921875" style="1" bestFit="1" customWidth="1"/>
    <col min="2" max="2" width="8.69921875" style="9" bestFit="1" customWidth="1"/>
    <col min="3" max="3" width="11.3984375" style="9" bestFit="1" customWidth="1"/>
    <col min="6" max="6" width="0" hidden="1" customWidth="1"/>
  </cols>
  <sheetData>
    <row r="1" spans="1:4">
      <c r="A1" s="2" t="s">
        <v>0</v>
      </c>
      <c r="B1" s="10" t="s">
        <v>573</v>
      </c>
      <c r="C1" s="10" t="s">
        <v>574</v>
      </c>
      <c r="D1" s="3"/>
    </row>
    <row r="2" spans="1:4">
      <c r="A2" s="5" t="s">
        <v>575</v>
      </c>
      <c r="B2" s="13"/>
      <c r="C2" s="13"/>
      <c r="D2" s="3"/>
    </row>
    <row r="3" spans="1:4">
      <c r="A3" s="6" t="s">
        <v>576</v>
      </c>
      <c r="B3" s="11">
        <f>0</f>
        <v>0</v>
      </c>
      <c r="C3" s="11"/>
      <c r="D3" s="3"/>
    </row>
    <row r="4" spans="1:4">
      <c r="A4" s="6" t="s">
        <v>577</v>
      </c>
      <c r="B4" s="11">
        <f>B3 * Parametry!B16 / 100</f>
        <v>0</v>
      </c>
      <c r="C4" s="11">
        <f>B3 * Parametry!B17 / 100</f>
        <v>0</v>
      </c>
      <c r="D4" s="3"/>
    </row>
    <row r="5" spans="1:4">
      <c r="A5" s="6" t="s">
        <v>578</v>
      </c>
      <c r="B5" s="11"/>
      <c r="C5" s="11">
        <f>(Rozpočet!F316) + 0</f>
        <v>1543165.9828691108</v>
      </c>
      <c r="D5" s="3"/>
    </row>
    <row r="6" spans="1:4">
      <c r="A6" s="6" t="s">
        <v>579</v>
      </c>
      <c r="B6" s="11"/>
      <c r="C6" s="11">
        <f>0 + (Rozpočet!H316) + 0</f>
        <v>1961710.4</v>
      </c>
      <c r="D6" s="3"/>
    </row>
    <row r="7" spans="1:4">
      <c r="A7" s="7" t="s">
        <v>580</v>
      </c>
      <c r="B7" s="14">
        <f>B3 + B4</f>
        <v>0</v>
      </c>
      <c r="C7" s="14">
        <f>C3 + C4 + C5 + C6</f>
        <v>3504876.3828691104</v>
      </c>
      <c r="D7" s="3"/>
    </row>
    <row r="8" spans="1:4">
      <c r="A8" s="6" t="s">
        <v>581</v>
      </c>
      <c r="B8" s="11"/>
      <c r="C8" s="11" t="e">
        <f>(C5 + C6) * Parametry!B18 / 100</f>
        <v>#VALUE!</v>
      </c>
      <c r="D8" s="3"/>
    </row>
    <row r="9" spans="1:4">
      <c r="A9" s="6" t="s">
        <v>582</v>
      </c>
      <c r="B9" s="11"/>
      <c r="C9" s="11">
        <f>0 + 0</f>
        <v>0</v>
      </c>
      <c r="D9" s="3"/>
    </row>
    <row r="10" spans="1:4">
      <c r="A10" s="6" t="s">
        <v>564</v>
      </c>
      <c r="B10" s="11"/>
      <c r="C10" s="11">
        <f>(Rozpočet!F325) + (Rozpočet!H325)</f>
        <v>0</v>
      </c>
      <c r="D10" s="3"/>
    </row>
    <row r="11" spans="1:4">
      <c r="A11" s="6" t="s">
        <v>583</v>
      </c>
      <c r="B11" s="11"/>
      <c r="C11" s="11">
        <f>(C9 + C10) * Parametry!B19 / 100</f>
        <v>0</v>
      </c>
      <c r="D11" s="3"/>
    </row>
    <row r="12" spans="1:4">
      <c r="A12" s="7" t="s">
        <v>584</v>
      </c>
      <c r="B12" s="14">
        <f>B7</f>
        <v>0</v>
      </c>
      <c r="C12" s="14" t="e">
        <f>C7 + C8 + C9 + C10 + C11</f>
        <v>#VALUE!</v>
      </c>
      <c r="D12" s="3"/>
    </row>
    <row r="13" spans="1:4">
      <c r="A13" s="6" t="s">
        <v>585</v>
      </c>
      <c r="B13" s="11"/>
      <c r="C13" s="11" t="e">
        <f>(B12 + C12) * Parametry!B20 / 100</f>
        <v>#VALUE!</v>
      </c>
      <c r="D13" s="3"/>
    </row>
    <row r="14" spans="1:4">
      <c r="A14" s="6" t="s">
        <v>586</v>
      </c>
      <c r="B14" s="11"/>
      <c r="C14" s="11" t="e">
        <f>(B12 + C12) * Parametry!B21 / 100</f>
        <v>#VALUE!</v>
      </c>
      <c r="D14" s="3"/>
    </row>
    <row r="15" spans="1:4">
      <c r="A15" s="6" t="s">
        <v>587</v>
      </c>
      <c r="B15" s="11"/>
      <c r="C15" s="11" t="e">
        <f>(B7 + C7) * Parametry!B22 / 100</f>
        <v>#VALUE!</v>
      </c>
      <c r="D15" s="3"/>
    </row>
    <row r="16" spans="1:4">
      <c r="A16" s="5" t="s">
        <v>588</v>
      </c>
      <c r="B16" s="13"/>
      <c r="C16" s="13" t="e">
        <f>B12 + C12 + C13 + C14 + C15</f>
        <v>#VALUE!</v>
      </c>
      <c r="D16" s="3"/>
    </row>
    <row r="17" spans="1:4">
      <c r="A17" s="6" t="s">
        <v>15</v>
      </c>
      <c r="B17" s="11"/>
      <c r="C17" s="11"/>
      <c r="D17" s="3"/>
    </row>
    <row r="18" spans="1:4">
      <c r="A18" s="5" t="s">
        <v>589</v>
      </c>
      <c r="B18" s="13"/>
      <c r="C18" s="13"/>
      <c r="D18" s="3"/>
    </row>
    <row r="19" spans="1:4">
      <c r="A19" s="6" t="s">
        <v>590</v>
      </c>
      <c r="B19" s="11"/>
      <c r="C19" s="11" t="e">
        <f>C12 * Parametry!B23 / 100</f>
        <v>#VALUE!</v>
      </c>
      <c r="D19" s="3"/>
    </row>
    <row r="20" spans="1:4">
      <c r="A20" s="6" t="s">
        <v>591</v>
      </c>
      <c r="B20" s="11"/>
      <c r="C20" s="11" t="e">
        <f>C12 * Parametry!B24 / 100</f>
        <v>#VALUE!</v>
      </c>
      <c r="D20" s="3"/>
    </row>
    <row r="21" spans="1:4">
      <c r="A21" s="5" t="s">
        <v>592</v>
      </c>
      <c r="B21" s="13"/>
      <c r="C21" s="13" t="e">
        <f>C19 + C20</f>
        <v>#VALUE!</v>
      </c>
      <c r="D21" s="3"/>
    </row>
    <row r="22" spans="1:4">
      <c r="A22" s="6" t="s">
        <v>593</v>
      </c>
      <c r="B22" s="11"/>
      <c r="C22" s="11" t="e">
        <f>Parametry!B25 * Parametry!B28 * (C16 * Parametry!B27)^Parametry!B26</f>
        <v>#VALUE!</v>
      </c>
      <c r="D22" s="3"/>
    </row>
    <row r="23" spans="1:4">
      <c r="A23" s="6" t="s">
        <v>15</v>
      </c>
      <c r="B23" s="11"/>
      <c r="C23" s="11"/>
      <c r="D23" s="3"/>
    </row>
    <row r="24" spans="1:4">
      <c r="A24" s="4" t="s">
        <v>594</v>
      </c>
      <c r="B24" s="12"/>
      <c r="C24" s="12" t="e">
        <f>C16 + C21 + C22</f>
        <v>#VALUE!</v>
      </c>
      <c r="D24" s="3"/>
    </row>
    <row r="25" spans="1:4">
      <c r="A25" s="6" t="s">
        <v>15</v>
      </c>
      <c r="B25" s="11"/>
      <c r="C25" s="11"/>
      <c r="D25" s="3"/>
    </row>
    <row r="26" spans="1:4">
      <c r="A26" s="5" t="s">
        <v>595</v>
      </c>
      <c r="B26" s="20" t="s">
        <v>55</v>
      </c>
      <c r="C26" s="20" t="s">
        <v>57</v>
      </c>
      <c r="D26" s="3"/>
    </row>
    <row r="27" spans="1:4">
      <c r="A27" s="6" t="s">
        <v>61</v>
      </c>
      <c r="B27" s="11">
        <f>(Rozpočet!F316)</f>
        <v>1543165.9828691108</v>
      </c>
      <c r="C27" s="11">
        <f>(Rozpočet!H316)</f>
        <v>1961710.4</v>
      </c>
      <c r="D27" s="3"/>
    </row>
    <row r="28" spans="1:4">
      <c r="A28" s="6" t="s">
        <v>596</v>
      </c>
      <c r="B28" s="11">
        <f>(Rozpočet!F313)</f>
        <v>1543165.9828691108</v>
      </c>
      <c r="C28" s="11">
        <f>(Rozpočet!H313)</f>
        <v>1961710.4</v>
      </c>
      <c r="D28" s="3"/>
    </row>
    <row r="29" spans="1:4">
      <c r="A29" s="6" t="s">
        <v>597</v>
      </c>
      <c r="B29" s="11">
        <f>(Rozpočet!F14)</f>
        <v>487254.99999999994</v>
      </c>
      <c r="C29" s="11">
        <f>(Rozpočet!H14)</f>
        <v>109858.8</v>
      </c>
      <c r="D29" s="3"/>
    </row>
    <row r="30" spans="1:4">
      <c r="A30" s="6" t="s">
        <v>598</v>
      </c>
      <c r="B30" s="11">
        <f>(Rozpočet!F48)</f>
        <v>0</v>
      </c>
      <c r="C30" s="11">
        <f>(Rozpočet!H48)</f>
        <v>246089.4</v>
      </c>
      <c r="D30" s="3"/>
    </row>
    <row r="31" spans="1:4">
      <c r="A31" s="6" t="s">
        <v>599</v>
      </c>
      <c r="B31" s="11">
        <f>(Rozpočet!F66)</f>
        <v>40855.11849999999</v>
      </c>
      <c r="C31" s="11">
        <f>(Rozpočet!H66)</f>
        <v>10572</v>
      </c>
      <c r="D31" s="3"/>
    </row>
    <row r="32" spans="1:4">
      <c r="A32" s="6" t="s">
        <v>600</v>
      </c>
      <c r="B32" s="11">
        <f>(Rozpočet!F140)</f>
        <v>192719.46973999997</v>
      </c>
      <c r="C32" s="11">
        <f>(Rozpočet!H140)</f>
        <v>143568</v>
      </c>
      <c r="D32" s="3"/>
    </row>
    <row r="33" spans="1:4">
      <c r="A33" s="6" t="s">
        <v>601</v>
      </c>
      <c r="B33" s="11">
        <f>(Rozpočet!F144)</f>
        <v>4542.5</v>
      </c>
      <c r="C33" s="11">
        <f>(Rozpočet!H144)</f>
        <v>2040</v>
      </c>
      <c r="D33" s="3"/>
    </row>
    <row r="34" spans="1:4">
      <c r="A34" s="6" t="s">
        <v>602</v>
      </c>
      <c r="B34" s="11">
        <f>(Rozpočet!F165)</f>
        <v>372113.18889999995</v>
      </c>
      <c r="C34" s="11">
        <f>(Rozpočet!H165)</f>
        <v>412428</v>
      </c>
      <c r="D34" s="3"/>
    </row>
    <row r="35" spans="1:4">
      <c r="A35" s="6" t="s">
        <v>603</v>
      </c>
      <c r="B35" s="11">
        <f>(Rozpočet!F179)</f>
        <v>1959.0249999999996</v>
      </c>
      <c r="C35" s="11">
        <f>(Rozpočet!H179)</f>
        <v>102132</v>
      </c>
      <c r="D35" s="3"/>
    </row>
    <row r="36" spans="1:4">
      <c r="A36" s="6" t="s">
        <v>604</v>
      </c>
      <c r="B36" s="11">
        <f>(Rozpočet!F220)</f>
        <v>258302.48670000004</v>
      </c>
      <c r="C36" s="11">
        <f>(Rozpočet!H220)</f>
        <v>215071.2</v>
      </c>
      <c r="D36" s="3"/>
    </row>
    <row r="37" spans="1:4">
      <c r="A37" s="6" t="s">
        <v>605</v>
      </c>
      <c r="B37" s="11">
        <f>(Rozpočet!F230)</f>
        <v>0</v>
      </c>
      <c r="C37" s="11">
        <f>(Rozpočet!H230)</f>
        <v>0</v>
      </c>
      <c r="D37" s="3"/>
    </row>
    <row r="38" spans="1:4">
      <c r="A38" s="6" t="s">
        <v>606</v>
      </c>
      <c r="B38" s="11">
        <f>(Rozpočet!F270)</f>
        <v>155439.54759999999</v>
      </c>
      <c r="C38" s="11">
        <f>(Rozpočet!H270)</f>
        <v>261420</v>
      </c>
      <c r="D38" s="3"/>
    </row>
    <row r="39" spans="1:4">
      <c r="A39" s="6" t="s">
        <v>607</v>
      </c>
      <c r="B39" s="11">
        <f>(Rozpočet!F291)</f>
        <v>20779.646429111104</v>
      </c>
      <c r="C39" s="11">
        <f>(Rozpočet!H291)</f>
        <v>41226</v>
      </c>
      <c r="D39" s="3"/>
    </row>
    <row r="40" spans="1:4">
      <c r="A40" s="6" t="s">
        <v>608</v>
      </c>
      <c r="B40" s="11">
        <f>(Rozpočet!F298)</f>
        <v>0</v>
      </c>
      <c r="C40" s="11">
        <f>(Rozpočet!H298)</f>
        <v>67800</v>
      </c>
      <c r="D40" s="3"/>
    </row>
    <row r="41" spans="1:4">
      <c r="A41" s="6" t="s">
        <v>609</v>
      </c>
      <c r="B41" s="11">
        <f>(Rozpočet!F311)</f>
        <v>9200</v>
      </c>
      <c r="C41" s="11">
        <f>(Rozpočet!H311)</f>
        <v>349505</v>
      </c>
      <c r="D41" s="3"/>
    </row>
    <row r="42" spans="1:4">
      <c r="A42" s="6" t="s">
        <v>564</v>
      </c>
      <c r="B42" s="11">
        <f>(Rozpočet!F325)</f>
        <v>0</v>
      </c>
      <c r="C42" s="11">
        <f>(Rozpočet!H325)</f>
        <v>0</v>
      </c>
      <c r="D42" s="3"/>
    </row>
    <row r="43" spans="1:4">
      <c r="A43" s="6" t="s">
        <v>15</v>
      </c>
      <c r="B43" s="11"/>
      <c r="C43" s="11"/>
      <c r="D43" s="3"/>
    </row>
    <row r="44" spans="1:4">
      <c r="A44" s="6" t="s">
        <v>15</v>
      </c>
      <c r="B44" s="11"/>
      <c r="C44" s="11"/>
      <c r="D44" s="3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27"/>
  <sheetViews>
    <sheetView tabSelected="1" topLeftCell="A264" zoomScale="70" zoomScaleNormal="70" workbookViewId="0">
      <selection activeCell="S302" sqref="S302:S310"/>
    </sheetView>
  </sheetViews>
  <sheetFormatPr defaultRowHeight="15.6"/>
  <cols>
    <col min="1" max="1" width="9.69921875" style="1" bestFit="1" customWidth="1"/>
    <col min="2" max="2" width="49" style="1" customWidth="1"/>
    <col min="3" max="3" width="3.8984375" style="1" bestFit="1" customWidth="1"/>
    <col min="4" max="4" width="6.09765625" style="9" bestFit="1" customWidth="1"/>
    <col min="5" max="5" width="7.59765625" style="9" bestFit="1" customWidth="1"/>
    <col min="6" max="6" width="12" style="9" bestFit="1" customWidth="1"/>
    <col min="7" max="7" width="7.69921875" style="9" bestFit="1" customWidth="1"/>
    <col min="8" max="8" width="12" style="9" bestFit="1" customWidth="1"/>
    <col min="9" max="9" width="7.59765625" style="9" bestFit="1" customWidth="1"/>
    <col min="10" max="10" width="12" style="9" bestFit="1" customWidth="1"/>
    <col min="11" max="11" width="8.69921875" style="38"/>
    <col min="12" max="12" width="0" hidden="1" customWidth="1"/>
    <col min="13" max="13" width="10.8984375" hidden="1" customWidth="1"/>
    <col min="25" max="25" width="13.19921875" bestFit="1" customWidth="1"/>
    <col min="27" max="27" width="12.8984375" bestFit="1" customWidth="1"/>
    <col min="32" max="32" width="11.09765625" bestFit="1" customWidth="1"/>
  </cols>
  <sheetData>
    <row r="1" spans="1:27">
      <c r="A1" s="2" t="s">
        <v>52</v>
      </c>
      <c r="B1" s="2" t="s">
        <v>0</v>
      </c>
      <c r="C1" s="2" t="s">
        <v>53</v>
      </c>
      <c r="D1" s="10" t="s">
        <v>54</v>
      </c>
      <c r="E1" s="10" t="s">
        <v>55</v>
      </c>
      <c r="F1" s="10" t="s">
        <v>56</v>
      </c>
      <c r="G1" s="10" t="s">
        <v>57</v>
      </c>
      <c r="H1" s="10" t="s">
        <v>58</v>
      </c>
      <c r="I1" s="10" t="s">
        <v>59</v>
      </c>
      <c r="J1" s="10" t="s">
        <v>60</v>
      </c>
      <c r="K1" s="35" t="s">
        <v>25</v>
      </c>
      <c r="L1" s="3"/>
      <c r="M1">
        <f>Parametry!B33/100*F10+Parametry!B33/100*F13+Parametry!B34/100*F21+Parametry!B33/100*F23+Parametry!B34/100*F25+Parametry!B33/100*F27+Parametry!B33/100*F29+Parametry!B34/100*F31+Parametry!B34/100*F32+Parametry!B34/100*F34+Parametry!B34/100*F36+Parametry!B33/100*F38+Parametry!B33/100*F40+Parametry!B34/100*F42+Parametry!B34/100*F44+Parametry!B34/100*F46+Parametry!B34/100*F47+Parametry!B34/100*F52+Parametry!B34/100*F53+Parametry!B34/100*F54+Parametry!B34/100*F56+Parametry!B34/100*F57+Parametry!B34/100*F58</f>
        <v>1388.6594999999998</v>
      </c>
      <c r="N1" s="27"/>
      <c r="O1" s="28">
        <v>1.1499999999999999</v>
      </c>
      <c r="P1" s="27"/>
      <c r="Q1" s="27"/>
      <c r="R1" s="27"/>
      <c r="S1" s="27"/>
      <c r="T1" s="28">
        <v>1.2</v>
      </c>
      <c r="U1" s="27"/>
    </row>
    <row r="2" spans="1:27">
      <c r="A2" s="6" t="s">
        <v>15</v>
      </c>
      <c r="B2" s="6" t="s">
        <v>15</v>
      </c>
      <c r="C2" s="6" t="s">
        <v>15</v>
      </c>
      <c r="D2" s="11"/>
      <c r="E2" s="11"/>
      <c r="F2" s="11"/>
      <c r="G2" s="11"/>
      <c r="H2" s="11"/>
      <c r="I2" s="11">
        <f>E2+G2</f>
        <v>0</v>
      </c>
      <c r="J2" s="11">
        <f>F2+H2</f>
        <v>0</v>
      </c>
      <c r="K2" s="35"/>
      <c r="L2" s="3"/>
      <c r="M2">
        <f>M1+Parametry!B34/100*F60+Parametry!B34/100*F61+Parametry!B34/100*F62+Parametry!B34/100*F63+Parametry!B34/100*F64+Parametry!B34/100*F65+Parametry!B33/100*F70+Parametry!B33/100*F71+Parametry!B33/100*F72+Parametry!B34/100*F74+Parametry!B33/100*F76+Parametry!B33/100*F77+Parametry!B33/100*F79+Parametry!B33/100*F81+Parametry!B33/100*F82+Parametry!B34/100*F84+Parametry!B34/100*F85+Parametry!B34/100*F87+Parametry!B34/100*F89+Parametry!B34/100*F91+Parametry!B34/100*F92+Parametry!B34/100*F93+Parametry!B33/100*F96</f>
        <v>3603.4796095000002</v>
      </c>
      <c r="N2" s="27" t="s">
        <v>611</v>
      </c>
      <c r="O2" s="27" t="s">
        <v>612</v>
      </c>
      <c r="P2" s="27" t="s">
        <v>613</v>
      </c>
      <c r="Q2" s="27"/>
      <c r="R2" s="27"/>
      <c r="S2" s="27" t="s">
        <v>614</v>
      </c>
      <c r="T2" s="27" t="s">
        <v>612</v>
      </c>
      <c r="U2" s="27" t="s">
        <v>615</v>
      </c>
    </row>
    <row r="3" spans="1:27">
      <c r="A3" s="4" t="s">
        <v>15</v>
      </c>
      <c r="B3" s="4" t="s">
        <v>61</v>
      </c>
      <c r="C3" s="4" t="s">
        <v>15</v>
      </c>
      <c r="D3" s="12"/>
      <c r="E3" s="12"/>
      <c r="F3" s="12"/>
      <c r="G3" s="12"/>
      <c r="H3" s="12"/>
      <c r="I3" s="12"/>
      <c r="J3" s="12"/>
      <c r="K3" s="35"/>
      <c r="L3" s="3"/>
      <c r="M3">
        <f>M2+Parametry!B33/100*F98+Parametry!B34/100*F100+Parametry!B34/100*F102+Parametry!B34/100*F103+Parametry!B34/100*F104+Parametry!B33/100*F106+Parametry!B34/100*F110+Parametry!B34/100*F111+Parametry!B34/100*F112+Parametry!B34/100*F113+Parametry!B34/100*F114+Parametry!B34/100*F116+Parametry!B34/100*F117+Parametry!B34/100*F118+Parametry!B34/100*F120+Parametry!B33/100*F121+Parametry!B34/100*F122+Parametry!B34/100*F124+Parametry!B33/100*F126+Parametry!B33/100*F128+Parametry!B34/100*F130+Parametry!B33/100*F131</f>
        <v>4999.7170644000025</v>
      </c>
    </row>
    <row r="4" spans="1:27">
      <c r="A4" s="6" t="s">
        <v>15</v>
      </c>
      <c r="B4" s="6" t="s">
        <v>15</v>
      </c>
      <c r="C4" s="6" t="s">
        <v>15</v>
      </c>
      <c r="D4" s="11"/>
      <c r="E4" s="11"/>
      <c r="F4" s="11"/>
      <c r="G4" s="11"/>
      <c r="H4" s="11"/>
      <c r="I4" s="11">
        <f>E4+G4</f>
        <v>0</v>
      </c>
      <c r="J4" s="11">
        <f>F4+H4</f>
        <v>0</v>
      </c>
      <c r="K4" s="35"/>
      <c r="L4" s="3"/>
      <c r="M4">
        <f>M3+Parametry!B33/100*F132+Parametry!B33/100*F133+Parametry!B33/100*F137+Parametry!B33/100*F138+Parametry!B33/100*F139+Parametry!B34/100*F148+Parametry!B34/100*F149+Parametry!B34/100*F150+Parametry!B34/100*F151+Parametry!B34/100*F152+Parametry!B34/100*F153+Parametry!B34/100*F154+Parametry!B34/100*F155+Parametry!B34/100*F157+Parametry!B33/100*F159+Parametry!B33/100*F161+Parametry!B33/100*F162+Parametry!B34/100*F163+Parametry!B33/100*F164+Parametry!B33/100*F169+Parametry!B33/100*F170+Parametry!B33/100*F171</f>
        <v>22844.910305400001</v>
      </c>
    </row>
    <row r="5" spans="1:27">
      <c r="A5" s="5" t="s">
        <v>15</v>
      </c>
      <c r="B5" s="5" t="s">
        <v>62</v>
      </c>
      <c r="C5" s="5" t="s">
        <v>15</v>
      </c>
      <c r="D5" s="13"/>
      <c r="E5" s="13"/>
      <c r="F5" s="13"/>
      <c r="G5" s="13"/>
      <c r="H5" s="13"/>
      <c r="I5" s="13"/>
      <c r="J5" s="13"/>
      <c r="K5" s="35"/>
      <c r="L5" s="3"/>
      <c r="M5">
        <f>M4+Parametry!B33/100*F172+Parametry!B33/100*F173+Parametry!B33/100*F176+Parametry!B33/100*F177+Parametry!B33/100*F185+Parametry!B33/100*F189+Parametry!B33/100*F190+Parametry!B33/100*F191+Parametry!B33/100*F194+Parametry!B33/100*F195+Parametry!B33/100*F196+Parametry!B33/100*F197+Parametry!B33/100*F198+Parametry!B34/100*F199+Parametry!B34/100*F200+Parametry!B34/100*F201+Parametry!B33/100*F203+Parametry!B34/100*F205+Parametry!B33/100*F206+Parametry!B33/100*F207+Parametry!B33/100*F208+Parametry!B33/100*F209</f>
        <v>25799.2790504</v>
      </c>
    </row>
    <row r="6" spans="1:27">
      <c r="A6" s="6" t="s">
        <v>15</v>
      </c>
      <c r="B6" s="6" t="s">
        <v>15</v>
      </c>
      <c r="C6" s="6" t="s">
        <v>15</v>
      </c>
      <c r="D6" s="11"/>
      <c r="E6" s="11"/>
      <c r="F6" s="11"/>
      <c r="G6" s="11"/>
      <c r="H6" s="11"/>
      <c r="I6" s="11">
        <f>E6+G6</f>
        <v>0</v>
      </c>
      <c r="J6" s="11">
        <f>F6+H6</f>
        <v>0</v>
      </c>
      <c r="K6" s="35"/>
      <c r="L6" s="3"/>
      <c r="M6">
        <f>M5+Parametry!B33/100*F210+Parametry!B33/100*F212+Parametry!B33/100*F213+Parametry!B33/100*F215+Parametry!B33/100*F216+Parametry!B33/100*F218+Parametry!B33/100*F219+Parametry!B33/100*F224+Parametry!B33/100*F225+Parametry!B33/100*F226+Parametry!B33/100*F234+Parametry!B33/100*F235+Parametry!B33/100*F236+Parametry!B33/100*F238+Parametry!B34/100*F240+Parametry!B34/100*F241+Parametry!B34/100*F242+Parametry!B33/100*F245+Parametry!B33/100*F247+Parametry!B33/100*F249+Parametry!B33/100*F250+Parametry!B34/100*F251</f>
        <v>28878.9480004</v>
      </c>
    </row>
    <row r="7" spans="1:27" ht="16.2" thickBot="1">
      <c r="A7" s="7" t="s">
        <v>15</v>
      </c>
      <c r="B7" s="7" t="s">
        <v>63</v>
      </c>
      <c r="C7" s="7" t="s">
        <v>15</v>
      </c>
      <c r="D7" s="14"/>
      <c r="E7" s="14"/>
      <c r="F7" s="14"/>
      <c r="G7" s="14"/>
      <c r="H7" s="14"/>
      <c r="I7" s="14"/>
      <c r="J7" s="14"/>
      <c r="K7" s="35"/>
      <c r="L7" s="3"/>
      <c r="M7">
        <f>M6+Parametry!B33/100*F254+Parametry!B33/100*F255+Parametry!B33/100*F257+Parametry!B33/100*F258+Parametry!B33/100*F259+Parametry!B33/100*F260+Parametry!B33/100*F261+Parametry!B33/100*F262+Parametry!B33/100*F263+Parametry!B33/100*F264+Parametry!B33/100*F266+Parametry!B34/100*F269+Parametry!B34/100*F274+Parametry!B34/100*F275+Parametry!B34/100*F276+Parametry!B34/100*F278+Parametry!B34/100*F280+Parametry!B34/100*F282+Parametry!B34/100*F283+Parametry!B34/100*F285+Parametry!B34/100*F287+Parametry!B34/100*F289</f>
        <v>30103.646167855557</v>
      </c>
    </row>
    <row r="8" spans="1:27">
      <c r="A8" s="6" t="s">
        <v>15</v>
      </c>
      <c r="B8" s="6" t="s">
        <v>64</v>
      </c>
      <c r="C8" s="6" t="s">
        <v>65</v>
      </c>
      <c r="D8" s="11">
        <v>1</v>
      </c>
      <c r="E8" s="11">
        <f>SUM(P8)</f>
        <v>482217.99999999994</v>
      </c>
      <c r="F8" s="11">
        <f>D8*E8</f>
        <v>482217.99999999994</v>
      </c>
      <c r="G8" s="11">
        <f>SUM(U8)</f>
        <v>100636.8</v>
      </c>
      <c r="H8" s="11">
        <f>D8*G8</f>
        <v>100636.8</v>
      </c>
      <c r="I8" s="11">
        <f>E8+G8</f>
        <v>582854.79999999993</v>
      </c>
      <c r="J8" s="11">
        <f>F8+H8</f>
        <v>582854.79999999993</v>
      </c>
      <c r="K8" s="36" t="s">
        <v>616</v>
      </c>
      <c r="L8" s="3"/>
      <c r="N8" s="30">
        <v>419320</v>
      </c>
      <c r="O8" s="31">
        <f>$O$1</f>
        <v>1.1499999999999999</v>
      </c>
      <c r="P8" s="32">
        <f>SUM(O8*N8)</f>
        <v>482217.99999999994</v>
      </c>
      <c r="Q8" s="29"/>
      <c r="R8" s="29"/>
      <c r="S8" s="33">
        <f>SUM(N8*0.2)</f>
        <v>83864</v>
      </c>
      <c r="T8" s="34">
        <f>$T$1</f>
        <v>1.2</v>
      </c>
      <c r="U8" s="33">
        <f>SUM(T8*S8)</f>
        <v>100636.8</v>
      </c>
      <c r="Y8">
        <f>SUM(N8*D8)</f>
        <v>419320</v>
      </c>
      <c r="AA8">
        <f>SUM(S8*D8)</f>
        <v>83864</v>
      </c>
    </row>
    <row r="9" spans="1:27">
      <c r="A9" s="15" t="s">
        <v>66</v>
      </c>
      <c r="B9" s="15" t="s">
        <v>67</v>
      </c>
      <c r="C9" s="15" t="s">
        <v>15</v>
      </c>
      <c r="D9" s="16"/>
      <c r="E9" s="16"/>
      <c r="F9" s="16"/>
      <c r="G9" s="16"/>
      <c r="H9" s="16"/>
      <c r="I9" s="16"/>
      <c r="J9" s="16"/>
      <c r="K9" s="35" t="s">
        <v>617</v>
      </c>
      <c r="L9" s="3"/>
      <c r="Y9">
        <f t="shared" ref="Y9:Y72" si="0">SUM(N9*D9)</f>
        <v>0</v>
      </c>
      <c r="AA9">
        <f t="shared" ref="AA9:AA72" si="1">SUM(S9*D9)</f>
        <v>0</v>
      </c>
    </row>
    <row r="10" spans="1:27">
      <c r="A10" s="6" t="s">
        <v>68</v>
      </c>
      <c r="B10" s="6" t="s">
        <v>69</v>
      </c>
      <c r="C10" s="6" t="s">
        <v>65</v>
      </c>
      <c r="D10" s="11">
        <v>5</v>
      </c>
      <c r="E10" s="11">
        <f t="shared" ref="E10:E11" si="2">SUM(P10)</f>
        <v>0</v>
      </c>
      <c r="F10" s="11">
        <f t="shared" ref="F10:F11" si="3">D10*E10</f>
        <v>0</v>
      </c>
      <c r="G10" s="11">
        <f t="shared" ref="G10:G11" si="4">SUM(U10)</f>
        <v>1440</v>
      </c>
      <c r="H10" s="11">
        <f t="shared" ref="H10:H11" si="5">D10*G10</f>
        <v>7200</v>
      </c>
      <c r="I10" s="11">
        <f t="shared" ref="I10:I11" si="6">E10+G10</f>
        <v>1440</v>
      </c>
      <c r="J10" s="11">
        <f t="shared" ref="J10:J11" si="7">F10+H10</f>
        <v>7200</v>
      </c>
      <c r="K10" s="35"/>
      <c r="L10" s="3"/>
      <c r="N10" s="29"/>
      <c r="O10" s="29"/>
      <c r="P10" s="29"/>
      <c r="Q10" s="29"/>
      <c r="R10" s="29"/>
      <c r="S10" s="33">
        <v>1200</v>
      </c>
      <c r="T10" s="34">
        <f t="shared" ref="T10:T11" si="8">$T$1</f>
        <v>1.2</v>
      </c>
      <c r="U10" s="33">
        <f t="shared" ref="U10:U11" si="9">SUM(T10*S10)</f>
        <v>1440</v>
      </c>
      <c r="Y10">
        <f t="shared" si="0"/>
        <v>0</v>
      </c>
      <c r="AA10">
        <f t="shared" si="1"/>
        <v>6000</v>
      </c>
    </row>
    <row r="11" spans="1:27">
      <c r="A11" s="6" t="s">
        <v>15</v>
      </c>
      <c r="B11" s="6" t="s">
        <v>70</v>
      </c>
      <c r="C11" s="6" t="s">
        <v>65</v>
      </c>
      <c r="D11" s="11">
        <v>1</v>
      </c>
      <c r="E11" s="11">
        <f t="shared" si="2"/>
        <v>5037</v>
      </c>
      <c r="F11" s="11">
        <f t="shared" si="3"/>
        <v>5037</v>
      </c>
      <c r="G11" s="11">
        <f t="shared" si="4"/>
        <v>1314</v>
      </c>
      <c r="H11" s="11">
        <f t="shared" si="5"/>
        <v>1314</v>
      </c>
      <c r="I11" s="11">
        <f t="shared" si="6"/>
        <v>6351</v>
      </c>
      <c r="J11" s="11">
        <f t="shared" si="7"/>
        <v>6351</v>
      </c>
      <c r="K11" s="35"/>
      <c r="L11" s="3"/>
      <c r="N11" s="30">
        <v>4380</v>
      </c>
      <c r="O11" s="31">
        <f t="shared" ref="O11" si="10">$O$1</f>
        <v>1.1499999999999999</v>
      </c>
      <c r="P11" s="32">
        <f t="shared" ref="P11" si="11">SUM(O11*N11)</f>
        <v>5037</v>
      </c>
      <c r="Q11" s="29"/>
      <c r="R11" s="29"/>
      <c r="S11" s="33">
        <f>SUM(N11*0.25)</f>
        <v>1095</v>
      </c>
      <c r="T11" s="34">
        <f t="shared" si="8"/>
        <v>1.2</v>
      </c>
      <c r="U11" s="33">
        <f t="shared" si="9"/>
        <v>1314</v>
      </c>
      <c r="Y11">
        <f t="shared" si="0"/>
        <v>4380</v>
      </c>
      <c r="AA11">
        <f t="shared" si="1"/>
        <v>1095</v>
      </c>
    </row>
    <row r="12" spans="1:27">
      <c r="A12" s="15" t="s">
        <v>71</v>
      </c>
      <c r="B12" s="15" t="s">
        <v>72</v>
      </c>
      <c r="C12" s="15" t="s">
        <v>15</v>
      </c>
      <c r="D12" s="16"/>
      <c r="E12" s="16"/>
      <c r="F12" s="16"/>
      <c r="G12" s="16"/>
      <c r="H12" s="16"/>
      <c r="I12" s="16"/>
      <c r="J12" s="16"/>
      <c r="K12" s="35"/>
      <c r="L12" s="3"/>
      <c r="Y12">
        <f t="shared" si="0"/>
        <v>0</v>
      </c>
      <c r="AA12">
        <f t="shared" si="1"/>
        <v>0</v>
      </c>
    </row>
    <row r="13" spans="1:27">
      <c r="A13" s="6" t="s">
        <v>73</v>
      </c>
      <c r="B13" s="6" t="s">
        <v>74</v>
      </c>
      <c r="C13" s="6" t="s">
        <v>65</v>
      </c>
      <c r="D13" s="26">
        <v>1</v>
      </c>
      <c r="E13" s="11">
        <f>SUM(P13)</f>
        <v>0</v>
      </c>
      <c r="F13" s="11">
        <f>D13*E13</f>
        <v>0</v>
      </c>
      <c r="G13" s="11">
        <f>SUM(U13)</f>
        <v>708</v>
      </c>
      <c r="H13" s="11">
        <f>D13*G13</f>
        <v>708</v>
      </c>
      <c r="I13" s="11">
        <f>E13+G13</f>
        <v>708</v>
      </c>
      <c r="J13" s="11">
        <f>F13+H13</f>
        <v>708</v>
      </c>
      <c r="K13" s="35"/>
      <c r="L13" s="3"/>
      <c r="N13" s="29"/>
      <c r="O13" s="29"/>
      <c r="P13" s="29"/>
      <c r="Q13" s="29"/>
      <c r="R13" s="29"/>
      <c r="S13" s="33">
        <v>590</v>
      </c>
      <c r="T13" s="34">
        <f>$T$1</f>
        <v>1.2</v>
      </c>
      <c r="U13" s="33">
        <f>SUM(T13*S13)</f>
        <v>708</v>
      </c>
      <c r="Y13">
        <f t="shared" si="0"/>
        <v>0</v>
      </c>
      <c r="AA13">
        <f t="shared" si="1"/>
        <v>590</v>
      </c>
    </row>
    <row r="14" spans="1:27">
      <c r="A14" s="7" t="s">
        <v>15</v>
      </c>
      <c r="B14" s="7" t="s">
        <v>75</v>
      </c>
      <c r="C14" s="7" t="s">
        <v>15</v>
      </c>
      <c r="D14" s="14"/>
      <c r="E14" s="14"/>
      <c r="F14" s="14">
        <f>SUM(F8:F13)</f>
        <v>487254.99999999994</v>
      </c>
      <c r="G14" s="14"/>
      <c r="H14" s="14">
        <f>SUM(H8:H13)</f>
        <v>109858.8</v>
      </c>
      <c r="I14" s="14"/>
      <c r="J14" s="14">
        <f>SUM(J8:J13)</f>
        <v>597113.79999999993</v>
      </c>
      <c r="K14" s="35"/>
      <c r="L14" s="3"/>
      <c r="Y14">
        <f t="shared" si="0"/>
        <v>0</v>
      </c>
      <c r="AA14">
        <f t="shared" si="1"/>
        <v>0</v>
      </c>
    </row>
    <row r="15" spans="1:27">
      <c r="A15" s="6" t="s">
        <v>15</v>
      </c>
      <c r="B15" s="6" t="s">
        <v>15</v>
      </c>
      <c r="C15" s="6" t="s">
        <v>15</v>
      </c>
      <c r="D15" s="11"/>
      <c r="E15" s="11"/>
      <c r="F15" s="11"/>
      <c r="G15" s="11"/>
      <c r="H15" s="11"/>
      <c r="I15" s="11">
        <f>E15+G15</f>
        <v>0</v>
      </c>
      <c r="J15" s="11">
        <f>F15+H15</f>
        <v>0</v>
      </c>
      <c r="K15" s="35"/>
      <c r="L15" s="3"/>
      <c r="Y15">
        <f t="shared" si="0"/>
        <v>0</v>
      </c>
      <c r="AA15">
        <f t="shared" si="1"/>
        <v>0</v>
      </c>
    </row>
    <row r="16" spans="1:27">
      <c r="A16" s="7" t="s">
        <v>15</v>
      </c>
      <c r="B16" s="7" t="s">
        <v>76</v>
      </c>
      <c r="C16" s="7" t="s">
        <v>15</v>
      </c>
      <c r="D16" s="14"/>
      <c r="E16" s="14"/>
      <c r="F16" s="14"/>
      <c r="G16" s="14"/>
      <c r="H16" s="14"/>
      <c r="I16" s="14"/>
      <c r="J16" s="14"/>
      <c r="K16" s="35"/>
      <c r="L16" s="3"/>
      <c r="Y16">
        <f t="shared" si="0"/>
        <v>0</v>
      </c>
      <c r="AA16">
        <f t="shared" si="1"/>
        <v>0</v>
      </c>
    </row>
    <row r="17" spans="1:27">
      <c r="A17" s="6" t="s">
        <v>15</v>
      </c>
      <c r="B17" s="6" t="s">
        <v>77</v>
      </c>
      <c r="C17" s="25"/>
      <c r="D17" s="11"/>
      <c r="E17" s="11"/>
      <c r="F17" s="11"/>
      <c r="G17" s="11"/>
      <c r="H17" s="11"/>
      <c r="I17" s="11">
        <f t="shared" ref="I17:J18" si="12">E17+G17</f>
        <v>0</v>
      </c>
      <c r="J17" s="11">
        <f t="shared" si="12"/>
        <v>0</v>
      </c>
      <c r="K17" s="25" t="s">
        <v>610</v>
      </c>
      <c r="L17" s="3"/>
      <c r="Y17">
        <f t="shared" si="0"/>
        <v>0</v>
      </c>
      <c r="AA17">
        <f t="shared" si="1"/>
        <v>0</v>
      </c>
    </row>
    <row r="18" spans="1:27">
      <c r="A18" s="6" t="s">
        <v>15</v>
      </c>
      <c r="B18" s="6" t="s">
        <v>15</v>
      </c>
      <c r="C18" s="6" t="s">
        <v>15</v>
      </c>
      <c r="D18" s="11"/>
      <c r="E18" s="11"/>
      <c r="F18" s="11"/>
      <c r="G18" s="11"/>
      <c r="H18" s="11"/>
      <c r="I18" s="11">
        <f t="shared" si="12"/>
        <v>0</v>
      </c>
      <c r="J18" s="11">
        <f t="shared" si="12"/>
        <v>0</v>
      </c>
      <c r="K18" s="35"/>
      <c r="L18" s="3"/>
      <c r="Y18">
        <f t="shared" si="0"/>
        <v>0</v>
      </c>
      <c r="AA18">
        <f t="shared" si="1"/>
        <v>0</v>
      </c>
    </row>
    <row r="19" spans="1:27">
      <c r="A19" s="6" t="s">
        <v>15</v>
      </c>
      <c r="B19" s="6" t="s">
        <v>78</v>
      </c>
      <c r="C19" s="6" t="s">
        <v>79</v>
      </c>
      <c r="D19" s="11">
        <v>1</v>
      </c>
      <c r="E19" s="11">
        <f>SUM(P19)</f>
        <v>0</v>
      </c>
      <c r="F19" s="11">
        <f>D19*E19</f>
        <v>0</v>
      </c>
      <c r="G19" s="11">
        <f>SUM(U19)</f>
        <v>0</v>
      </c>
      <c r="H19" s="11">
        <f>D19*G19</f>
        <v>0</v>
      </c>
      <c r="I19" s="11">
        <f>E19+G19</f>
        <v>0</v>
      </c>
      <c r="J19" s="11">
        <f>F19+H19</f>
        <v>0</v>
      </c>
      <c r="K19" s="35"/>
      <c r="L19" s="3"/>
      <c r="N19" s="29"/>
      <c r="O19" s="29"/>
      <c r="P19" s="29"/>
      <c r="Q19" s="29"/>
      <c r="R19" s="29"/>
      <c r="S19" s="33"/>
      <c r="T19" s="34">
        <f>$T$1</f>
        <v>1.2</v>
      </c>
      <c r="U19" s="33">
        <f>SUM(T19*S19)</f>
        <v>0</v>
      </c>
      <c r="V19" s="29"/>
      <c r="W19" s="29"/>
      <c r="Y19">
        <f t="shared" si="0"/>
        <v>0</v>
      </c>
      <c r="AA19">
        <f t="shared" si="1"/>
        <v>0</v>
      </c>
    </row>
    <row r="20" spans="1:27">
      <c r="A20" s="15" t="s">
        <v>80</v>
      </c>
      <c r="B20" s="15" t="s">
        <v>81</v>
      </c>
      <c r="C20" s="15" t="s">
        <v>15</v>
      </c>
      <c r="D20" s="16"/>
      <c r="E20" s="16"/>
      <c r="F20" s="16"/>
      <c r="G20" s="16"/>
      <c r="H20" s="16"/>
      <c r="I20" s="16"/>
      <c r="J20" s="16"/>
      <c r="K20" s="35"/>
      <c r="L20" s="3"/>
      <c r="N20" s="29"/>
      <c r="O20" s="29"/>
      <c r="P20" s="29"/>
      <c r="Q20" s="29"/>
      <c r="Y20">
        <f t="shared" si="0"/>
        <v>0</v>
      </c>
      <c r="AA20">
        <f t="shared" si="1"/>
        <v>0</v>
      </c>
    </row>
    <row r="21" spans="1:27">
      <c r="A21" s="6" t="s">
        <v>82</v>
      </c>
      <c r="B21" s="6" t="s">
        <v>83</v>
      </c>
      <c r="C21" s="6" t="s">
        <v>84</v>
      </c>
      <c r="D21" s="11">
        <v>540</v>
      </c>
      <c r="E21" s="11">
        <f>SUM(P21)</f>
        <v>0</v>
      </c>
      <c r="F21" s="11">
        <f>D21*E21</f>
        <v>0</v>
      </c>
      <c r="G21" s="11">
        <f>SUM(U21)</f>
        <v>72</v>
      </c>
      <c r="H21" s="11">
        <f>D21*G21</f>
        <v>38880</v>
      </c>
      <c r="I21" s="11">
        <f>E21+G21</f>
        <v>72</v>
      </c>
      <c r="J21" s="11">
        <f>F21+H21</f>
        <v>38880</v>
      </c>
      <c r="K21" s="35"/>
      <c r="L21" s="3"/>
      <c r="N21" s="29"/>
      <c r="O21" s="29"/>
      <c r="P21" s="29"/>
      <c r="Q21" s="29"/>
      <c r="R21" s="29"/>
      <c r="S21" s="33">
        <v>60</v>
      </c>
      <c r="T21" s="34">
        <f>$T$1</f>
        <v>1.2</v>
      </c>
      <c r="U21" s="33">
        <f>SUM(T21*S21)</f>
        <v>72</v>
      </c>
      <c r="Y21">
        <f t="shared" si="0"/>
        <v>0</v>
      </c>
      <c r="AA21">
        <f t="shared" si="1"/>
        <v>32400</v>
      </c>
    </row>
    <row r="22" spans="1:27">
      <c r="A22" s="15" t="s">
        <v>85</v>
      </c>
      <c r="B22" s="15" t="s">
        <v>86</v>
      </c>
      <c r="C22" s="15" t="s">
        <v>15</v>
      </c>
      <c r="D22" s="16"/>
      <c r="E22" s="16"/>
      <c r="F22" s="16"/>
      <c r="G22" s="16"/>
      <c r="H22" s="16"/>
      <c r="I22" s="16"/>
      <c r="J22" s="16"/>
      <c r="K22" s="35"/>
      <c r="L22" s="3"/>
      <c r="N22" s="29"/>
      <c r="O22" s="29"/>
      <c r="P22" s="29"/>
      <c r="Q22" s="29"/>
      <c r="Y22">
        <f t="shared" si="0"/>
        <v>0</v>
      </c>
      <c r="AA22">
        <f t="shared" si="1"/>
        <v>0</v>
      </c>
    </row>
    <row r="23" spans="1:27">
      <c r="A23" s="6" t="s">
        <v>87</v>
      </c>
      <c r="B23" s="6" t="s">
        <v>88</v>
      </c>
      <c r="C23" s="6" t="s">
        <v>65</v>
      </c>
      <c r="D23" s="11">
        <v>231</v>
      </c>
      <c r="E23" s="11">
        <f>SUM(P23)</f>
        <v>0</v>
      </c>
      <c r="F23" s="11">
        <f>D23*E23</f>
        <v>0</v>
      </c>
      <c r="G23" s="11">
        <f>SUM(U23)</f>
        <v>348</v>
      </c>
      <c r="H23" s="11">
        <f>D23*G23</f>
        <v>80388</v>
      </c>
      <c r="I23" s="11">
        <f>E23+G23</f>
        <v>348</v>
      </c>
      <c r="J23" s="11">
        <f>F23+H23</f>
        <v>80388</v>
      </c>
      <c r="K23" s="35"/>
      <c r="L23" s="3"/>
      <c r="N23" s="29"/>
      <c r="O23" s="29"/>
      <c r="P23" s="29"/>
      <c r="Q23" s="29"/>
      <c r="R23" s="29"/>
      <c r="S23" s="33">
        <v>290</v>
      </c>
      <c r="T23" s="34">
        <f>$T$1</f>
        <v>1.2</v>
      </c>
      <c r="U23" s="33">
        <f>SUM(T23*S23)</f>
        <v>348</v>
      </c>
      <c r="Y23">
        <f t="shared" si="0"/>
        <v>0</v>
      </c>
      <c r="AA23">
        <f t="shared" si="1"/>
        <v>66990</v>
      </c>
    </row>
    <row r="24" spans="1:27">
      <c r="A24" s="15" t="s">
        <v>89</v>
      </c>
      <c r="B24" s="15" t="s">
        <v>90</v>
      </c>
      <c r="C24" s="15" t="s">
        <v>15</v>
      </c>
      <c r="D24" s="16"/>
      <c r="E24" s="16"/>
      <c r="F24" s="16"/>
      <c r="G24" s="16"/>
      <c r="H24" s="16"/>
      <c r="I24" s="16"/>
      <c r="J24" s="16"/>
      <c r="K24" s="35"/>
      <c r="L24" s="3"/>
      <c r="N24" s="29"/>
      <c r="O24" s="29"/>
      <c r="P24" s="29"/>
      <c r="Q24" s="29"/>
      <c r="Y24">
        <f t="shared" si="0"/>
        <v>0</v>
      </c>
      <c r="AA24">
        <f t="shared" si="1"/>
        <v>0</v>
      </c>
    </row>
    <row r="25" spans="1:27">
      <c r="A25" s="6" t="s">
        <v>91</v>
      </c>
      <c r="B25" s="6" t="s">
        <v>88</v>
      </c>
      <c r="C25" s="6" t="s">
        <v>65</v>
      </c>
      <c r="D25" s="11">
        <v>40</v>
      </c>
      <c r="E25" s="11">
        <f>SUM(P25)</f>
        <v>0</v>
      </c>
      <c r="F25" s="11">
        <f>D25*E25</f>
        <v>0</v>
      </c>
      <c r="G25" s="11">
        <f>SUM(U25)</f>
        <v>348</v>
      </c>
      <c r="H25" s="11">
        <f>D25*G25</f>
        <v>13920</v>
      </c>
      <c r="I25" s="11">
        <f>E25+G25</f>
        <v>348</v>
      </c>
      <c r="J25" s="11">
        <f>F25+H25</f>
        <v>13920</v>
      </c>
      <c r="K25" s="35"/>
      <c r="L25" s="3"/>
      <c r="N25" s="29"/>
      <c r="O25" s="29"/>
      <c r="P25" s="29"/>
      <c r="Q25" s="29"/>
      <c r="R25" s="29"/>
      <c r="S25" s="33">
        <v>290</v>
      </c>
      <c r="T25" s="34">
        <f>$T$1</f>
        <v>1.2</v>
      </c>
      <c r="U25" s="33">
        <f>SUM(T25*S25)</f>
        <v>348</v>
      </c>
      <c r="Y25">
        <f t="shared" si="0"/>
        <v>0</v>
      </c>
      <c r="AA25">
        <f t="shared" si="1"/>
        <v>11600</v>
      </c>
    </row>
    <row r="26" spans="1:27">
      <c r="A26" s="15" t="s">
        <v>85</v>
      </c>
      <c r="B26" s="15" t="s">
        <v>92</v>
      </c>
      <c r="C26" s="15" t="s">
        <v>15</v>
      </c>
      <c r="D26" s="16"/>
      <c r="E26" s="16"/>
      <c r="F26" s="16"/>
      <c r="G26" s="16"/>
      <c r="H26" s="16"/>
      <c r="I26" s="16"/>
      <c r="J26" s="16"/>
      <c r="K26" s="35"/>
      <c r="L26" s="3"/>
      <c r="N26" s="29"/>
      <c r="O26" s="29"/>
      <c r="P26" s="29"/>
      <c r="Q26" s="29"/>
      <c r="Y26">
        <f t="shared" si="0"/>
        <v>0</v>
      </c>
      <c r="AA26">
        <f t="shared" si="1"/>
        <v>0</v>
      </c>
    </row>
    <row r="27" spans="1:27">
      <c r="A27" s="6" t="s">
        <v>87</v>
      </c>
      <c r="B27" s="6" t="s">
        <v>88</v>
      </c>
      <c r="C27" s="6" t="s">
        <v>65</v>
      </c>
      <c r="D27" s="11">
        <v>43</v>
      </c>
      <c r="E27" s="11">
        <f>SUM(P27)</f>
        <v>0</v>
      </c>
      <c r="F27" s="11">
        <f>D27*E27</f>
        <v>0</v>
      </c>
      <c r="G27" s="11">
        <f>SUM(U27)</f>
        <v>348</v>
      </c>
      <c r="H27" s="11">
        <f>D27*G27</f>
        <v>14964</v>
      </c>
      <c r="I27" s="11">
        <f>E27+G27</f>
        <v>348</v>
      </c>
      <c r="J27" s="11">
        <f>F27+H27</f>
        <v>14964</v>
      </c>
      <c r="K27" s="35" t="s">
        <v>620</v>
      </c>
      <c r="L27" s="3"/>
      <c r="N27" s="29"/>
      <c r="O27" s="29"/>
      <c r="P27" s="29"/>
      <c r="Q27" s="29"/>
      <c r="R27" s="29"/>
      <c r="S27" s="33">
        <v>290</v>
      </c>
      <c r="T27" s="34">
        <f>$T$1</f>
        <v>1.2</v>
      </c>
      <c r="U27" s="33">
        <f>SUM(T27*S27)</f>
        <v>348</v>
      </c>
      <c r="Y27">
        <f t="shared" si="0"/>
        <v>0</v>
      </c>
      <c r="AA27">
        <f t="shared" si="1"/>
        <v>12470</v>
      </c>
    </row>
    <row r="28" spans="1:27">
      <c r="A28" s="15" t="s">
        <v>85</v>
      </c>
      <c r="B28" s="15" t="s">
        <v>93</v>
      </c>
      <c r="C28" s="15" t="s">
        <v>15</v>
      </c>
      <c r="D28" s="16"/>
      <c r="E28" s="16"/>
      <c r="F28" s="16"/>
      <c r="G28" s="16"/>
      <c r="H28" s="16"/>
      <c r="I28" s="16"/>
      <c r="J28" s="16"/>
      <c r="K28" s="35"/>
      <c r="L28" s="3"/>
      <c r="N28" s="29"/>
      <c r="O28" s="29"/>
      <c r="P28" s="29"/>
      <c r="Q28" s="29"/>
      <c r="Y28">
        <f t="shared" si="0"/>
        <v>0</v>
      </c>
      <c r="AA28">
        <f t="shared" si="1"/>
        <v>0</v>
      </c>
    </row>
    <row r="29" spans="1:27">
      <c r="A29" s="6" t="s">
        <v>87</v>
      </c>
      <c r="B29" s="6" t="s">
        <v>88</v>
      </c>
      <c r="C29" s="6" t="s">
        <v>65</v>
      </c>
      <c r="D29" s="11">
        <v>64</v>
      </c>
      <c r="E29" s="11">
        <f>SUM(P29)</f>
        <v>0</v>
      </c>
      <c r="F29" s="11">
        <f>D29*E29</f>
        <v>0</v>
      </c>
      <c r="G29" s="11">
        <f>SUM(U29)</f>
        <v>348</v>
      </c>
      <c r="H29" s="11">
        <f>D29*G29</f>
        <v>22272</v>
      </c>
      <c r="I29" s="11">
        <f>E29+G29</f>
        <v>348</v>
      </c>
      <c r="J29" s="11">
        <f>F29+H29</f>
        <v>22272</v>
      </c>
      <c r="K29" s="35" t="s">
        <v>620</v>
      </c>
      <c r="L29" s="3"/>
      <c r="N29" s="29"/>
      <c r="O29" s="29"/>
      <c r="P29" s="29"/>
      <c r="Q29" s="29"/>
      <c r="R29" s="29"/>
      <c r="S29" s="33">
        <v>290</v>
      </c>
      <c r="T29" s="34">
        <f>$T$1</f>
        <v>1.2</v>
      </c>
      <c r="U29" s="33">
        <f>SUM(T29*S29)</f>
        <v>348</v>
      </c>
      <c r="Y29">
        <f t="shared" si="0"/>
        <v>0</v>
      </c>
      <c r="AA29">
        <f t="shared" si="1"/>
        <v>18560</v>
      </c>
    </row>
    <row r="30" spans="1:27">
      <c r="A30" s="15" t="s">
        <v>85</v>
      </c>
      <c r="B30" s="15" t="s">
        <v>94</v>
      </c>
      <c r="C30" s="15" t="s">
        <v>15</v>
      </c>
      <c r="D30" s="16"/>
      <c r="E30" s="16"/>
      <c r="F30" s="16"/>
      <c r="G30" s="16"/>
      <c r="H30" s="16"/>
      <c r="I30" s="16"/>
      <c r="J30" s="16"/>
      <c r="K30" s="35"/>
      <c r="L30" s="3"/>
      <c r="N30" s="29"/>
      <c r="O30" s="29"/>
      <c r="P30" s="29"/>
      <c r="Q30" s="29"/>
      <c r="Y30">
        <f t="shared" si="0"/>
        <v>0</v>
      </c>
      <c r="AA30">
        <f t="shared" si="1"/>
        <v>0</v>
      </c>
    </row>
    <row r="31" spans="1:27">
      <c r="A31" s="6" t="s">
        <v>95</v>
      </c>
      <c r="B31" s="6" t="s">
        <v>88</v>
      </c>
      <c r="C31" s="6" t="s">
        <v>65</v>
      </c>
      <c r="D31" s="11">
        <v>34</v>
      </c>
      <c r="E31" s="11">
        <f t="shared" ref="E31:E32" si="13">SUM(P31)</f>
        <v>0</v>
      </c>
      <c r="F31" s="11">
        <f t="shared" ref="F31:F32" si="14">D31*E31</f>
        <v>0</v>
      </c>
      <c r="G31" s="11">
        <f t="shared" ref="G31:G32" si="15">SUM(U31)</f>
        <v>348</v>
      </c>
      <c r="H31" s="11">
        <f t="shared" ref="H31:H32" si="16">D31*G31</f>
        <v>11832</v>
      </c>
      <c r="I31" s="11">
        <f t="shared" ref="I31:I32" si="17">E31+G31</f>
        <v>348</v>
      </c>
      <c r="J31" s="11">
        <f t="shared" ref="J31:J32" si="18">F31+H31</f>
        <v>11832</v>
      </c>
      <c r="K31" s="35"/>
      <c r="L31" s="3"/>
      <c r="N31" s="29"/>
      <c r="O31" s="29"/>
      <c r="P31" s="29"/>
      <c r="Q31" s="29"/>
      <c r="R31" s="29"/>
      <c r="S31" s="33">
        <v>290</v>
      </c>
      <c r="T31" s="34">
        <f t="shared" ref="T31:T32" si="19">$T$1</f>
        <v>1.2</v>
      </c>
      <c r="U31" s="33">
        <f t="shared" ref="U31:U32" si="20">SUM(T31*S31)</f>
        <v>348</v>
      </c>
      <c r="Y31">
        <f t="shared" si="0"/>
        <v>0</v>
      </c>
      <c r="AA31">
        <f t="shared" si="1"/>
        <v>9860</v>
      </c>
    </row>
    <row r="32" spans="1:27">
      <c r="A32" s="6" t="s">
        <v>95</v>
      </c>
      <c r="B32" s="6" t="s">
        <v>96</v>
      </c>
      <c r="C32" s="6" t="s">
        <v>65</v>
      </c>
      <c r="D32" s="11">
        <v>2</v>
      </c>
      <c r="E32" s="11">
        <f t="shared" si="13"/>
        <v>0</v>
      </c>
      <c r="F32" s="11">
        <f t="shared" si="14"/>
        <v>0</v>
      </c>
      <c r="G32" s="11">
        <f t="shared" si="15"/>
        <v>420</v>
      </c>
      <c r="H32" s="11">
        <f t="shared" si="16"/>
        <v>840</v>
      </c>
      <c r="I32" s="11">
        <f t="shared" si="17"/>
        <v>420</v>
      </c>
      <c r="J32" s="11">
        <f t="shared" si="18"/>
        <v>840</v>
      </c>
      <c r="K32" s="35"/>
      <c r="L32" s="3"/>
      <c r="N32" s="29"/>
      <c r="O32" s="29"/>
      <c r="P32" s="29"/>
      <c r="Q32" s="29"/>
      <c r="R32" s="29"/>
      <c r="S32" s="33">
        <v>350</v>
      </c>
      <c r="T32" s="34">
        <f t="shared" si="19"/>
        <v>1.2</v>
      </c>
      <c r="U32" s="33">
        <f t="shared" si="20"/>
        <v>420</v>
      </c>
      <c r="Y32">
        <f t="shared" si="0"/>
        <v>0</v>
      </c>
      <c r="AA32">
        <f t="shared" si="1"/>
        <v>700</v>
      </c>
    </row>
    <row r="33" spans="1:27">
      <c r="A33" s="15" t="s">
        <v>85</v>
      </c>
      <c r="B33" s="15" t="s">
        <v>97</v>
      </c>
      <c r="C33" s="15" t="s">
        <v>15</v>
      </c>
      <c r="D33" s="16"/>
      <c r="E33" s="16"/>
      <c r="F33" s="16"/>
      <c r="G33" s="16"/>
      <c r="H33" s="16"/>
      <c r="I33" s="16"/>
      <c r="J33" s="16"/>
      <c r="K33" s="35"/>
      <c r="L33" s="3"/>
      <c r="N33" s="29"/>
      <c r="O33" s="29"/>
      <c r="P33" s="29"/>
      <c r="Q33" s="29"/>
      <c r="Y33">
        <f t="shared" si="0"/>
        <v>0</v>
      </c>
      <c r="AA33">
        <f t="shared" si="1"/>
        <v>0</v>
      </c>
    </row>
    <row r="34" spans="1:27">
      <c r="A34" s="6" t="s">
        <v>95</v>
      </c>
      <c r="B34" s="6" t="s">
        <v>88</v>
      </c>
      <c r="C34" s="6" t="s">
        <v>65</v>
      </c>
      <c r="D34" s="11">
        <v>48</v>
      </c>
      <c r="E34" s="11">
        <f>SUM(P34)</f>
        <v>0</v>
      </c>
      <c r="F34" s="11">
        <f>D34*E34</f>
        <v>0</v>
      </c>
      <c r="G34" s="11">
        <f>SUM(U34)</f>
        <v>348</v>
      </c>
      <c r="H34" s="11">
        <f>D34*G34</f>
        <v>16704</v>
      </c>
      <c r="I34" s="11">
        <f>E34+G34</f>
        <v>348</v>
      </c>
      <c r="J34" s="11">
        <f>F34+H34</f>
        <v>16704</v>
      </c>
      <c r="K34" s="35"/>
      <c r="L34" s="3"/>
      <c r="N34" s="29"/>
      <c r="O34" s="29"/>
      <c r="P34" s="29"/>
      <c r="Q34" s="29"/>
      <c r="R34" s="29"/>
      <c r="S34" s="33">
        <v>290</v>
      </c>
      <c r="T34" s="34">
        <f>$T$1</f>
        <v>1.2</v>
      </c>
      <c r="U34" s="33">
        <f>SUM(T34*S34)</f>
        <v>348</v>
      </c>
      <c r="Y34">
        <f t="shared" si="0"/>
        <v>0</v>
      </c>
      <c r="AA34">
        <f t="shared" si="1"/>
        <v>13920</v>
      </c>
    </row>
    <row r="35" spans="1:27">
      <c r="A35" s="15" t="s">
        <v>98</v>
      </c>
      <c r="B35" s="15" t="s">
        <v>99</v>
      </c>
      <c r="C35" s="15" t="s">
        <v>15</v>
      </c>
      <c r="D35" s="16"/>
      <c r="E35" s="16"/>
      <c r="F35" s="16"/>
      <c r="G35" s="16"/>
      <c r="H35" s="16"/>
      <c r="I35" s="16"/>
      <c r="J35" s="16"/>
      <c r="K35" s="35"/>
      <c r="L35" s="3"/>
      <c r="N35" s="29"/>
      <c r="O35" s="29"/>
      <c r="P35" s="29"/>
      <c r="Q35" s="29"/>
      <c r="Y35">
        <f t="shared" si="0"/>
        <v>0</v>
      </c>
      <c r="AA35">
        <f t="shared" si="1"/>
        <v>0</v>
      </c>
    </row>
    <row r="36" spans="1:27">
      <c r="A36" s="6" t="s">
        <v>100</v>
      </c>
      <c r="B36" s="6" t="s">
        <v>101</v>
      </c>
      <c r="C36" s="6" t="s">
        <v>65</v>
      </c>
      <c r="D36" s="11">
        <v>6</v>
      </c>
      <c r="E36" s="11">
        <f>SUM(P36)</f>
        <v>0</v>
      </c>
      <c r="F36" s="11">
        <f>D36*E36</f>
        <v>0</v>
      </c>
      <c r="G36" s="11">
        <f>SUM(U36)</f>
        <v>540</v>
      </c>
      <c r="H36" s="11">
        <f>D36*G36</f>
        <v>3240</v>
      </c>
      <c r="I36" s="11">
        <f>E36+G36</f>
        <v>540</v>
      </c>
      <c r="J36" s="11">
        <f>F36+H36</f>
        <v>3240</v>
      </c>
      <c r="K36" s="35"/>
      <c r="L36" s="3"/>
      <c r="N36" s="29"/>
      <c r="O36" s="29"/>
      <c r="P36" s="29"/>
      <c r="Q36" s="29"/>
      <c r="R36" s="29"/>
      <c r="S36" s="33">
        <v>450</v>
      </c>
      <c r="T36" s="34">
        <f>$T$1</f>
        <v>1.2</v>
      </c>
      <c r="U36" s="33">
        <f>SUM(T36*S36)</f>
        <v>540</v>
      </c>
      <c r="Y36">
        <f t="shared" si="0"/>
        <v>0</v>
      </c>
      <c r="AA36">
        <f t="shared" si="1"/>
        <v>2700</v>
      </c>
    </row>
    <row r="37" spans="1:27">
      <c r="A37" s="15" t="s">
        <v>98</v>
      </c>
      <c r="B37" s="15" t="s">
        <v>102</v>
      </c>
      <c r="C37" s="15" t="s">
        <v>15</v>
      </c>
      <c r="D37" s="16"/>
      <c r="E37" s="16"/>
      <c r="F37" s="16"/>
      <c r="G37" s="16"/>
      <c r="H37" s="16"/>
      <c r="I37" s="16"/>
      <c r="J37" s="16"/>
      <c r="K37" s="35"/>
      <c r="L37" s="3"/>
      <c r="N37" s="29"/>
      <c r="O37" s="29"/>
      <c r="P37" s="29"/>
      <c r="Q37" s="29"/>
      <c r="Y37">
        <f t="shared" si="0"/>
        <v>0</v>
      </c>
      <c r="AA37">
        <f t="shared" si="1"/>
        <v>0</v>
      </c>
    </row>
    <row r="38" spans="1:27">
      <c r="A38" s="6" t="s">
        <v>103</v>
      </c>
      <c r="B38" s="6" t="s">
        <v>104</v>
      </c>
      <c r="C38" s="6" t="s">
        <v>65</v>
      </c>
      <c r="D38" s="11">
        <v>5</v>
      </c>
      <c r="E38" s="11">
        <f>SUM(P38)</f>
        <v>0</v>
      </c>
      <c r="F38" s="11">
        <f>D38*E38</f>
        <v>0</v>
      </c>
      <c r="G38" s="11">
        <f>SUM(U38)</f>
        <v>348</v>
      </c>
      <c r="H38" s="11">
        <f>D38*G38</f>
        <v>1740</v>
      </c>
      <c r="I38" s="11">
        <f>E38+G38</f>
        <v>348</v>
      </c>
      <c r="J38" s="11">
        <f>F38+H38</f>
        <v>1740</v>
      </c>
      <c r="K38" s="35"/>
      <c r="L38" s="3"/>
      <c r="N38" s="29"/>
      <c r="O38" s="29"/>
      <c r="P38" s="29"/>
      <c r="Q38" s="29"/>
      <c r="R38" s="29"/>
      <c r="S38" s="33">
        <v>290</v>
      </c>
      <c r="T38" s="34">
        <f>$T$1</f>
        <v>1.2</v>
      </c>
      <c r="U38" s="33">
        <f>SUM(T38*S38)</f>
        <v>348</v>
      </c>
      <c r="Y38">
        <f t="shared" si="0"/>
        <v>0</v>
      </c>
      <c r="AA38">
        <f t="shared" si="1"/>
        <v>1450</v>
      </c>
    </row>
    <row r="39" spans="1:27">
      <c r="A39" s="15" t="s">
        <v>85</v>
      </c>
      <c r="B39" s="15" t="s">
        <v>105</v>
      </c>
      <c r="C39" s="15" t="s">
        <v>15</v>
      </c>
      <c r="D39" s="16"/>
      <c r="E39" s="16"/>
      <c r="F39" s="16"/>
      <c r="G39" s="16"/>
      <c r="H39" s="16"/>
      <c r="I39" s="16"/>
      <c r="J39" s="16"/>
      <c r="K39" s="35"/>
      <c r="L39" s="3"/>
      <c r="N39" s="29"/>
      <c r="O39" s="29"/>
      <c r="P39" s="29"/>
      <c r="Q39" s="29"/>
      <c r="Y39">
        <f t="shared" si="0"/>
        <v>0</v>
      </c>
      <c r="AA39">
        <f t="shared" si="1"/>
        <v>0</v>
      </c>
    </row>
    <row r="40" spans="1:27">
      <c r="A40" s="6" t="s">
        <v>87</v>
      </c>
      <c r="B40" s="6" t="s">
        <v>88</v>
      </c>
      <c r="C40" s="6" t="s">
        <v>65</v>
      </c>
      <c r="D40" s="11">
        <v>5</v>
      </c>
      <c r="E40" s="11">
        <f>SUM(P40)</f>
        <v>0</v>
      </c>
      <c r="F40" s="11">
        <f>D40*E40</f>
        <v>0</v>
      </c>
      <c r="G40" s="11">
        <f>SUM(U40)</f>
        <v>348</v>
      </c>
      <c r="H40" s="11">
        <f>D40*G40</f>
        <v>1740</v>
      </c>
      <c r="I40" s="11">
        <f>E40+G40</f>
        <v>348</v>
      </c>
      <c r="J40" s="11">
        <f>F40+H40</f>
        <v>1740</v>
      </c>
      <c r="K40" s="35"/>
      <c r="L40" s="3"/>
      <c r="N40" s="29"/>
      <c r="O40" s="29"/>
      <c r="P40" s="29"/>
      <c r="Q40" s="29"/>
      <c r="R40" s="29"/>
      <c r="S40" s="33">
        <v>290</v>
      </c>
      <c r="T40" s="34">
        <f>$T$1</f>
        <v>1.2</v>
      </c>
      <c r="U40" s="33">
        <f>SUM(T40*S40)</f>
        <v>348</v>
      </c>
      <c r="Y40">
        <f t="shared" si="0"/>
        <v>0</v>
      </c>
      <c r="AA40">
        <f t="shared" si="1"/>
        <v>1450</v>
      </c>
    </row>
    <row r="41" spans="1:27">
      <c r="A41" s="15" t="s">
        <v>89</v>
      </c>
      <c r="B41" s="15" t="s">
        <v>106</v>
      </c>
      <c r="C41" s="15" t="s">
        <v>15</v>
      </c>
      <c r="D41" s="16"/>
      <c r="E41" s="16"/>
      <c r="F41" s="16"/>
      <c r="G41" s="16"/>
      <c r="H41" s="16"/>
      <c r="I41" s="16"/>
      <c r="J41" s="16"/>
      <c r="K41" s="35"/>
      <c r="L41" s="3"/>
      <c r="N41" s="29"/>
      <c r="O41" s="29"/>
      <c r="P41" s="29"/>
      <c r="Q41" s="29"/>
      <c r="Y41">
        <f t="shared" si="0"/>
        <v>0</v>
      </c>
      <c r="AA41">
        <f t="shared" si="1"/>
        <v>0</v>
      </c>
    </row>
    <row r="42" spans="1:27">
      <c r="A42" s="6" t="s">
        <v>91</v>
      </c>
      <c r="B42" s="6" t="s">
        <v>88</v>
      </c>
      <c r="C42" s="6" t="s">
        <v>65</v>
      </c>
      <c r="D42" s="11">
        <v>22</v>
      </c>
      <c r="E42" s="11">
        <f>SUM(P42)</f>
        <v>0</v>
      </c>
      <c r="F42" s="11">
        <f>D42*E42</f>
        <v>0</v>
      </c>
      <c r="G42" s="11">
        <f>SUM(U42)</f>
        <v>348</v>
      </c>
      <c r="H42" s="11">
        <f>D42*G42</f>
        <v>7656</v>
      </c>
      <c r="I42" s="11">
        <f>E42+G42</f>
        <v>348</v>
      </c>
      <c r="J42" s="11">
        <f>F42+H42</f>
        <v>7656</v>
      </c>
      <c r="K42" s="35"/>
      <c r="L42" s="3"/>
      <c r="N42" s="29"/>
      <c r="O42" s="29"/>
      <c r="P42" s="29"/>
      <c r="Q42" s="29"/>
      <c r="R42" s="29"/>
      <c r="S42" s="33">
        <v>290</v>
      </c>
      <c r="T42" s="34">
        <f>$T$1</f>
        <v>1.2</v>
      </c>
      <c r="U42" s="33">
        <f>SUM(T42*S42)</f>
        <v>348</v>
      </c>
      <c r="Y42">
        <f t="shared" si="0"/>
        <v>0</v>
      </c>
      <c r="AA42">
        <f t="shared" si="1"/>
        <v>6380</v>
      </c>
    </row>
    <row r="43" spans="1:27">
      <c r="A43" s="15" t="s">
        <v>89</v>
      </c>
      <c r="B43" s="15" t="s">
        <v>107</v>
      </c>
      <c r="C43" s="15" t="s">
        <v>15</v>
      </c>
      <c r="D43" s="16"/>
      <c r="E43" s="16"/>
      <c r="F43" s="16"/>
      <c r="G43" s="16"/>
      <c r="H43" s="16"/>
      <c r="I43" s="16"/>
      <c r="J43" s="16"/>
      <c r="K43" s="35"/>
      <c r="L43" s="3"/>
      <c r="N43" s="29"/>
      <c r="O43" s="29"/>
      <c r="P43" s="29"/>
      <c r="Q43" s="29"/>
      <c r="Y43">
        <f t="shared" si="0"/>
        <v>0</v>
      </c>
      <c r="AA43">
        <f t="shared" si="1"/>
        <v>0</v>
      </c>
    </row>
    <row r="44" spans="1:27">
      <c r="A44" s="6" t="s">
        <v>91</v>
      </c>
      <c r="B44" s="6" t="s">
        <v>88</v>
      </c>
      <c r="C44" s="6" t="s">
        <v>65</v>
      </c>
      <c r="D44" s="11">
        <v>34</v>
      </c>
      <c r="E44" s="11">
        <f>SUM(P44)</f>
        <v>0</v>
      </c>
      <c r="F44" s="11">
        <f>D44*E44</f>
        <v>0</v>
      </c>
      <c r="G44" s="11">
        <f>SUM(U44)</f>
        <v>348</v>
      </c>
      <c r="H44" s="11">
        <f>D44*G44</f>
        <v>11832</v>
      </c>
      <c r="I44" s="11">
        <f>E44+G44</f>
        <v>348</v>
      </c>
      <c r="J44" s="11">
        <f>F44+H44</f>
        <v>11832</v>
      </c>
      <c r="K44" s="35"/>
      <c r="L44" s="3"/>
      <c r="N44" s="29"/>
      <c r="O44" s="29"/>
      <c r="P44" s="29"/>
      <c r="Q44" s="29"/>
      <c r="R44" s="29"/>
      <c r="S44" s="33">
        <v>290</v>
      </c>
      <c r="T44" s="34">
        <f>$T$1</f>
        <v>1.2</v>
      </c>
      <c r="U44" s="33">
        <f>SUM(T44*S44)</f>
        <v>348</v>
      </c>
      <c r="Y44">
        <f t="shared" si="0"/>
        <v>0</v>
      </c>
      <c r="AA44">
        <f t="shared" si="1"/>
        <v>9860</v>
      </c>
    </row>
    <row r="45" spans="1:27">
      <c r="A45" s="15" t="s">
        <v>89</v>
      </c>
      <c r="B45" s="15" t="s">
        <v>108</v>
      </c>
      <c r="C45" s="15" t="s">
        <v>15</v>
      </c>
      <c r="D45" s="16"/>
      <c r="E45" s="16"/>
      <c r="F45" s="16"/>
      <c r="G45" s="16"/>
      <c r="H45" s="16"/>
      <c r="I45" s="16"/>
      <c r="J45" s="16"/>
      <c r="K45" s="35"/>
      <c r="L45" s="3"/>
      <c r="N45" s="29"/>
      <c r="O45" s="29"/>
      <c r="P45" s="29"/>
      <c r="Q45" s="29"/>
      <c r="Y45">
        <f t="shared" si="0"/>
        <v>0</v>
      </c>
      <c r="AA45">
        <f t="shared" si="1"/>
        <v>0</v>
      </c>
    </row>
    <row r="46" spans="1:27">
      <c r="A46" s="6" t="s">
        <v>91</v>
      </c>
      <c r="B46" s="6" t="s">
        <v>88</v>
      </c>
      <c r="C46" s="6" t="s">
        <v>65</v>
      </c>
      <c r="D46" s="11">
        <v>39</v>
      </c>
      <c r="E46" s="11">
        <f t="shared" ref="E46:E47" si="21">SUM(P46)</f>
        <v>0</v>
      </c>
      <c r="F46" s="11">
        <f t="shared" ref="F46:F47" si="22">D46*E46</f>
        <v>0</v>
      </c>
      <c r="G46" s="11">
        <f t="shared" ref="G46:G47" si="23">SUM(U46)</f>
        <v>348</v>
      </c>
      <c r="H46" s="11">
        <f t="shared" ref="H46:H47" si="24">D46*G46</f>
        <v>13572</v>
      </c>
      <c r="I46" s="11">
        <f t="shared" ref="I46:I47" si="25">E46+G46</f>
        <v>348</v>
      </c>
      <c r="J46" s="11">
        <f t="shared" ref="J46:J47" si="26">F46+H46</f>
        <v>13572</v>
      </c>
      <c r="K46" s="35"/>
      <c r="L46" s="3"/>
      <c r="N46" s="29"/>
      <c r="O46" s="29"/>
      <c r="P46" s="29"/>
      <c r="Q46" s="29"/>
      <c r="R46" s="29"/>
      <c r="S46" s="33">
        <v>290</v>
      </c>
      <c r="T46" s="34">
        <f t="shared" ref="T46:T47" si="27">$T$1</f>
        <v>1.2</v>
      </c>
      <c r="U46" s="33">
        <f t="shared" ref="U46:U47" si="28">SUM(T46*S46)</f>
        <v>348</v>
      </c>
      <c r="Y46">
        <f t="shared" si="0"/>
        <v>0</v>
      </c>
      <c r="AA46">
        <f t="shared" si="1"/>
        <v>11310</v>
      </c>
    </row>
    <row r="47" spans="1:27">
      <c r="A47" s="6" t="s">
        <v>109</v>
      </c>
      <c r="B47" s="6" t="s">
        <v>110</v>
      </c>
      <c r="C47" s="6" t="s">
        <v>65</v>
      </c>
      <c r="D47" s="11">
        <v>571</v>
      </c>
      <c r="E47" s="11">
        <f t="shared" si="21"/>
        <v>0</v>
      </c>
      <c r="F47" s="11">
        <f t="shared" si="22"/>
        <v>0</v>
      </c>
      <c r="G47" s="11">
        <f t="shared" si="23"/>
        <v>11.4</v>
      </c>
      <c r="H47" s="11">
        <f t="shared" si="24"/>
        <v>6509.4000000000005</v>
      </c>
      <c r="I47" s="11">
        <f t="shared" si="25"/>
        <v>11.4</v>
      </c>
      <c r="J47" s="11">
        <f t="shared" si="26"/>
        <v>6509.4000000000005</v>
      </c>
      <c r="K47" s="35"/>
      <c r="L47" s="3"/>
      <c r="N47" s="29"/>
      <c r="O47" s="29"/>
      <c r="P47" s="29"/>
      <c r="Q47" s="29"/>
      <c r="R47" s="29"/>
      <c r="S47" s="33">
        <v>9.5</v>
      </c>
      <c r="T47" s="34">
        <f t="shared" si="27"/>
        <v>1.2</v>
      </c>
      <c r="U47" s="33">
        <f t="shared" si="28"/>
        <v>11.4</v>
      </c>
      <c r="Y47">
        <f t="shared" si="0"/>
        <v>0</v>
      </c>
      <c r="AA47">
        <f t="shared" si="1"/>
        <v>5424.5</v>
      </c>
    </row>
    <row r="48" spans="1:27">
      <c r="A48" s="7" t="s">
        <v>15</v>
      </c>
      <c r="B48" s="7" t="s">
        <v>111</v>
      </c>
      <c r="C48" s="7" t="s">
        <v>15</v>
      </c>
      <c r="D48" s="14"/>
      <c r="E48" s="14"/>
      <c r="F48" s="14">
        <f>SUM(F17:F47)</f>
        <v>0</v>
      </c>
      <c r="G48" s="14"/>
      <c r="H48" s="14">
        <f>SUM(H17:H47)</f>
        <v>246089.4</v>
      </c>
      <c r="I48" s="14"/>
      <c r="J48" s="14">
        <f>SUM(J17:J47)</f>
        <v>246089.4</v>
      </c>
      <c r="K48" s="35"/>
      <c r="L48" s="3"/>
      <c r="Y48">
        <f t="shared" si="0"/>
        <v>0</v>
      </c>
      <c r="AA48">
        <f t="shared" si="1"/>
        <v>0</v>
      </c>
    </row>
    <row r="49" spans="1:27">
      <c r="A49" s="6" t="s">
        <v>15</v>
      </c>
      <c r="B49" s="6" t="s">
        <v>15</v>
      </c>
      <c r="C49" s="6" t="s">
        <v>15</v>
      </c>
      <c r="D49" s="11"/>
      <c r="E49" s="11"/>
      <c r="F49" s="11"/>
      <c r="G49" s="11"/>
      <c r="H49" s="11"/>
      <c r="I49" s="11">
        <f>E49+G49</f>
        <v>0</v>
      </c>
      <c r="J49" s="11">
        <f>F49+H49</f>
        <v>0</v>
      </c>
      <c r="K49" s="35"/>
      <c r="L49" s="3"/>
      <c r="Y49">
        <f t="shared" si="0"/>
        <v>0</v>
      </c>
      <c r="AA49">
        <f t="shared" si="1"/>
        <v>0</v>
      </c>
    </row>
    <row r="50" spans="1:27">
      <c r="A50" s="7" t="s">
        <v>15</v>
      </c>
      <c r="B50" s="7" t="s">
        <v>112</v>
      </c>
      <c r="C50" s="7" t="s">
        <v>15</v>
      </c>
      <c r="D50" s="14"/>
      <c r="E50" s="14"/>
      <c r="F50" s="14"/>
      <c r="G50" s="14"/>
      <c r="H50" s="14"/>
      <c r="I50" s="14"/>
      <c r="J50" s="14"/>
      <c r="K50" s="35"/>
      <c r="L50" s="3"/>
      <c r="Y50">
        <f t="shared" si="0"/>
        <v>0</v>
      </c>
      <c r="AA50">
        <f t="shared" si="1"/>
        <v>0</v>
      </c>
    </row>
    <row r="51" spans="1:27">
      <c r="A51" s="15" t="s">
        <v>113</v>
      </c>
      <c r="B51" s="15" t="s">
        <v>114</v>
      </c>
      <c r="C51" s="15" t="s">
        <v>15</v>
      </c>
      <c r="D51" s="16"/>
      <c r="E51" s="16"/>
      <c r="F51" s="16"/>
      <c r="G51" s="16"/>
      <c r="H51" s="16"/>
      <c r="I51" s="16"/>
      <c r="J51" s="16"/>
      <c r="K51" s="35"/>
      <c r="L51" s="3"/>
      <c r="Y51">
        <f t="shared" si="0"/>
        <v>0</v>
      </c>
      <c r="AA51">
        <f t="shared" si="1"/>
        <v>0</v>
      </c>
    </row>
    <row r="52" spans="1:27">
      <c r="A52" s="6" t="s">
        <v>115</v>
      </c>
      <c r="B52" s="6" t="s">
        <v>116</v>
      </c>
      <c r="C52" s="6" t="s">
        <v>65</v>
      </c>
      <c r="D52" s="11">
        <v>3</v>
      </c>
      <c r="E52" s="11">
        <f t="shared" ref="E52:E54" si="29">SUM(P52)</f>
        <v>1741.2724999999998</v>
      </c>
      <c r="F52" s="11">
        <f t="shared" ref="F52:F54" si="30">D52*E52</f>
        <v>5223.8174999999992</v>
      </c>
      <c r="G52" s="11">
        <f t="shared" ref="G52:G54" si="31">SUM(U52)</f>
        <v>420</v>
      </c>
      <c r="H52" s="11">
        <f t="shared" ref="H52:H54" si="32">D52*G52</f>
        <v>1260</v>
      </c>
      <c r="I52" s="11">
        <f t="shared" ref="I52:I54" si="33">E52+G52</f>
        <v>2161.2725</v>
      </c>
      <c r="J52" s="11">
        <f t="shared" ref="J52:J54" si="34">F52+H52</f>
        <v>6483.8174999999992</v>
      </c>
      <c r="K52" s="35" t="s">
        <v>618</v>
      </c>
      <c r="L52" s="3"/>
      <c r="N52" s="30">
        <f>1511.1+3.05</f>
        <v>1514.1499999999999</v>
      </c>
      <c r="O52" s="31">
        <f t="shared" ref="O52:O54" si="35">$O$1</f>
        <v>1.1499999999999999</v>
      </c>
      <c r="P52" s="32">
        <f t="shared" ref="P52:P54" si="36">SUM(O52*N52)</f>
        <v>1741.2724999999998</v>
      </c>
      <c r="Q52" s="29"/>
      <c r="R52" s="29"/>
      <c r="S52" s="33">
        <v>350</v>
      </c>
      <c r="T52" s="34">
        <f t="shared" ref="T52:T54" si="37">$T$1</f>
        <v>1.2</v>
      </c>
      <c r="U52" s="33">
        <f t="shared" ref="U52:U54" si="38">SUM(T52*S52)</f>
        <v>420</v>
      </c>
      <c r="Y52">
        <f t="shared" si="0"/>
        <v>4542.45</v>
      </c>
      <c r="AA52">
        <f t="shared" si="1"/>
        <v>1050</v>
      </c>
    </row>
    <row r="53" spans="1:27">
      <c r="A53" s="6" t="s">
        <v>117</v>
      </c>
      <c r="B53" s="6" t="s">
        <v>118</v>
      </c>
      <c r="C53" s="6" t="s">
        <v>65</v>
      </c>
      <c r="D53" s="11">
        <v>1</v>
      </c>
      <c r="E53" s="11">
        <f t="shared" si="29"/>
        <v>1831.9385</v>
      </c>
      <c r="F53" s="11">
        <f t="shared" si="30"/>
        <v>1831.9385</v>
      </c>
      <c r="G53" s="11">
        <f t="shared" si="31"/>
        <v>420</v>
      </c>
      <c r="H53" s="11">
        <f t="shared" si="32"/>
        <v>420</v>
      </c>
      <c r="I53" s="11">
        <f t="shared" si="33"/>
        <v>2251.9385000000002</v>
      </c>
      <c r="J53" s="11">
        <f t="shared" si="34"/>
        <v>2251.9385000000002</v>
      </c>
      <c r="K53" s="35" t="s">
        <v>618</v>
      </c>
      <c r="L53" s="3"/>
      <c r="N53" s="30">
        <f>1589.94+3.05</f>
        <v>1592.99</v>
      </c>
      <c r="O53" s="31">
        <f t="shared" si="35"/>
        <v>1.1499999999999999</v>
      </c>
      <c r="P53" s="32">
        <f t="shared" si="36"/>
        <v>1831.9385</v>
      </c>
      <c r="Q53" s="29"/>
      <c r="R53" s="29"/>
      <c r="S53" s="33">
        <v>350</v>
      </c>
      <c r="T53" s="34">
        <f t="shared" si="37"/>
        <v>1.2</v>
      </c>
      <c r="U53" s="33">
        <f t="shared" si="38"/>
        <v>420</v>
      </c>
      <c r="Y53">
        <f t="shared" si="0"/>
        <v>1592.99</v>
      </c>
      <c r="AA53">
        <f t="shared" si="1"/>
        <v>350</v>
      </c>
    </row>
    <row r="54" spans="1:27">
      <c r="A54" s="6" t="s">
        <v>119</v>
      </c>
      <c r="B54" s="6" t="s">
        <v>120</v>
      </c>
      <c r="C54" s="6" t="s">
        <v>65</v>
      </c>
      <c r="D54" s="11">
        <v>2</v>
      </c>
      <c r="E54" s="11">
        <f t="shared" si="29"/>
        <v>1937.7154999999998</v>
      </c>
      <c r="F54" s="11">
        <f t="shared" si="30"/>
        <v>3875.4309999999996</v>
      </c>
      <c r="G54" s="11">
        <f t="shared" si="31"/>
        <v>420</v>
      </c>
      <c r="H54" s="11">
        <f t="shared" si="32"/>
        <v>840</v>
      </c>
      <c r="I54" s="11">
        <f t="shared" si="33"/>
        <v>2357.7154999999998</v>
      </c>
      <c r="J54" s="11">
        <f t="shared" si="34"/>
        <v>4715.4309999999996</v>
      </c>
      <c r="K54" s="35" t="s">
        <v>618</v>
      </c>
      <c r="L54" s="3"/>
      <c r="N54" s="30">
        <f>1681.92+3.05</f>
        <v>1684.97</v>
      </c>
      <c r="O54" s="31">
        <f t="shared" si="35"/>
        <v>1.1499999999999999</v>
      </c>
      <c r="P54" s="32">
        <f t="shared" si="36"/>
        <v>1937.7154999999998</v>
      </c>
      <c r="Q54" s="29"/>
      <c r="R54" s="29"/>
      <c r="S54" s="33">
        <v>350</v>
      </c>
      <c r="T54" s="34">
        <f t="shared" si="37"/>
        <v>1.2</v>
      </c>
      <c r="U54" s="33">
        <f t="shared" si="38"/>
        <v>420</v>
      </c>
      <c r="Y54">
        <f t="shared" si="0"/>
        <v>3369.94</v>
      </c>
      <c r="AA54">
        <f t="shared" si="1"/>
        <v>700</v>
      </c>
    </row>
    <row r="55" spans="1:27">
      <c r="A55" s="15" t="s">
        <v>121</v>
      </c>
      <c r="B55" s="15" t="s">
        <v>122</v>
      </c>
      <c r="C55" s="15" t="s">
        <v>15</v>
      </c>
      <c r="D55" s="16"/>
      <c r="E55" s="16"/>
      <c r="F55" s="16"/>
      <c r="G55" s="16"/>
      <c r="H55" s="16"/>
      <c r="I55" s="16"/>
      <c r="J55" s="16"/>
      <c r="K55" s="35"/>
      <c r="L55" s="3"/>
      <c r="Y55">
        <f t="shared" si="0"/>
        <v>0</v>
      </c>
      <c r="AA55">
        <f t="shared" si="1"/>
        <v>0</v>
      </c>
    </row>
    <row r="56" spans="1:27">
      <c r="A56" s="6" t="s">
        <v>123</v>
      </c>
      <c r="B56" s="6" t="s">
        <v>124</v>
      </c>
      <c r="C56" s="6" t="s">
        <v>65</v>
      </c>
      <c r="D56" s="11">
        <v>6</v>
      </c>
      <c r="E56" s="11">
        <f t="shared" ref="E56:E58" si="39">SUM(P56)</f>
        <v>1962.4749999999999</v>
      </c>
      <c r="F56" s="11">
        <f t="shared" ref="F56:F58" si="40">D56*E56</f>
        <v>11774.849999999999</v>
      </c>
      <c r="G56" s="11">
        <f t="shared" ref="G56:G58" si="41">SUM(U56)</f>
        <v>228</v>
      </c>
      <c r="H56" s="11">
        <f t="shared" ref="H56:H58" si="42">D56*G56</f>
        <v>1368</v>
      </c>
      <c r="I56" s="11">
        <f t="shared" ref="I56:I58" si="43">E56+G56</f>
        <v>2190.4749999999999</v>
      </c>
      <c r="J56" s="11">
        <f t="shared" ref="J56:J58" si="44">F56+H56</f>
        <v>13142.849999999999</v>
      </c>
      <c r="K56" s="35"/>
      <c r="L56" s="3"/>
      <c r="N56" s="30">
        <v>1706.5</v>
      </c>
      <c r="O56" s="31">
        <f t="shared" ref="O56:O58" si="45">$O$1</f>
        <v>1.1499999999999999</v>
      </c>
      <c r="P56" s="32">
        <f t="shared" ref="P56:P58" si="46">SUM(O56*N56)</f>
        <v>1962.4749999999999</v>
      </c>
      <c r="Q56" s="29"/>
      <c r="R56" s="29"/>
      <c r="S56" s="33">
        <v>190</v>
      </c>
      <c r="T56" s="34">
        <f t="shared" ref="T56:T58" si="47">$T$1</f>
        <v>1.2</v>
      </c>
      <c r="U56" s="33">
        <f t="shared" ref="U56:U58" si="48">SUM(T56*S56)</f>
        <v>228</v>
      </c>
      <c r="Y56">
        <f t="shared" si="0"/>
        <v>10239</v>
      </c>
      <c r="AA56">
        <f t="shared" si="1"/>
        <v>1140</v>
      </c>
    </row>
    <row r="57" spans="1:27">
      <c r="A57" s="6" t="s">
        <v>125</v>
      </c>
      <c r="B57" s="6" t="s">
        <v>126</v>
      </c>
      <c r="C57" s="6" t="s">
        <v>65</v>
      </c>
      <c r="D57" s="11">
        <v>1</v>
      </c>
      <c r="E57" s="11">
        <f t="shared" si="39"/>
        <v>5067.1530000000002</v>
      </c>
      <c r="F57" s="11">
        <f t="shared" si="40"/>
        <v>5067.1530000000002</v>
      </c>
      <c r="G57" s="11">
        <f t="shared" si="41"/>
        <v>660</v>
      </c>
      <c r="H57" s="11">
        <f t="shared" si="42"/>
        <v>660</v>
      </c>
      <c r="I57" s="11">
        <f t="shared" si="43"/>
        <v>5727.1530000000002</v>
      </c>
      <c r="J57" s="11">
        <f t="shared" si="44"/>
        <v>5727.1530000000002</v>
      </c>
      <c r="K57" s="35"/>
      <c r="L57" s="3"/>
      <c r="N57" s="30">
        <f>3361.02+1045.2</f>
        <v>4406.22</v>
      </c>
      <c r="O57" s="31">
        <f t="shared" si="45"/>
        <v>1.1499999999999999</v>
      </c>
      <c r="P57" s="32">
        <f t="shared" si="46"/>
        <v>5067.1530000000002</v>
      </c>
      <c r="Q57" s="29"/>
      <c r="R57" s="29"/>
      <c r="S57" s="33">
        <v>550</v>
      </c>
      <c r="T57" s="34">
        <f t="shared" si="47"/>
        <v>1.2</v>
      </c>
      <c r="U57" s="33">
        <f t="shared" si="48"/>
        <v>660</v>
      </c>
      <c r="Y57">
        <f t="shared" si="0"/>
        <v>4406.22</v>
      </c>
      <c r="AA57">
        <f t="shared" si="1"/>
        <v>550</v>
      </c>
    </row>
    <row r="58" spans="1:27">
      <c r="A58" s="6" t="s">
        <v>127</v>
      </c>
      <c r="B58" s="6" t="s">
        <v>128</v>
      </c>
      <c r="C58" s="6" t="s">
        <v>65</v>
      </c>
      <c r="D58" s="11">
        <v>1</v>
      </c>
      <c r="E58" s="11">
        <f t="shared" si="39"/>
        <v>0</v>
      </c>
      <c r="F58" s="11">
        <f t="shared" si="40"/>
        <v>0</v>
      </c>
      <c r="G58" s="11">
        <f t="shared" si="41"/>
        <v>0</v>
      </c>
      <c r="H58" s="11">
        <f t="shared" si="42"/>
        <v>0</v>
      </c>
      <c r="I58" s="11">
        <f t="shared" si="43"/>
        <v>0</v>
      </c>
      <c r="J58" s="11">
        <f t="shared" si="44"/>
        <v>0</v>
      </c>
      <c r="K58" s="35" t="s">
        <v>619</v>
      </c>
      <c r="L58" s="3"/>
      <c r="N58" s="30"/>
      <c r="O58" s="31">
        <f t="shared" si="45"/>
        <v>1.1499999999999999</v>
      </c>
      <c r="P58" s="32">
        <f t="shared" si="46"/>
        <v>0</v>
      </c>
      <c r="Q58" s="29"/>
      <c r="R58" s="29"/>
      <c r="S58" s="33">
        <v>0</v>
      </c>
      <c r="T58" s="34">
        <f t="shared" si="47"/>
        <v>1.2</v>
      </c>
      <c r="U58" s="33">
        <f t="shared" si="48"/>
        <v>0</v>
      </c>
      <c r="Y58">
        <f t="shared" si="0"/>
        <v>0</v>
      </c>
      <c r="AA58">
        <f t="shared" si="1"/>
        <v>0</v>
      </c>
    </row>
    <row r="59" spans="1:27">
      <c r="A59" s="15" t="s">
        <v>129</v>
      </c>
      <c r="B59" s="15" t="s">
        <v>130</v>
      </c>
      <c r="C59" s="15" t="s">
        <v>15</v>
      </c>
      <c r="D59" s="16"/>
      <c r="E59" s="16"/>
      <c r="F59" s="16"/>
      <c r="G59" s="16"/>
      <c r="H59" s="16"/>
      <c r="I59" s="16"/>
      <c r="J59" s="16"/>
      <c r="K59" s="35"/>
      <c r="L59" s="3"/>
      <c r="Y59">
        <f t="shared" si="0"/>
        <v>0</v>
      </c>
      <c r="AA59">
        <f t="shared" si="1"/>
        <v>0</v>
      </c>
    </row>
    <row r="60" spans="1:27">
      <c r="A60" s="6" t="s">
        <v>131</v>
      </c>
      <c r="B60" s="6" t="s">
        <v>132</v>
      </c>
      <c r="C60" s="6" t="s">
        <v>65</v>
      </c>
      <c r="D60" s="11">
        <v>2</v>
      </c>
      <c r="E60" s="11">
        <f t="shared" ref="E60:E65" si="49">SUM(P60)</f>
        <v>638.85949999999991</v>
      </c>
      <c r="F60" s="11">
        <f t="shared" ref="F60:F65" si="50">D60*E60</f>
        <v>1277.7189999999998</v>
      </c>
      <c r="G60" s="11">
        <f t="shared" ref="G60:G65" si="51">SUM(U60)</f>
        <v>600</v>
      </c>
      <c r="H60" s="11">
        <f t="shared" ref="H60:H65" si="52">D60*G60</f>
        <v>1200</v>
      </c>
      <c r="I60" s="11">
        <f t="shared" ref="I60:I65" si="53">E60+G60</f>
        <v>1238.8595</v>
      </c>
      <c r="J60" s="11">
        <f t="shared" ref="J60:J65" si="54">F60+H60</f>
        <v>2477.7190000000001</v>
      </c>
      <c r="K60" s="35"/>
      <c r="L60" s="3"/>
      <c r="N60" s="30">
        <v>555.53</v>
      </c>
      <c r="O60" s="31">
        <f t="shared" ref="O60:O65" si="55">$O$1</f>
        <v>1.1499999999999999</v>
      </c>
      <c r="P60" s="32">
        <f t="shared" ref="P60:P65" si="56">SUM(O60*N60)</f>
        <v>638.85949999999991</v>
      </c>
      <c r="Q60" s="29"/>
      <c r="R60" s="29"/>
      <c r="S60" s="33">
        <v>500</v>
      </c>
      <c r="T60" s="34">
        <f t="shared" ref="T60:T65" si="57">$T$1</f>
        <v>1.2</v>
      </c>
      <c r="U60" s="33">
        <f t="shared" ref="U60:U65" si="58">SUM(T60*S60)</f>
        <v>600</v>
      </c>
      <c r="Y60">
        <f t="shared" si="0"/>
        <v>1111.06</v>
      </c>
      <c r="AA60">
        <f t="shared" si="1"/>
        <v>1000</v>
      </c>
    </row>
    <row r="61" spans="1:27">
      <c r="A61" s="6" t="s">
        <v>133</v>
      </c>
      <c r="B61" s="6" t="s">
        <v>134</v>
      </c>
      <c r="C61" s="6" t="s">
        <v>65</v>
      </c>
      <c r="D61" s="11">
        <v>1</v>
      </c>
      <c r="E61" s="11">
        <f t="shared" si="49"/>
        <v>988.0915</v>
      </c>
      <c r="F61" s="11">
        <f t="shared" si="50"/>
        <v>988.0915</v>
      </c>
      <c r="G61" s="11">
        <f t="shared" si="51"/>
        <v>720</v>
      </c>
      <c r="H61" s="11">
        <f t="shared" si="52"/>
        <v>720</v>
      </c>
      <c r="I61" s="11">
        <f t="shared" si="53"/>
        <v>1708.0915</v>
      </c>
      <c r="J61" s="11">
        <f t="shared" si="54"/>
        <v>1708.0915</v>
      </c>
      <c r="K61" s="35"/>
      <c r="L61" s="3"/>
      <c r="N61" s="30">
        <v>859.21</v>
      </c>
      <c r="O61" s="31">
        <f t="shared" si="55"/>
        <v>1.1499999999999999</v>
      </c>
      <c r="P61" s="32">
        <f t="shared" si="56"/>
        <v>988.0915</v>
      </c>
      <c r="Q61" s="29"/>
      <c r="R61" s="29"/>
      <c r="S61" s="33">
        <v>600</v>
      </c>
      <c r="T61" s="34">
        <f t="shared" si="57"/>
        <v>1.2</v>
      </c>
      <c r="U61" s="33">
        <f t="shared" si="58"/>
        <v>720</v>
      </c>
      <c r="Y61">
        <f t="shared" si="0"/>
        <v>859.21</v>
      </c>
      <c r="AA61">
        <f t="shared" si="1"/>
        <v>600</v>
      </c>
    </row>
    <row r="62" spans="1:27">
      <c r="A62" s="6" t="s">
        <v>135</v>
      </c>
      <c r="B62" s="6" t="s">
        <v>136</v>
      </c>
      <c r="C62" s="6" t="s">
        <v>65</v>
      </c>
      <c r="D62" s="11">
        <v>1</v>
      </c>
      <c r="E62" s="11">
        <f t="shared" si="49"/>
        <v>1396.9279999999999</v>
      </c>
      <c r="F62" s="11">
        <f t="shared" si="50"/>
        <v>1396.9279999999999</v>
      </c>
      <c r="G62" s="11">
        <f t="shared" si="51"/>
        <v>960</v>
      </c>
      <c r="H62" s="11">
        <f t="shared" si="52"/>
        <v>960</v>
      </c>
      <c r="I62" s="11">
        <f t="shared" si="53"/>
        <v>2356.9279999999999</v>
      </c>
      <c r="J62" s="11">
        <f t="shared" si="54"/>
        <v>2356.9279999999999</v>
      </c>
      <c r="K62" s="35"/>
      <c r="L62" s="3"/>
      <c r="N62" s="30">
        <v>1214.72</v>
      </c>
      <c r="O62" s="31">
        <f t="shared" si="55"/>
        <v>1.1499999999999999</v>
      </c>
      <c r="P62" s="32">
        <f t="shared" si="56"/>
        <v>1396.9279999999999</v>
      </c>
      <c r="Q62" s="29"/>
      <c r="R62" s="29"/>
      <c r="S62" s="33">
        <v>800</v>
      </c>
      <c r="T62" s="34">
        <f t="shared" si="57"/>
        <v>1.2</v>
      </c>
      <c r="U62" s="33">
        <f t="shared" si="58"/>
        <v>960</v>
      </c>
      <c r="Y62">
        <f t="shared" si="0"/>
        <v>1214.72</v>
      </c>
      <c r="AA62">
        <f t="shared" si="1"/>
        <v>800</v>
      </c>
    </row>
    <row r="63" spans="1:27">
      <c r="A63" s="6" t="s">
        <v>137</v>
      </c>
      <c r="B63" s="6" t="s">
        <v>138</v>
      </c>
      <c r="C63" s="6" t="s">
        <v>65</v>
      </c>
      <c r="D63" s="11">
        <v>1</v>
      </c>
      <c r="E63" s="11">
        <f t="shared" si="49"/>
        <v>3112.0264999999999</v>
      </c>
      <c r="F63" s="11">
        <f t="shared" si="50"/>
        <v>3112.0264999999999</v>
      </c>
      <c r="G63" s="11">
        <f t="shared" si="51"/>
        <v>960</v>
      </c>
      <c r="H63" s="11">
        <f t="shared" si="52"/>
        <v>960</v>
      </c>
      <c r="I63" s="11">
        <f t="shared" si="53"/>
        <v>4072.0264999999999</v>
      </c>
      <c r="J63" s="11">
        <f t="shared" si="54"/>
        <v>4072.0264999999999</v>
      </c>
      <c r="K63" s="35"/>
      <c r="L63" s="3"/>
      <c r="N63" s="30">
        <v>2706.11</v>
      </c>
      <c r="O63" s="31">
        <f t="shared" si="55"/>
        <v>1.1499999999999999</v>
      </c>
      <c r="P63" s="32">
        <f t="shared" si="56"/>
        <v>3112.0264999999999</v>
      </c>
      <c r="Q63" s="29"/>
      <c r="R63" s="29"/>
      <c r="S63" s="33">
        <v>800</v>
      </c>
      <c r="T63" s="34">
        <f t="shared" si="57"/>
        <v>1.2</v>
      </c>
      <c r="U63" s="33">
        <f t="shared" si="58"/>
        <v>960</v>
      </c>
      <c r="Y63">
        <f t="shared" si="0"/>
        <v>2706.11</v>
      </c>
      <c r="AA63">
        <f t="shared" si="1"/>
        <v>800</v>
      </c>
    </row>
    <row r="64" spans="1:27">
      <c r="A64" s="6" t="s">
        <v>139</v>
      </c>
      <c r="B64" s="6" t="s">
        <v>140</v>
      </c>
      <c r="C64" s="6" t="s">
        <v>65</v>
      </c>
      <c r="D64" s="11">
        <v>1</v>
      </c>
      <c r="E64" s="11">
        <f t="shared" si="49"/>
        <v>4967.3214999999991</v>
      </c>
      <c r="F64" s="11">
        <f t="shared" si="50"/>
        <v>4967.3214999999991</v>
      </c>
      <c r="G64" s="11">
        <f t="shared" si="51"/>
        <v>1224</v>
      </c>
      <c r="H64" s="11">
        <f t="shared" si="52"/>
        <v>1224</v>
      </c>
      <c r="I64" s="11">
        <f t="shared" si="53"/>
        <v>6191.3214999999991</v>
      </c>
      <c r="J64" s="11">
        <f t="shared" si="54"/>
        <v>6191.3214999999991</v>
      </c>
      <c r="K64" s="35"/>
      <c r="L64" s="3"/>
      <c r="N64" s="30">
        <v>4319.41</v>
      </c>
      <c r="O64" s="31">
        <f t="shared" si="55"/>
        <v>1.1499999999999999</v>
      </c>
      <c r="P64" s="32">
        <f t="shared" si="56"/>
        <v>4967.3214999999991</v>
      </c>
      <c r="Q64" s="29"/>
      <c r="R64" s="29"/>
      <c r="S64" s="33">
        <v>1020</v>
      </c>
      <c r="T64" s="34">
        <f t="shared" si="57"/>
        <v>1.2</v>
      </c>
      <c r="U64" s="33">
        <f t="shared" si="58"/>
        <v>1224</v>
      </c>
      <c r="Y64">
        <f t="shared" si="0"/>
        <v>4319.41</v>
      </c>
      <c r="AA64">
        <f t="shared" si="1"/>
        <v>1020</v>
      </c>
    </row>
    <row r="65" spans="1:27">
      <c r="A65" s="6" t="s">
        <v>141</v>
      </c>
      <c r="B65" s="6" t="s">
        <v>142</v>
      </c>
      <c r="C65" s="6" t="s">
        <v>65</v>
      </c>
      <c r="D65" s="11">
        <v>1</v>
      </c>
      <c r="E65" s="11">
        <f t="shared" si="49"/>
        <v>1339.8419999999999</v>
      </c>
      <c r="F65" s="11">
        <f t="shared" si="50"/>
        <v>1339.8419999999999</v>
      </c>
      <c r="G65" s="11">
        <f t="shared" si="51"/>
        <v>960</v>
      </c>
      <c r="H65" s="11">
        <f t="shared" si="52"/>
        <v>960</v>
      </c>
      <c r="I65" s="11">
        <f t="shared" si="53"/>
        <v>2299.8419999999996</v>
      </c>
      <c r="J65" s="11">
        <f t="shared" si="54"/>
        <v>2299.8419999999996</v>
      </c>
      <c r="K65" s="35"/>
      <c r="L65" s="3"/>
      <c r="N65" s="30">
        <v>1165.08</v>
      </c>
      <c r="O65" s="31">
        <f t="shared" si="55"/>
        <v>1.1499999999999999</v>
      </c>
      <c r="P65" s="32">
        <f t="shared" si="56"/>
        <v>1339.8419999999999</v>
      </c>
      <c r="Q65" s="29"/>
      <c r="R65" s="29"/>
      <c r="S65" s="33">
        <v>800</v>
      </c>
      <c r="T65" s="34">
        <f t="shared" si="57"/>
        <v>1.2</v>
      </c>
      <c r="U65" s="33">
        <f t="shared" si="58"/>
        <v>960</v>
      </c>
      <c r="Y65">
        <f t="shared" si="0"/>
        <v>1165.08</v>
      </c>
      <c r="AA65">
        <f t="shared" si="1"/>
        <v>800</v>
      </c>
    </row>
    <row r="66" spans="1:27">
      <c r="A66" s="7" t="s">
        <v>15</v>
      </c>
      <c r="B66" s="7" t="s">
        <v>143</v>
      </c>
      <c r="C66" s="7" t="s">
        <v>15</v>
      </c>
      <c r="D66" s="14"/>
      <c r="E66" s="14"/>
      <c r="F66" s="14">
        <f>SUM(F51:F65)</f>
        <v>40855.11849999999</v>
      </c>
      <c r="G66" s="14"/>
      <c r="H66" s="14">
        <f>SUM(H51:H65)</f>
        <v>10572</v>
      </c>
      <c r="I66" s="14"/>
      <c r="J66" s="14">
        <f>SUM(J51:J65)</f>
        <v>51427.11849999999</v>
      </c>
      <c r="K66" s="35"/>
      <c r="L66" s="3"/>
      <c r="Y66">
        <f t="shared" si="0"/>
        <v>0</v>
      </c>
      <c r="AA66">
        <f t="shared" si="1"/>
        <v>0</v>
      </c>
    </row>
    <row r="67" spans="1:27">
      <c r="A67" s="6" t="s">
        <v>15</v>
      </c>
      <c r="B67" s="6" t="s">
        <v>15</v>
      </c>
      <c r="C67" s="6" t="s">
        <v>15</v>
      </c>
      <c r="D67" s="11"/>
      <c r="E67" s="11"/>
      <c r="F67" s="11"/>
      <c r="G67" s="11"/>
      <c r="H67" s="11"/>
      <c r="I67" s="11">
        <f>E67+G67</f>
        <v>0</v>
      </c>
      <c r="J67" s="11">
        <f>F67+H67</f>
        <v>0</v>
      </c>
      <c r="K67" s="35"/>
      <c r="L67" s="3"/>
      <c r="Y67">
        <f t="shared" si="0"/>
        <v>0</v>
      </c>
      <c r="AA67">
        <f t="shared" si="1"/>
        <v>0</v>
      </c>
    </row>
    <row r="68" spans="1:27">
      <c r="A68" s="7" t="s">
        <v>15</v>
      </c>
      <c r="B68" s="7" t="s">
        <v>144</v>
      </c>
      <c r="C68" s="7" t="s">
        <v>15</v>
      </c>
      <c r="D68" s="14"/>
      <c r="E68" s="14"/>
      <c r="F68" s="14"/>
      <c r="G68" s="14"/>
      <c r="H68" s="14"/>
      <c r="I68" s="14"/>
      <c r="J68" s="14"/>
      <c r="K68" s="35"/>
      <c r="L68" s="3"/>
      <c r="Y68">
        <f t="shared" si="0"/>
        <v>0</v>
      </c>
      <c r="AA68">
        <f t="shared" si="1"/>
        <v>0</v>
      </c>
    </row>
    <row r="69" spans="1:27">
      <c r="A69" s="15" t="s">
        <v>145</v>
      </c>
      <c r="B69" s="15" t="s">
        <v>146</v>
      </c>
      <c r="C69" s="15" t="s">
        <v>15</v>
      </c>
      <c r="D69" s="16"/>
      <c r="E69" s="16"/>
      <c r="F69" s="16"/>
      <c r="G69" s="16"/>
      <c r="H69" s="16"/>
      <c r="I69" s="16"/>
      <c r="J69" s="16"/>
      <c r="K69" s="35"/>
      <c r="L69" s="3"/>
      <c r="Y69">
        <f t="shared" si="0"/>
        <v>0</v>
      </c>
      <c r="AA69">
        <f t="shared" si="1"/>
        <v>0</v>
      </c>
    </row>
    <row r="70" spans="1:27">
      <c r="A70" s="6" t="s">
        <v>147</v>
      </c>
      <c r="B70" s="6" t="s">
        <v>148</v>
      </c>
      <c r="C70" s="6" t="s">
        <v>65</v>
      </c>
      <c r="D70" s="11">
        <v>20</v>
      </c>
      <c r="E70" s="11">
        <f t="shared" ref="E70:E72" si="59">SUM(P70)</f>
        <v>2265.5</v>
      </c>
      <c r="F70" s="11">
        <f t="shared" ref="F70:F72" si="60">D70*E70</f>
        <v>45310</v>
      </c>
      <c r="G70" s="11">
        <f t="shared" ref="G70:G72" si="61">SUM(U70)</f>
        <v>900</v>
      </c>
      <c r="H70" s="11">
        <f t="shared" ref="H70:H72" si="62">D70*G70</f>
        <v>18000</v>
      </c>
      <c r="I70" s="11">
        <f t="shared" ref="I70:I72" si="63">E70+G70</f>
        <v>3165.5</v>
      </c>
      <c r="J70" s="11">
        <f t="shared" ref="J70:J72" si="64">F70+H70</f>
        <v>63310</v>
      </c>
      <c r="K70" s="35"/>
      <c r="L70" s="3"/>
      <c r="N70" s="30">
        <f>690+490+790</f>
        <v>1970</v>
      </c>
      <c r="O70" s="31">
        <f t="shared" ref="O70:O72" si="65">$O$1</f>
        <v>1.1499999999999999</v>
      </c>
      <c r="P70" s="32">
        <f t="shared" ref="P70:P72" si="66">SUM(O70*N70)</f>
        <v>2265.5</v>
      </c>
      <c r="Q70" s="29"/>
      <c r="R70" s="29"/>
      <c r="S70" s="33">
        <v>750</v>
      </c>
      <c r="T70" s="34">
        <f t="shared" ref="T70:T72" si="67">$T$1</f>
        <v>1.2</v>
      </c>
      <c r="U70" s="33">
        <f t="shared" ref="U70:U72" si="68">SUM(T70*S70)</f>
        <v>900</v>
      </c>
      <c r="Y70">
        <f t="shared" si="0"/>
        <v>39400</v>
      </c>
      <c r="AA70">
        <f t="shared" si="1"/>
        <v>15000</v>
      </c>
    </row>
    <row r="71" spans="1:27">
      <c r="A71" s="6" t="s">
        <v>149</v>
      </c>
      <c r="B71" s="6" t="s">
        <v>150</v>
      </c>
      <c r="C71" s="6" t="s">
        <v>65</v>
      </c>
      <c r="D71" s="11">
        <v>142</v>
      </c>
      <c r="E71" s="11">
        <f t="shared" si="59"/>
        <v>62.099999999999994</v>
      </c>
      <c r="F71" s="11">
        <f t="shared" si="60"/>
        <v>8818.1999999999989</v>
      </c>
      <c r="G71" s="11">
        <f t="shared" si="61"/>
        <v>108</v>
      </c>
      <c r="H71" s="11">
        <f t="shared" si="62"/>
        <v>15336</v>
      </c>
      <c r="I71" s="11">
        <f t="shared" si="63"/>
        <v>170.1</v>
      </c>
      <c r="J71" s="11">
        <f t="shared" si="64"/>
        <v>24154.199999999997</v>
      </c>
      <c r="K71" s="35"/>
      <c r="L71" s="3"/>
      <c r="N71" s="30">
        <v>54</v>
      </c>
      <c r="O71" s="31">
        <f t="shared" si="65"/>
        <v>1.1499999999999999</v>
      </c>
      <c r="P71" s="32">
        <f t="shared" si="66"/>
        <v>62.099999999999994</v>
      </c>
      <c r="Q71" s="29"/>
      <c r="R71" s="29"/>
      <c r="S71" s="33">
        <v>90</v>
      </c>
      <c r="T71" s="34">
        <f t="shared" si="67"/>
        <v>1.2</v>
      </c>
      <c r="U71" s="33">
        <f t="shared" si="68"/>
        <v>108</v>
      </c>
      <c r="Y71">
        <f t="shared" si="0"/>
        <v>7668</v>
      </c>
      <c r="AA71">
        <f t="shared" si="1"/>
        <v>12780</v>
      </c>
    </row>
    <row r="72" spans="1:27">
      <c r="A72" s="6" t="s">
        <v>151</v>
      </c>
      <c r="B72" s="6" t="s">
        <v>152</v>
      </c>
      <c r="C72" s="6" t="s">
        <v>65</v>
      </c>
      <c r="D72" s="11">
        <v>20</v>
      </c>
      <c r="E72" s="11">
        <f t="shared" si="59"/>
        <v>678.5</v>
      </c>
      <c r="F72" s="11">
        <f t="shared" si="60"/>
        <v>13570</v>
      </c>
      <c r="G72" s="11">
        <f t="shared" si="61"/>
        <v>108</v>
      </c>
      <c r="H72" s="11">
        <f t="shared" si="62"/>
        <v>2160</v>
      </c>
      <c r="I72" s="11">
        <f t="shared" si="63"/>
        <v>786.5</v>
      </c>
      <c r="J72" s="11">
        <f t="shared" si="64"/>
        <v>15730</v>
      </c>
      <c r="K72" s="35"/>
      <c r="L72" s="3"/>
      <c r="N72" s="30">
        <v>590</v>
      </c>
      <c r="O72" s="31">
        <f t="shared" si="65"/>
        <v>1.1499999999999999</v>
      </c>
      <c r="P72" s="32">
        <f t="shared" si="66"/>
        <v>678.5</v>
      </c>
      <c r="Q72" s="29"/>
      <c r="R72" s="29"/>
      <c r="S72" s="33">
        <v>90</v>
      </c>
      <c r="T72" s="34">
        <f t="shared" si="67"/>
        <v>1.2</v>
      </c>
      <c r="U72" s="33">
        <f t="shared" si="68"/>
        <v>108</v>
      </c>
      <c r="Y72">
        <f t="shared" si="0"/>
        <v>11800</v>
      </c>
      <c r="AA72">
        <f t="shared" si="1"/>
        <v>1800</v>
      </c>
    </row>
    <row r="73" spans="1:27">
      <c r="A73" s="15" t="s">
        <v>153</v>
      </c>
      <c r="B73" s="15" t="s">
        <v>154</v>
      </c>
      <c r="C73" s="15" t="s">
        <v>15</v>
      </c>
      <c r="D73" s="16"/>
      <c r="E73" s="16"/>
      <c r="F73" s="16"/>
      <c r="G73" s="16"/>
      <c r="H73" s="16"/>
      <c r="I73" s="16"/>
      <c r="J73" s="16"/>
      <c r="K73" s="35"/>
      <c r="L73" s="3"/>
      <c r="Y73">
        <f t="shared" ref="Y73:Y136" si="69">SUM(N73*D73)</f>
        <v>0</v>
      </c>
      <c r="AA73">
        <f t="shared" ref="AA73:AA136" si="70">SUM(S73*D73)</f>
        <v>0</v>
      </c>
    </row>
    <row r="74" spans="1:27">
      <c r="A74" s="6" t="s">
        <v>155</v>
      </c>
      <c r="B74" s="6" t="s">
        <v>156</v>
      </c>
      <c r="C74" s="6" t="s">
        <v>65</v>
      </c>
      <c r="D74" s="11">
        <v>4</v>
      </c>
      <c r="E74" s="11">
        <f>SUM(P74)</f>
        <v>296.43664999999999</v>
      </c>
      <c r="F74" s="11">
        <f>D74*E74</f>
        <v>1185.7465999999999</v>
      </c>
      <c r="G74" s="11">
        <f>SUM(U74)</f>
        <v>108</v>
      </c>
      <c r="H74" s="11">
        <f>D74*G74</f>
        <v>432</v>
      </c>
      <c r="I74" s="11">
        <f>E74+G74</f>
        <v>404.43664999999999</v>
      </c>
      <c r="J74" s="11">
        <f>F74+H74</f>
        <v>1617.7465999999999</v>
      </c>
      <c r="K74" s="35"/>
      <c r="L74" s="3"/>
      <c r="N74" s="30">
        <f>163.966+93.805</f>
        <v>257.77100000000002</v>
      </c>
      <c r="O74" s="31">
        <f>$O$1</f>
        <v>1.1499999999999999</v>
      </c>
      <c r="P74" s="32">
        <f>SUM(O74*N74)</f>
        <v>296.43664999999999</v>
      </c>
      <c r="Q74" s="29"/>
      <c r="R74" s="29"/>
      <c r="S74" s="33">
        <v>90</v>
      </c>
      <c r="T74" s="34">
        <f>$T$1</f>
        <v>1.2</v>
      </c>
      <c r="U74" s="33">
        <f>SUM(T74*S74)</f>
        <v>108</v>
      </c>
      <c r="Y74">
        <f t="shared" si="69"/>
        <v>1031.0840000000001</v>
      </c>
      <c r="AA74">
        <f t="shared" si="70"/>
        <v>360</v>
      </c>
    </row>
    <row r="75" spans="1:27">
      <c r="A75" s="15" t="s">
        <v>157</v>
      </c>
      <c r="B75" s="15" t="s">
        <v>158</v>
      </c>
      <c r="C75" s="15" t="s">
        <v>15</v>
      </c>
      <c r="D75" s="16"/>
      <c r="E75" s="16"/>
      <c r="F75" s="16"/>
      <c r="G75" s="16"/>
      <c r="H75" s="16"/>
      <c r="I75" s="16"/>
      <c r="J75" s="16"/>
      <c r="K75" s="35"/>
      <c r="L75" s="3"/>
      <c r="Y75">
        <f t="shared" si="69"/>
        <v>0</v>
      </c>
      <c r="AA75">
        <f t="shared" si="70"/>
        <v>0</v>
      </c>
    </row>
    <row r="76" spans="1:27">
      <c r="A76" s="6" t="s">
        <v>159</v>
      </c>
      <c r="B76" s="6" t="s">
        <v>160</v>
      </c>
      <c r="C76" s="6" t="s">
        <v>65</v>
      </c>
      <c r="D76" s="11">
        <v>21</v>
      </c>
      <c r="E76" s="11">
        <f>SUM(P76)</f>
        <v>235.84889999999999</v>
      </c>
      <c r="F76" s="11">
        <f>D76*E76</f>
        <v>4952.8269</v>
      </c>
      <c r="G76" s="11">
        <f>SUM(U76)</f>
        <v>108</v>
      </c>
      <c r="H76" s="11">
        <f>D76*G76</f>
        <v>2268</v>
      </c>
      <c r="I76" s="11">
        <f>E76+G76</f>
        <v>343.84889999999996</v>
      </c>
      <c r="J76" s="11">
        <f>F76+H76</f>
        <v>7220.8269</v>
      </c>
      <c r="K76" s="35"/>
      <c r="L76" s="3"/>
      <c r="N76" s="30">
        <f>130.042+75.044</f>
        <v>205.08600000000001</v>
      </c>
      <c r="O76" s="31">
        <f>$O$1</f>
        <v>1.1499999999999999</v>
      </c>
      <c r="P76" s="32">
        <f>SUM(O76*N76)</f>
        <v>235.84889999999999</v>
      </c>
      <c r="Q76" s="29"/>
      <c r="R76" s="29"/>
      <c r="S76" s="33">
        <v>90</v>
      </c>
      <c r="T76" s="34">
        <f>$T$1</f>
        <v>1.2</v>
      </c>
      <c r="U76" s="33">
        <f>SUM(T76*S76)</f>
        <v>108</v>
      </c>
      <c r="Y76">
        <f t="shared" si="69"/>
        <v>4306.8060000000005</v>
      </c>
      <c r="AA76">
        <f t="shared" si="70"/>
        <v>1890</v>
      </c>
    </row>
    <row r="77" spans="1:27">
      <c r="A77" s="6" t="s">
        <v>161</v>
      </c>
      <c r="B77" s="6" t="s">
        <v>156</v>
      </c>
      <c r="C77" s="6" t="s">
        <v>65</v>
      </c>
      <c r="D77" s="11">
        <v>11</v>
      </c>
      <c r="E77" s="11">
        <f>SUM(P77)</f>
        <v>436.23179999999996</v>
      </c>
      <c r="F77" s="11">
        <f>D77*E77</f>
        <v>4798.5497999999998</v>
      </c>
      <c r="G77" s="11">
        <f>SUM(U77)</f>
        <v>108</v>
      </c>
      <c r="H77" s="11">
        <f>D77*G77</f>
        <v>1188</v>
      </c>
      <c r="I77" s="11">
        <f>E77+G77</f>
        <v>544.23180000000002</v>
      </c>
      <c r="J77" s="11">
        <f>F77+H77</f>
        <v>5986.5497999999998</v>
      </c>
      <c r="K77" s="35"/>
      <c r="L77" s="3"/>
      <c r="N77" s="30">
        <f>130.042+130.042+119.248</f>
        <v>379.33199999999999</v>
      </c>
      <c r="O77" s="31">
        <f>$O$1</f>
        <v>1.1499999999999999</v>
      </c>
      <c r="P77" s="32">
        <f>SUM(O77*N77)</f>
        <v>436.23179999999996</v>
      </c>
      <c r="Q77" s="29"/>
      <c r="R77" s="29"/>
      <c r="S77" s="33">
        <v>90</v>
      </c>
      <c r="T77" s="34">
        <f>$T$1</f>
        <v>1.2</v>
      </c>
      <c r="U77" s="33">
        <f>SUM(T77*S77)</f>
        <v>108</v>
      </c>
      <c r="Y77">
        <f t="shared" si="69"/>
        <v>4172.652</v>
      </c>
      <c r="AA77">
        <f t="shared" si="70"/>
        <v>990</v>
      </c>
    </row>
    <row r="78" spans="1:27">
      <c r="A78" s="15" t="s">
        <v>162</v>
      </c>
      <c r="B78" s="15" t="s">
        <v>163</v>
      </c>
      <c r="C78" s="15" t="s">
        <v>15</v>
      </c>
      <c r="D78" s="16"/>
      <c r="E78" s="16"/>
      <c r="F78" s="16"/>
      <c r="G78" s="16"/>
      <c r="H78" s="16"/>
      <c r="I78" s="16"/>
      <c r="J78" s="16"/>
      <c r="K78" s="35"/>
      <c r="L78" s="3"/>
      <c r="Y78">
        <f t="shared" si="69"/>
        <v>0</v>
      </c>
      <c r="AA78">
        <f t="shared" si="70"/>
        <v>0</v>
      </c>
    </row>
    <row r="79" spans="1:27">
      <c r="A79" s="6" t="s">
        <v>164</v>
      </c>
      <c r="B79" s="6" t="s">
        <v>160</v>
      </c>
      <c r="C79" s="6" t="s">
        <v>65</v>
      </c>
      <c r="D79" s="11">
        <v>29</v>
      </c>
      <c r="E79" s="11">
        <f>SUM(P79)</f>
        <v>98.122599999999991</v>
      </c>
      <c r="F79" s="11">
        <f>D79*E79</f>
        <v>2845.5553999999997</v>
      </c>
      <c r="G79" s="11">
        <f>SUM(U79)</f>
        <v>108</v>
      </c>
      <c r="H79" s="11">
        <f>D79*G79</f>
        <v>3132</v>
      </c>
      <c r="I79" s="11">
        <f>E79+G79</f>
        <v>206.12259999999998</v>
      </c>
      <c r="J79" s="11">
        <f>F79+H79</f>
        <v>5977.5553999999993</v>
      </c>
      <c r="K79" s="35"/>
      <c r="L79" s="3"/>
      <c r="N79" s="30">
        <v>85.323999999999998</v>
      </c>
      <c r="O79" s="31">
        <f>$O$1</f>
        <v>1.1499999999999999</v>
      </c>
      <c r="P79" s="32">
        <f>SUM(O79*N79)</f>
        <v>98.122599999999991</v>
      </c>
      <c r="Q79" s="29"/>
      <c r="R79" s="29"/>
      <c r="S79" s="33">
        <v>90</v>
      </c>
      <c r="T79" s="34">
        <f>$T$1</f>
        <v>1.2</v>
      </c>
      <c r="U79" s="33">
        <f>SUM(T79*S79)</f>
        <v>108</v>
      </c>
      <c r="Y79">
        <f t="shared" si="69"/>
        <v>2474.3959999999997</v>
      </c>
      <c r="AA79">
        <f t="shared" si="70"/>
        <v>2610</v>
      </c>
    </row>
    <row r="80" spans="1:27">
      <c r="A80" s="15" t="s">
        <v>165</v>
      </c>
      <c r="B80" s="15" t="s">
        <v>166</v>
      </c>
      <c r="C80" s="15" t="s">
        <v>15</v>
      </c>
      <c r="D80" s="16"/>
      <c r="E80" s="16"/>
      <c r="F80" s="16"/>
      <c r="G80" s="16"/>
      <c r="H80" s="16"/>
      <c r="I80" s="16"/>
      <c r="J80" s="16"/>
      <c r="K80" s="35"/>
      <c r="L80" s="3"/>
      <c r="Y80">
        <f t="shared" si="69"/>
        <v>0</v>
      </c>
      <c r="AA80">
        <f t="shared" si="70"/>
        <v>0</v>
      </c>
    </row>
    <row r="81" spans="1:27">
      <c r="A81" s="6" t="s">
        <v>167</v>
      </c>
      <c r="B81" s="6" t="s">
        <v>168</v>
      </c>
      <c r="C81" s="6" t="s">
        <v>65</v>
      </c>
      <c r="D81" s="11">
        <v>1</v>
      </c>
      <c r="E81" s="11">
        <f t="shared" ref="E81:E82" si="71">SUM(P81)</f>
        <v>361.74054999999998</v>
      </c>
      <c r="F81" s="11">
        <f t="shared" ref="F81:F82" si="72">D81*E81</f>
        <v>361.74054999999998</v>
      </c>
      <c r="G81" s="11">
        <f t="shared" ref="G81:G82" si="73">SUM(U81)</f>
        <v>180</v>
      </c>
      <c r="H81" s="11">
        <f t="shared" ref="H81:H82" si="74">D81*G81</f>
        <v>180</v>
      </c>
      <c r="I81" s="11">
        <f t="shared" ref="I81:I82" si="75">E81+G81</f>
        <v>541.74054999999998</v>
      </c>
      <c r="J81" s="11">
        <f t="shared" ref="J81:J82" si="76">F81+H81</f>
        <v>541.74054999999998</v>
      </c>
      <c r="K81" s="35"/>
      <c r="L81" s="3"/>
      <c r="N81" s="30">
        <v>314.55700000000002</v>
      </c>
      <c r="O81" s="31">
        <f t="shared" ref="O81:O82" si="77">$O$1</f>
        <v>1.1499999999999999</v>
      </c>
      <c r="P81" s="32">
        <f t="shared" ref="P81:P82" si="78">SUM(O81*N81)</f>
        <v>361.74054999999998</v>
      </c>
      <c r="Q81" s="29"/>
      <c r="R81" s="29"/>
      <c r="S81" s="33">
        <v>150</v>
      </c>
      <c r="T81" s="34">
        <f t="shared" ref="T81:T82" si="79">$T$1</f>
        <v>1.2</v>
      </c>
      <c r="U81" s="33">
        <f t="shared" ref="U81:U82" si="80">SUM(T81*S81)</f>
        <v>180</v>
      </c>
      <c r="Y81">
        <f t="shared" si="69"/>
        <v>314.55700000000002</v>
      </c>
      <c r="AA81">
        <f t="shared" si="70"/>
        <v>150</v>
      </c>
    </row>
    <row r="82" spans="1:27">
      <c r="A82" s="6" t="s">
        <v>169</v>
      </c>
      <c r="B82" s="6" t="s">
        <v>170</v>
      </c>
      <c r="C82" s="6" t="s">
        <v>65</v>
      </c>
      <c r="D82" s="11">
        <v>10</v>
      </c>
      <c r="E82" s="11">
        <f t="shared" si="71"/>
        <v>112.99669999999999</v>
      </c>
      <c r="F82" s="11">
        <f t="shared" si="72"/>
        <v>1129.9669999999999</v>
      </c>
      <c r="G82" s="11">
        <f t="shared" si="73"/>
        <v>180</v>
      </c>
      <c r="H82" s="11">
        <f t="shared" si="74"/>
        <v>1800</v>
      </c>
      <c r="I82" s="11">
        <f t="shared" si="75"/>
        <v>292.99669999999998</v>
      </c>
      <c r="J82" s="11">
        <f t="shared" si="76"/>
        <v>2929.9669999999996</v>
      </c>
      <c r="K82" s="35"/>
      <c r="L82" s="3"/>
      <c r="N82" s="30">
        <v>98.257999999999996</v>
      </c>
      <c r="O82" s="31">
        <f t="shared" si="77"/>
        <v>1.1499999999999999</v>
      </c>
      <c r="P82" s="32">
        <f t="shared" si="78"/>
        <v>112.99669999999999</v>
      </c>
      <c r="Q82" s="29"/>
      <c r="R82" s="29"/>
      <c r="S82" s="33">
        <v>150</v>
      </c>
      <c r="T82" s="34">
        <f t="shared" si="79"/>
        <v>1.2</v>
      </c>
      <c r="U82" s="33">
        <f t="shared" si="80"/>
        <v>180</v>
      </c>
      <c r="Y82">
        <f t="shared" si="69"/>
        <v>982.57999999999993</v>
      </c>
      <c r="AA82">
        <f t="shared" si="70"/>
        <v>1500</v>
      </c>
    </row>
    <row r="83" spans="1:27">
      <c r="A83" s="15" t="s">
        <v>171</v>
      </c>
      <c r="B83" s="15" t="s">
        <v>172</v>
      </c>
      <c r="C83" s="15" t="s">
        <v>15</v>
      </c>
      <c r="D83" s="17"/>
      <c r="E83" s="17"/>
      <c r="F83" s="17"/>
      <c r="G83" s="17"/>
      <c r="H83" s="17"/>
      <c r="I83" s="17"/>
      <c r="J83" s="17"/>
      <c r="K83" s="35"/>
      <c r="L83" s="3"/>
      <c r="Y83">
        <f t="shared" si="69"/>
        <v>0</v>
      </c>
      <c r="AA83">
        <f t="shared" si="70"/>
        <v>0</v>
      </c>
    </row>
    <row r="84" spans="1:27">
      <c r="A84" s="6" t="s">
        <v>173</v>
      </c>
      <c r="B84" s="6" t="s">
        <v>174</v>
      </c>
      <c r="C84" s="6" t="s">
        <v>65</v>
      </c>
      <c r="D84" s="11">
        <v>1</v>
      </c>
      <c r="E84" s="11">
        <f t="shared" ref="E84:E85" si="81">SUM(P84)</f>
        <v>282.40780000000001</v>
      </c>
      <c r="F84" s="11">
        <f t="shared" ref="F84:F85" si="82">D84*E84</f>
        <v>282.40780000000001</v>
      </c>
      <c r="G84" s="11">
        <f t="shared" ref="G84:G85" si="83">SUM(U84)</f>
        <v>216</v>
      </c>
      <c r="H84" s="11">
        <f t="shared" ref="H84:H85" si="84">D84*G84</f>
        <v>216</v>
      </c>
      <c r="I84" s="11">
        <f t="shared" ref="I84:I85" si="85">E84+G84</f>
        <v>498.40780000000001</v>
      </c>
      <c r="J84" s="11">
        <f t="shared" ref="J84:J85" si="86">F84+H84</f>
        <v>498.40780000000001</v>
      </c>
      <c r="K84" s="35"/>
      <c r="L84" s="3"/>
      <c r="N84" s="30">
        <v>245.572</v>
      </c>
      <c r="O84" s="31">
        <f t="shared" ref="O84:O85" si="87">$O$1</f>
        <v>1.1499999999999999</v>
      </c>
      <c r="P84" s="32">
        <f t="shared" ref="P84:P85" si="88">SUM(O84*N84)</f>
        <v>282.40780000000001</v>
      </c>
      <c r="Q84" s="29"/>
      <c r="R84" s="29"/>
      <c r="S84" s="33">
        <v>180</v>
      </c>
      <c r="T84" s="34">
        <f t="shared" ref="T84:T85" si="89">$T$1</f>
        <v>1.2</v>
      </c>
      <c r="U84" s="33">
        <f t="shared" ref="U84:U85" si="90">SUM(T84*S84)</f>
        <v>216</v>
      </c>
      <c r="Y84">
        <f t="shared" si="69"/>
        <v>245.572</v>
      </c>
      <c r="AA84">
        <f t="shared" si="70"/>
        <v>180</v>
      </c>
    </row>
    <row r="85" spans="1:27">
      <c r="A85" s="6" t="s">
        <v>175</v>
      </c>
      <c r="B85" s="6" t="s">
        <v>176</v>
      </c>
      <c r="C85" s="6" t="s">
        <v>65</v>
      </c>
      <c r="D85" s="11">
        <v>1</v>
      </c>
      <c r="E85" s="11">
        <f t="shared" si="81"/>
        <v>361.74054999999998</v>
      </c>
      <c r="F85" s="11">
        <f t="shared" si="82"/>
        <v>361.74054999999998</v>
      </c>
      <c r="G85" s="11">
        <f t="shared" si="83"/>
        <v>216</v>
      </c>
      <c r="H85" s="11">
        <f t="shared" si="84"/>
        <v>216</v>
      </c>
      <c r="I85" s="11">
        <f t="shared" si="85"/>
        <v>577.74054999999998</v>
      </c>
      <c r="J85" s="11">
        <f t="shared" si="86"/>
        <v>577.74054999999998</v>
      </c>
      <c r="K85" s="35"/>
      <c r="L85" s="3"/>
      <c r="N85" s="30">
        <v>314.55700000000002</v>
      </c>
      <c r="O85" s="31">
        <f t="shared" si="87"/>
        <v>1.1499999999999999</v>
      </c>
      <c r="P85" s="32">
        <f t="shared" si="88"/>
        <v>361.74054999999998</v>
      </c>
      <c r="Q85" s="29"/>
      <c r="R85" s="29"/>
      <c r="S85" s="33">
        <v>180</v>
      </c>
      <c r="T85" s="34">
        <f t="shared" si="89"/>
        <v>1.2</v>
      </c>
      <c r="U85" s="33">
        <f t="shared" si="90"/>
        <v>216</v>
      </c>
      <c r="Y85">
        <f t="shared" si="69"/>
        <v>314.55700000000002</v>
      </c>
      <c r="AA85">
        <f t="shared" si="70"/>
        <v>180</v>
      </c>
    </row>
    <row r="86" spans="1:27">
      <c r="A86" s="15" t="s">
        <v>177</v>
      </c>
      <c r="B86" s="15" t="s">
        <v>178</v>
      </c>
      <c r="C86" s="15" t="s">
        <v>15</v>
      </c>
      <c r="D86" s="17"/>
      <c r="E86" s="17"/>
      <c r="F86" s="17"/>
      <c r="G86" s="17"/>
      <c r="H86" s="17"/>
      <c r="I86" s="17"/>
      <c r="J86" s="17"/>
      <c r="K86" s="35"/>
      <c r="L86" s="3"/>
      <c r="Y86">
        <f t="shared" si="69"/>
        <v>0</v>
      </c>
      <c r="AA86">
        <f t="shared" si="70"/>
        <v>0</v>
      </c>
    </row>
    <row r="87" spans="1:27">
      <c r="A87" s="6" t="s">
        <v>179</v>
      </c>
      <c r="B87" s="6" t="s">
        <v>180</v>
      </c>
      <c r="C87" s="6" t="s">
        <v>65</v>
      </c>
      <c r="D87" s="11">
        <v>2</v>
      </c>
      <c r="E87" s="11">
        <f>SUM(P87)</f>
        <v>509.52819999999997</v>
      </c>
      <c r="F87" s="11">
        <f>D87*E87</f>
        <v>1019.0563999999999</v>
      </c>
      <c r="G87" s="11">
        <f>SUM(U87)</f>
        <v>180</v>
      </c>
      <c r="H87" s="11">
        <f>D87*G87</f>
        <v>360</v>
      </c>
      <c r="I87" s="11">
        <f>E87+G87</f>
        <v>689.52819999999997</v>
      </c>
      <c r="J87" s="11">
        <f>F87+H87</f>
        <v>1379.0563999999999</v>
      </c>
      <c r="K87" s="35"/>
      <c r="L87" s="3"/>
      <c r="N87" s="30">
        <v>443.06799999999998</v>
      </c>
      <c r="O87" s="31">
        <f>$O$1</f>
        <v>1.1499999999999999</v>
      </c>
      <c r="P87" s="32">
        <f>SUM(O87*N87)</f>
        <v>509.52819999999997</v>
      </c>
      <c r="Q87" s="29"/>
      <c r="R87" s="29"/>
      <c r="S87" s="33">
        <v>150</v>
      </c>
      <c r="T87" s="34">
        <f>$T$1</f>
        <v>1.2</v>
      </c>
      <c r="U87" s="33">
        <f>SUM(T87*S87)</f>
        <v>180</v>
      </c>
      <c r="Y87">
        <f t="shared" si="69"/>
        <v>886.13599999999997</v>
      </c>
      <c r="AA87">
        <f t="shared" si="70"/>
        <v>300</v>
      </c>
    </row>
    <row r="88" spans="1:27">
      <c r="A88" s="15" t="s">
        <v>181</v>
      </c>
      <c r="B88" s="15" t="s">
        <v>182</v>
      </c>
      <c r="C88" s="15" t="s">
        <v>15</v>
      </c>
      <c r="D88" s="16"/>
      <c r="E88" s="16"/>
      <c r="F88" s="16"/>
      <c r="G88" s="16"/>
      <c r="H88" s="16"/>
      <c r="I88" s="16"/>
      <c r="J88" s="16"/>
      <c r="K88" s="35"/>
      <c r="L88" s="3"/>
      <c r="Y88">
        <f t="shared" si="69"/>
        <v>0</v>
      </c>
      <c r="AA88">
        <f t="shared" si="70"/>
        <v>0</v>
      </c>
    </row>
    <row r="89" spans="1:27">
      <c r="A89" s="6" t="s">
        <v>183</v>
      </c>
      <c r="B89" s="6" t="s">
        <v>184</v>
      </c>
      <c r="C89" s="6" t="s">
        <v>65</v>
      </c>
      <c r="D89" s="11">
        <v>1</v>
      </c>
      <c r="E89" s="11">
        <f>SUM(P89)</f>
        <v>1128.8236699999998</v>
      </c>
      <c r="F89" s="11">
        <f>D89*E89</f>
        <v>1128.8236699999998</v>
      </c>
      <c r="G89" s="11">
        <f>SUM(U89)</f>
        <v>180</v>
      </c>
      <c r="H89" s="11">
        <f>D89*G89</f>
        <v>180</v>
      </c>
      <c r="I89" s="11">
        <f>E89+G89</f>
        <v>1308.8236699999998</v>
      </c>
      <c r="J89" s="11">
        <f>F89+H89</f>
        <v>1308.8236699999998</v>
      </c>
      <c r="K89" s="35"/>
      <c r="L89" s="3"/>
      <c r="N89" s="30">
        <f>963.236+18.3498</f>
        <v>981.58579999999995</v>
      </c>
      <c r="O89" s="31">
        <f>$O$1</f>
        <v>1.1499999999999999</v>
      </c>
      <c r="P89" s="32">
        <f>SUM(O89*N89)</f>
        <v>1128.8236699999998</v>
      </c>
      <c r="Q89" s="29"/>
      <c r="R89" s="29"/>
      <c r="S89" s="33">
        <v>150</v>
      </c>
      <c r="T89" s="34">
        <f>$T$1</f>
        <v>1.2</v>
      </c>
      <c r="U89" s="33">
        <f>SUM(T89*S89)</f>
        <v>180</v>
      </c>
      <c r="Y89">
        <f t="shared" si="69"/>
        <v>981.58579999999995</v>
      </c>
      <c r="AA89">
        <f t="shared" si="70"/>
        <v>150</v>
      </c>
    </row>
    <row r="90" spans="1:27">
      <c r="A90" s="15" t="s">
        <v>181</v>
      </c>
      <c r="B90" s="15" t="s">
        <v>185</v>
      </c>
      <c r="C90" s="15" t="s">
        <v>15</v>
      </c>
      <c r="D90" s="16"/>
      <c r="E90" s="16"/>
      <c r="F90" s="16"/>
      <c r="G90" s="16"/>
      <c r="H90" s="16"/>
      <c r="I90" s="16"/>
      <c r="J90" s="16"/>
      <c r="K90" s="35"/>
      <c r="L90" s="3"/>
      <c r="Y90">
        <f t="shared" si="69"/>
        <v>0</v>
      </c>
      <c r="AA90">
        <f t="shared" si="70"/>
        <v>0</v>
      </c>
    </row>
    <row r="91" spans="1:27">
      <c r="A91" s="6" t="s">
        <v>186</v>
      </c>
      <c r="B91" s="6" t="s">
        <v>160</v>
      </c>
      <c r="C91" s="6" t="s">
        <v>65</v>
      </c>
      <c r="D91" s="11">
        <v>7</v>
      </c>
      <c r="E91" s="11">
        <f t="shared" ref="E91:E94" si="91">SUM(P91)</f>
        <v>128.09137000000001</v>
      </c>
      <c r="F91" s="11">
        <f t="shared" ref="F91:F94" si="92">D91*E91</f>
        <v>896.63959000000011</v>
      </c>
      <c r="G91" s="11">
        <f t="shared" ref="G91:G94" si="93">SUM(U91)</f>
        <v>108</v>
      </c>
      <c r="H91" s="11">
        <f t="shared" ref="H91:H94" si="94">D91*G91</f>
        <v>756</v>
      </c>
      <c r="I91" s="11">
        <f t="shared" ref="I91:I94" si="95">E91+G91</f>
        <v>236.09137000000001</v>
      </c>
      <c r="J91" s="11">
        <f t="shared" ref="J91:J94" si="96">F91+H91</f>
        <v>1652.6395900000002</v>
      </c>
      <c r="K91" s="35"/>
      <c r="L91" s="3"/>
      <c r="N91" s="30">
        <f>93.034+18.3498</f>
        <v>111.38380000000001</v>
      </c>
      <c r="O91" s="31">
        <f t="shared" ref="O91:O94" si="97">$O$1</f>
        <v>1.1499999999999999</v>
      </c>
      <c r="P91" s="32">
        <f t="shared" ref="P91:P94" si="98">SUM(O91*N91)</f>
        <v>128.09137000000001</v>
      </c>
      <c r="Q91" s="29"/>
      <c r="R91" s="29"/>
      <c r="S91" s="33">
        <v>90</v>
      </c>
      <c r="T91" s="34">
        <f t="shared" ref="T91:T94" si="99">$T$1</f>
        <v>1.2</v>
      </c>
      <c r="U91" s="33">
        <f t="shared" ref="U91:U94" si="100">SUM(T91*S91)</f>
        <v>108</v>
      </c>
      <c r="Y91">
        <f t="shared" si="69"/>
        <v>779.6866</v>
      </c>
      <c r="AA91">
        <f t="shared" si="70"/>
        <v>630</v>
      </c>
    </row>
    <row r="92" spans="1:27">
      <c r="A92" s="6" t="s">
        <v>187</v>
      </c>
      <c r="B92" s="6" t="s">
        <v>188</v>
      </c>
      <c r="C92" s="6" t="s">
        <v>65</v>
      </c>
      <c r="D92" s="11">
        <v>5</v>
      </c>
      <c r="E92" s="11">
        <f t="shared" si="91"/>
        <v>745.82214999999997</v>
      </c>
      <c r="F92" s="11">
        <f t="shared" si="92"/>
        <v>3729.1107499999998</v>
      </c>
      <c r="G92" s="11">
        <f t="shared" si="93"/>
        <v>108</v>
      </c>
      <c r="H92" s="11">
        <f t="shared" si="94"/>
        <v>540</v>
      </c>
      <c r="I92" s="11">
        <f t="shared" si="95"/>
        <v>853.82214999999997</v>
      </c>
      <c r="J92" s="11">
        <f t="shared" si="96"/>
        <v>4269.1107499999998</v>
      </c>
      <c r="K92" s="35"/>
      <c r="L92" s="3"/>
      <c r="N92" s="30">
        <v>648.54100000000005</v>
      </c>
      <c r="O92" s="31">
        <f t="shared" si="97"/>
        <v>1.1499999999999999</v>
      </c>
      <c r="P92" s="32">
        <f t="shared" si="98"/>
        <v>745.82214999999997</v>
      </c>
      <c r="Q92" s="29"/>
      <c r="R92" s="29"/>
      <c r="S92" s="33">
        <v>90</v>
      </c>
      <c r="T92" s="34">
        <f t="shared" si="99"/>
        <v>1.2</v>
      </c>
      <c r="U92" s="33">
        <f t="shared" si="100"/>
        <v>108</v>
      </c>
      <c r="Y92">
        <f t="shared" si="69"/>
        <v>3242.7050000000004</v>
      </c>
      <c r="AA92">
        <f t="shared" si="70"/>
        <v>450</v>
      </c>
    </row>
    <row r="93" spans="1:27">
      <c r="A93" s="6" t="s">
        <v>183</v>
      </c>
      <c r="B93" s="6" t="s">
        <v>156</v>
      </c>
      <c r="C93" s="6" t="s">
        <v>65</v>
      </c>
      <c r="D93" s="11">
        <v>6</v>
      </c>
      <c r="E93" s="11">
        <f t="shared" si="91"/>
        <v>157.52814999999998</v>
      </c>
      <c r="F93" s="11">
        <f t="shared" si="92"/>
        <v>945.16889999999989</v>
      </c>
      <c r="G93" s="11">
        <f t="shared" si="93"/>
        <v>108</v>
      </c>
      <c r="H93" s="11">
        <f t="shared" si="94"/>
        <v>648</v>
      </c>
      <c r="I93" s="11">
        <f t="shared" si="95"/>
        <v>265.52814999999998</v>
      </c>
      <c r="J93" s="11">
        <f t="shared" si="96"/>
        <v>1593.1688999999999</v>
      </c>
      <c r="K93" s="35"/>
      <c r="L93" s="3"/>
      <c r="N93" s="30">
        <v>136.98099999999999</v>
      </c>
      <c r="O93" s="31">
        <f t="shared" si="97"/>
        <v>1.1499999999999999</v>
      </c>
      <c r="P93" s="32">
        <f t="shared" si="98"/>
        <v>157.52814999999998</v>
      </c>
      <c r="Q93" s="29"/>
      <c r="R93" s="29"/>
      <c r="S93" s="33">
        <v>90</v>
      </c>
      <c r="T93" s="34">
        <f t="shared" si="99"/>
        <v>1.2</v>
      </c>
      <c r="U93" s="33">
        <f t="shared" si="100"/>
        <v>108</v>
      </c>
      <c r="Y93">
        <f t="shared" si="69"/>
        <v>821.88599999999997</v>
      </c>
      <c r="AA93">
        <f t="shared" si="70"/>
        <v>540</v>
      </c>
    </row>
    <row r="94" spans="1:27">
      <c r="A94" s="6" t="s">
        <v>15</v>
      </c>
      <c r="B94" s="6" t="s">
        <v>189</v>
      </c>
      <c r="C94" s="6" t="s">
        <v>65</v>
      </c>
      <c r="D94" s="11">
        <v>14</v>
      </c>
      <c r="E94" s="11">
        <f t="shared" si="91"/>
        <v>60.292199999999994</v>
      </c>
      <c r="F94" s="11">
        <f t="shared" si="92"/>
        <v>844.09079999999994</v>
      </c>
      <c r="G94" s="11">
        <f t="shared" si="93"/>
        <v>108</v>
      </c>
      <c r="H94" s="11">
        <f t="shared" si="94"/>
        <v>1512</v>
      </c>
      <c r="I94" s="11">
        <f t="shared" si="95"/>
        <v>168.29219999999998</v>
      </c>
      <c r="J94" s="11">
        <f t="shared" si="96"/>
        <v>2356.0907999999999</v>
      </c>
      <c r="K94" s="35"/>
      <c r="L94" s="3"/>
      <c r="N94" s="30">
        <v>52.427999999999997</v>
      </c>
      <c r="O94" s="31">
        <f t="shared" si="97"/>
        <v>1.1499999999999999</v>
      </c>
      <c r="P94" s="32">
        <f t="shared" si="98"/>
        <v>60.292199999999994</v>
      </c>
      <c r="Q94" s="29"/>
      <c r="R94" s="29"/>
      <c r="S94" s="33">
        <v>90</v>
      </c>
      <c r="T94" s="34">
        <f t="shared" si="99"/>
        <v>1.2</v>
      </c>
      <c r="U94" s="33">
        <f t="shared" si="100"/>
        <v>108</v>
      </c>
      <c r="Y94">
        <f t="shared" si="69"/>
        <v>733.99199999999996</v>
      </c>
      <c r="AA94">
        <f t="shared" si="70"/>
        <v>1260</v>
      </c>
    </row>
    <row r="95" spans="1:27">
      <c r="A95" s="15" t="s">
        <v>190</v>
      </c>
      <c r="B95" s="15" t="s">
        <v>191</v>
      </c>
      <c r="C95" s="15" t="s">
        <v>15</v>
      </c>
      <c r="D95" s="16"/>
      <c r="E95" s="16"/>
      <c r="F95" s="16"/>
      <c r="G95" s="16"/>
      <c r="H95" s="16"/>
      <c r="I95" s="16"/>
      <c r="J95" s="16"/>
      <c r="K95" s="35"/>
      <c r="L95" s="3"/>
      <c r="Y95">
        <f t="shared" si="69"/>
        <v>0</v>
      </c>
      <c r="AA95">
        <f t="shared" si="70"/>
        <v>0</v>
      </c>
    </row>
    <row r="96" spans="1:27">
      <c r="A96" s="6" t="s">
        <v>192</v>
      </c>
      <c r="B96" s="6" t="s">
        <v>193</v>
      </c>
      <c r="C96" s="6" t="s">
        <v>65</v>
      </c>
      <c r="D96" s="11">
        <v>3</v>
      </c>
      <c r="E96" s="11">
        <f>SUM(P96)</f>
        <v>8847.3524999999991</v>
      </c>
      <c r="F96" s="11">
        <f>D96*E96</f>
        <v>26542.057499999995</v>
      </c>
      <c r="G96" s="11">
        <f>SUM(U96)</f>
        <v>660</v>
      </c>
      <c r="H96" s="11">
        <f>D96*G96</f>
        <v>1980</v>
      </c>
      <c r="I96" s="11">
        <f>E96+G96</f>
        <v>9507.3524999999991</v>
      </c>
      <c r="J96" s="11">
        <f>F96+H96</f>
        <v>28522.057499999995</v>
      </c>
      <c r="K96" s="35"/>
      <c r="L96" s="3"/>
      <c r="N96" s="30">
        <v>7693.35</v>
      </c>
      <c r="O96" s="31">
        <f>$O$1</f>
        <v>1.1499999999999999</v>
      </c>
      <c r="P96" s="32">
        <f>SUM(O96*N96)</f>
        <v>8847.3524999999991</v>
      </c>
      <c r="Q96" s="29"/>
      <c r="R96" s="29"/>
      <c r="S96" s="33">
        <v>550</v>
      </c>
      <c r="T96" s="34">
        <f>$T$1</f>
        <v>1.2</v>
      </c>
      <c r="U96" s="33">
        <f>SUM(T96*S96)</f>
        <v>660</v>
      </c>
      <c r="Y96">
        <f t="shared" si="69"/>
        <v>23080.050000000003</v>
      </c>
      <c r="AA96">
        <f t="shared" si="70"/>
        <v>1650</v>
      </c>
    </row>
    <row r="97" spans="1:27">
      <c r="A97" s="15" t="s">
        <v>194</v>
      </c>
      <c r="B97" s="15" t="s">
        <v>195</v>
      </c>
      <c r="C97" s="15" t="s">
        <v>15</v>
      </c>
      <c r="D97" s="16"/>
      <c r="E97" s="16"/>
      <c r="F97" s="16"/>
      <c r="G97" s="16"/>
      <c r="H97" s="16"/>
      <c r="I97" s="16"/>
      <c r="J97" s="16"/>
      <c r="K97" s="35"/>
      <c r="L97" s="3"/>
      <c r="Y97">
        <f t="shared" si="69"/>
        <v>0</v>
      </c>
      <c r="AA97">
        <f t="shared" si="70"/>
        <v>0</v>
      </c>
    </row>
    <row r="98" spans="1:27">
      <c r="A98" s="6" t="s">
        <v>196</v>
      </c>
      <c r="B98" s="6" t="s">
        <v>197</v>
      </c>
      <c r="C98" s="6" t="s">
        <v>65</v>
      </c>
      <c r="D98" s="11">
        <v>2</v>
      </c>
      <c r="E98" s="11">
        <f>SUM(P98)</f>
        <v>3218.2462499999997</v>
      </c>
      <c r="F98" s="11">
        <f>D98*E98</f>
        <v>6436.4924999999994</v>
      </c>
      <c r="G98" s="11">
        <f>SUM(U98)</f>
        <v>180</v>
      </c>
      <c r="H98" s="11">
        <f>D98*G98</f>
        <v>360</v>
      </c>
      <c r="I98" s="11">
        <f>E98+G98</f>
        <v>3398.2462499999997</v>
      </c>
      <c r="J98" s="11">
        <f>F98+H98</f>
        <v>6796.4924999999994</v>
      </c>
      <c r="K98" s="35"/>
      <c r="L98" s="3"/>
      <c r="N98" s="30">
        <f>2368+336.67+93.805</f>
        <v>2798.4749999999999</v>
      </c>
      <c r="O98" s="31">
        <f>$O$1</f>
        <v>1.1499999999999999</v>
      </c>
      <c r="P98" s="32">
        <f>SUM(O98*N98)</f>
        <v>3218.2462499999997</v>
      </c>
      <c r="Q98" s="29"/>
      <c r="R98" s="29"/>
      <c r="S98" s="33">
        <v>150</v>
      </c>
      <c r="T98" s="34">
        <f>$T$1</f>
        <v>1.2</v>
      </c>
      <c r="U98" s="33">
        <f>SUM(T98*S98)</f>
        <v>180</v>
      </c>
      <c r="Y98">
        <f t="shared" si="69"/>
        <v>5596.95</v>
      </c>
      <c r="AA98">
        <f t="shared" si="70"/>
        <v>300</v>
      </c>
    </row>
    <row r="99" spans="1:27">
      <c r="A99" s="15" t="s">
        <v>198</v>
      </c>
      <c r="B99" s="15" t="s">
        <v>199</v>
      </c>
      <c r="C99" s="15" t="s">
        <v>15</v>
      </c>
      <c r="D99" s="16"/>
      <c r="E99" s="16"/>
      <c r="F99" s="16"/>
      <c r="G99" s="16"/>
      <c r="H99" s="16"/>
      <c r="I99" s="16"/>
      <c r="J99" s="16"/>
      <c r="K99" s="35"/>
      <c r="L99" s="3"/>
      <c r="Y99">
        <f t="shared" si="69"/>
        <v>0</v>
      </c>
      <c r="AA99">
        <f t="shared" si="70"/>
        <v>0</v>
      </c>
    </row>
    <row r="100" spans="1:27">
      <c r="A100" s="6" t="s">
        <v>200</v>
      </c>
      <c r="B100" s="6" t="s">
        <v>197</v>
      </c>
      <c r="C100" s="6" t="s">
        <v>65</v>
      </c>
      <c r="D100" s="11">
        <v>4</v>
      </c>
      <c r="E100" s="11">
        <f>SUM(P100)</f>
        <v>3159.1362499999996</v>
      </c>
      <c r="F100" s="11">
        <f>D100*E100</f>
        <v>12636.544999999998</v>
      </c>
      <c r="G100" s="11">
        <f>SUM(U100)</f>
        <v>180</v>
      </c>
      <c r="H100" s="11">
        <f>D100*G100</f>
        <v>720</v>
      </c>
      <c r="I100" s="11">
        <f>E100+G100</f>
        <v>3339.1362499999996</v>
      </c>
      <c r="J100" s="11">
        <f>F100+H100</f>
        <v>13356.544999999998</v>
      </c>
      <c r="K100" s="35"/>
      <c r="L100" s="3"/>
      <c r="N100" s="30">
        <f>2368+304.031+75.044</f>
        <v>2747.0749999999998</v>
      </c>
      <c r="O100" s="31">
        <f>$O$1</f>
        <v>1.1499999999999999</v>
      </c>
      <c r="P100" s="32">
        <f>SUM(O100*N100)</f>
        <v>3159.1362499999996</v>
      </c>
      <c r="Q100" s="29"/>
      <c r="R100" s="29"/>
      <c r="S100" s="33">
        <v>150</v>
      </c>
      <c r="T100" s="34">
        <f>$T$1</f>
        <v>1.2</v>
      </c>
      <c r="U100" s="33">
        <f>SUM(T100*S100)</f>
        <v>180</v>
      </c>
      <c r="Y100">
        <f t="shared" si="69"/>
        <v>10988.3</v>
      </c>
      <c r="AA100">
        <f t="shared" si="70"/>
        <v>600</v>
      </c>
    </row>
    <row r="101" spans="1:27">
      <c r="A101" s="15" t="s">
        <v>201</v>
      </c>
      <c r="B101" s="15" t="s">
        <v>202</v>
      </c>
      <c r="C101" s="15" t="s">
        <v>15</v>
      </c>
      <c r="D101" s="16"/>
      <c r="E101" s="16"/>
      <c r="F101" s="16"/>
      <c r="G101" s="16"/>
      <c r="H101" s="16"/>
      <c r="I101" s="16"/>
      <c r="J101" s="16"/>
      <c r="K101" s="35"/>
      <c r="L101" s="3"/>
      <c r="Y101">
        <f t="shared" si="69"/>
        <v>0</v>
      </c>
      <c r="AA101">
        <f t="shared" si="70"/>
        <v>0</v>
      </c>
    </row>
    <row r="102" spans="1:27">
      <c r="A102" s="6" t="s">
        <v>203</v>
      </c>
      <c r="B102" s="6" t="s">
        <v>204</v>
      </c>
      <c r="C102" s="6" t="s">
        <v>65</v>
      </c>
      <c r="D102" s="11">
        <v>7</v>
      </c>
      <c r="E102" s="11">
        <f t="shared" ref="E102:E104" si="101">SUM(P102)</f>
        <v>272.79264999999998</v>
      </c>
      <c r="F102" s="11">
        <f t="shared" ref="F102:F104" si="102">D102*E102</f>
        <v>1909.54855</v>
      </c>
      <c r="G102" s="11">
        <f t="shared" ref="G102:G104" si="103">SUM(U102)</f>
        <v>108</v>
      </c>
      <c r="H102" s="11">
        <f t="shared" ref="H102:H104" si="104">D102*G102</f>
        <v>756</v>
      </c>
      <c r="I102" s="11">
        <f t="shared" ref="I102:I104" si="105">E102+G102</f>
        <v>380.79264999999998</v>
      </c>
      <c r="J102" s="11">
        <f t="shared" ref="J102:J104" si="106">F102+H102</f>
        <v>2665.54855</v>
      </c>
      <c r="K102" s="35"/>
      <c r="L102" s="3"/>
      <c r="N102" s="30">
        <f>75.044+87.123+75.044</f>
        <v>237.21100000000001</v>
      </c>
      <c r="O102" s="31">
        <f t="shared" ref="O102:O104" si="107">$O$1</f>
        <v>1.1499999999999999</v>
      </c>
      <c r="P102" s="32">
        <f t="shared" ref="P102:P104" si="108">SUM(O102*N102)</f>
        <v>272.79264999999998</v>
      </c>
      <c r="Q102" s="29"/>
      <c r="R102" s="29"/>
      <c r="S102" s="33">
        <v>90</v>
      </c>
      <c r="T102" s="34">
        <f t="shared" ref="T102:T104" si="109">$T$1</f>
        <v>1.2</v>
      </c>
      <c r="U102" s="33">
        <f t="shared" ref="U102:U104" si="110">SUM(T102*S102)</f>
        <v>108</v>
      </c>
      <c r="Y102">
        <f t="shared" si="69"/>
        <v>1660.4770000000001</v>
      </c>
      <c r="AA102">
        <f t="shared" si="70"/>
        <v>630</v>
      </c>
    </row>
    <row r="103" spans="1:27">
      <c r="A103" s="6" t="s">
        <v>205</v>
      </c>
      <c r="B103" s="6" t="s">
        <v>206</v>
      </c>
      <c r="C103" s="6" t="s">
        <v>65</v>
      </c>
      <c r="D103" s="11">
        <v>2</v>
      </c>
      <c r="E103" s="11">
        <f t="shared" si="101"/>
        <v>333.38039999999995</v>
      </c>
      <c r="F103" s="11">
        <f t="shared" si="102"/>
        <v>666.7607999999999</v>
      </c>
      <c r="G103" s="11">
        <f t="shared" si="103"/>
        <v>108</v>
      </c>
      <c r="H103" s="11">
        <f t="shared" si="104"/>
        <v>216</v>
      </c>
      <c r="I103" s="11">
        <f t="shared" si="105"/>
        <v>441.38039999999995</v>
      </c>
      <c r="J103" s="11">
        <f t="shared" si="106"/>
        <v>882.7607999999999</v>
      </c>
      <c r="K103" s="35"/>
      <c r="L103" s="3"/>
      <c r="N103" s="30">
        <f>101.258+113.594+75.044</f>
        <v>289.89599999999996</v>
      </c>
      <c r="O103" s="31">
        <f t="shared" si="107"/>
        <v>1.1499999999999999</v>
      </c>
      <c r="P103" s="32">
        <f t="shared" si="108"/>
        <v>333.38039999999995</v>
      </c>
      <c r="Q103" s="29"/>
      <c r="R103" s="29"/>
      <c r="S103" s="33">
        <v>90</v>
      </c>
      <c r="T103" s="34">
        <f t="shared" si="109"/>
        <v>1.2</v>
      </c>
      <c r="U103" s="33">
        <f t="shared" si="110"/>
        <v>108</v>
      </c>
      <c r="Y103">
        <f t="shared" si="69"/>
        <v>579.79199999999992</v>
      </c>
      <c r="AA103">
        <f t="shared" si="70"/>
        <v>180</v>
      </c>
    </row>
    <row r="104" spans="1:27">
      <c r="A104" s="6" t="s">
        <v>207</v>
      </c>
      <c r="B104" s="6" t="s">
        <v>208</v>
      </c>
      <c r="C104" s="6" t="s">
        <v>65</v>
      </c>
      <c r="D104" s="11">
        <v>2</v>
      </c>
      <c r="E104" s="11">
        <f t="shared" si="101"/>
        <v>278.40809999999999</v>
      </c>
      <c r="F104" s="11">
        <f t="shared" si="102"/>
        <v>556.81619999999998</v>
      </c>
      <c r="G104" s="11">
        <f t="shared" si="103"/>
        <v>108</v>
      </c>
      <c r="H104" s="11">
        <f t="shared" si="104"/>
        <v>216</v>
      </c>
      <c r="I104" s="11">
        <f t="shared" si="105"/>
        <v>386.40809999999999</v>
      </c>
      <c r="J104" s="11">
        <f t="shared" si="106"/>
        <v>772.81619999999998</v>
      </c>
      <c r="K104" s="35"/>
      <c r="L104" s="3"/>
      <c r="N104" s="30">
        <f>SUM([1]List1!$E$59:$E$61)</f>
        <v>242.09399999999999</v>
      </c>
      <c r="O104" s="31">
        <f t="shared" si="107"/>
        <v>1.1499999999999999</v>
      </c>
      <c r="P104" s="32">
        <f t="shared" si="108"/>
        <v>278.40809999999999</v>
      </c>
      <c r="Q104" s="29"/>
      <c r="R104" s="29"/>
      <c r="S104" s="33">
        <v>90</v>
      </c>
      <c r="T104" s="34">
        <f t="shared" si="109"/>
        <v>1.2</v>
      </c>
      <c r="U104" s="33">
        <f t="shared" si="110"/>
        <v>108</v>
      </c>
      <c r="Y104">
        <f t="shared" si="69"/>
        <v>484.18799999999999</v>
      </c>
      <c r="AA104">
        <f t="shared" si="70"/>
        <v>180</v>
      </c>
    </row>
    <row r="105" spans="1:27">
      <c r="A105" s="15" t="s">
        <v>209</v>
      </c>
      <c r="B105" s="15" t="s">
        <v>210</v>
      </c>
      <c r="C105" s="15" t="s">
        <v>15</v>
      </c>
      <c r="D105" s="16"/>
      <c r="E105" s="16"/>
      <c r="F105" s="16"/>
      <c r="G105" s="16"/>
      <c r="H105" s="16"/>
      <c r="I105" s="16"/>
      <c r="J105" s="16"/>
      <c r="K105" s="35"/>
      <c r="L105" s="3"/>
      <c r="Y105">
        <f t="shared" si="69"/>
        <v>0</v>
      </c>
      <c r="AA105">
        <f t="shared" si="70"/>
        <v>0</v>
      </c>
    </row>
    <row r="106" spans="1:27">
      <c r="A106" s="6" t="s">
        <v>211</v>
      </c>
      <c r="B106" s="6" t="s">
        <v>212</v>
      </c>
      <c r="C106" s="6" t="s">
        <v>65</v>
      </c>
      <c r="D106" s="11">
        <v>18</v>
      </c>
      <c r="E106" s="11">
        <f>SUM(P106)</f>
        <v>722.91529999999989</v>
      </c>
      <c r="F106" s="11">
        <f>D106*E106</f>
        <v>13012.475399999998</v>
      </c>
      <c r="G106" s="11">
        <f>SUM(U106)</f>
        <v>108</v>
      </c>
      <c r="H106" s="11">
        <f>D106*G106</f>
        <v>1944</v>
      </c>
      <c r="I106" s="11">
        <f>E106+G106</f>
        <v>830.91529999999989</v>
      </c>
      <c r="J106" s="11">
        <f>F106+H106</f>
        <v>14956.475399999998</v>
      </c>
      <c r="K106" s="35"/>
      <c r="L106" s="3"/>
      <c r="N106" s="30">
        <f>SUM([1]List1!$E$62)</f>
        <v>628.62199999999996</v>
      </c>
      <c r="O106" s="31">
        <f>$O$1</f>
        <v>1.1499999999999999</v>
      </c>
      <c r="P106" s="32">
        <f>SUM(O106*N106)</f>
        <v>722.91529999999989</v>
      </c>
      <c r="Q106" s="29"/>
      <c r="R106" s="29"/>
      <c r="S106" s="33">
        <v>90</v>
      </c>
      <c r="T106" s="34">
        <f>$T$1</f>
        <v>1.2</v>
      </c>
      <c r="U106" s="33">
        <f>SUM(T106*S106)</f>
        <v>108</v>
      </c>
      <c r="Y106">
        <f t="shared" si="69"/>
        <v>11315.196</v>
      </c>
      <c r="AA106">
        <f t="shared" si="70"/>
        <v>1620</v>
      </c>
    </row>
    <row r="107" spans="1:27">
      <c r="A107" s="15" t="s">
        <v>209</v>
      </c>
      <c r="B107" s="15" t="s">
        <v>213</v>
      </c>
      <c r="C107" s="15" t="s">
        <v>15</v>
      </c>
      <c r="D107" s="16"/>
      <c r="E107" s="16"/>
      <c r="F107" s="16"/>
      <c r="G107" s="16"/>
      <c r="H107" s="16"/>
      <c r="I107" s="16"/>
      <c r="J107" s="16"/>
      <c r="K107" s="35"/>
      <c r="L107" s="3"/>
      <c r="Y107">
        <f t="shared" si="69"/>
        <v>0</v>
      </c>
      <c r="AA107">
        <f t="shared" si="70"/>
        <v>0</v>
      </c>
    </row>
    <row r="108" spans="1:27">
      <c r="A108" s="6" t="s">
        <v>15</v>
      </c>
      <c r="B108" s="6" t="s">
        <v>214</v>
      </c>
      <c r="C108" s="6" t="s">
        <v>65</v>
      </c>
      <c r="D108" s="11">
        <v>12</v>
      </c>
      <c r="E108" s="11">
        <f>SUM(P108)</f>
        <v>379.63799999999998</v>
      </c>
      <c r="F108" s="11">
        <f>D108*E108</f>
        <v>4555.6559999999999</v>
      </c>
      <c r="G108" s="11">
        <f>SUM(U108)</f>
        <v>180</v>
      </c>
      <c r="H108" s="11">
        <f>D108*G108</f>
        <v>2160</v>
      </c>
      <c r="I108" s="11">
        <f>E108+G108</f>
        <v>559.63799999999992</v>
      </c>
      <c r="J108" s="11">
        <f>F108+H108</f>
        <v>6715.6559999999999</v>
      </c>
      <c r="K108" s="35"/>
      <c r="L108" s="3"/>
      <c r="N108" s="30">
        <f>SUM([1]List1!$E$63:$E$64)</f>
        <v>330.12</v>
      </c>
      <c r="O108" s="31">
        <f>$O$1</f>
        <v>1.1499999999999999</v>
      </c>
      <c r="P108" s="32">
        <f>SUM(O108*N108)</f>
        <v>379.63799999999998</v>
      </c>
      <c r="Q108" s="29"/>
      <c r="R108" s="29"/>
      <c r="S108" s="33">
        <v>150</v>
      </c>
      <c r="T108" s="34">
        <f>$T$1</f>
        <v>1.2</v>
      </c>
      <c r="U108" s="33">
        <f>SUM(T108*S108)</f>
        <v>180</v>
      </c>
      <c r="Y108">
        <f t="shared" si="69"/>
        <v>3961.44</v>
      </c>
      <c r="AA108">
        <f t="shared" si="70"/>
        <v>1800</v>
      </c>
    </row>
    <row r="109" spans="1:27">
      <c r="A109" s="15" t="s">
        <v>215</v>
      </c>
      <c r="B109" s="15" t="s">
        <v>216</v>
      </c>
      <c r="C109" s="15" t="s">
        <v>15</v>
      </c>
      <c r="D109" s="16"/>
      <c r="E109" s="16"/>
      <c r="F109" s="16"/>
      <c r="G109" s="16"/>
      <c r="H109" s="16"/>
      <c r="I109" s="16"/>
      <c r="J109" s="16"/>
      <c r="K109" s="35"/>
      <c r="L109" s="3"/>
      <c r="Y109">
        <f t="shared" si="69"/>
        <v>0</v>
      </c>
      <c r="AA109">
        <f t="shared" si="70"/>
        <v>0</v>
      </c>
    </row>
    <row r="110" spans="1:27">
      <c r="A110" s="6" t="s">
        <v>217</v>
      </c>
      <c r="B110" s="6" t="s">
        <v>204</v>
      </c>
      <c r="C110" s="6" t="s">
        <v>65</v>
      </c>
      <c r="D110" s="11">
        <v>4</v>
      </c>
      <c r="E110" s="11">
        <f t="shared" ref="E110:E114" si="111">SUM(P110)</f>
        <v>140.80001999999999</v>
      </c>
      <c r="F110" s="11">
        <f t="shared" ref="F110:F114" si="112">D110*E110</f>
        <v>563.20007999999996</v>
      </c>
      <c r="G110" s="11">
        <f t="shared" ref="G110:G114" si="113">SUM(U110)</f>
        <v>108</v>
      </c>
      <c r="H110" s="11">
        <f t="shared" ref="H110:H114" si="114">D110*G110</f>
        <v>432</v>
      </c>
      <c r="I110" s="11">
        <f t="shared" ref="I110:I114" si="115">E110+G110</f>
        <v>248.80001999999999</v>
      </c>
      <c r="J110" s="11">
        <f t="shared" ref="J110:J114" si="116">F110+H110</f>
        <v>995.20007999999996</v>
      </c>
      <c r="K110" s="35"/>
      <c r="L110" s="3"/>
      <c r="N110" s="30">
        <f>SUM([1]List1!$E$65:$E$67)</f>
        <v>122.4348</v>
      </c>
      <c r="O110" s="31">
        <f t="shared" ref="O110:O114" si="117">$O$1</f>
        <v>1.1499999999999999</v>
      </c>
      <c r="P110" s="32">
        <f t="shared" ref="P110:P114" si="118">SUM(O110*N110)</f>
        <v>140.80001999999999</v>
      </c>
      <c r="Q110" s="29"/>
      <c r="R110" s="29"/>
      <c r="S110" s="33">
        <v>90</v>
      </c>
      <c r="T110" s="34">
        <f t="shared" ref="T110:T114" si="119">$T$1</f>
        <v>1.2</v>
      </c>
      <c r="U110" s="33">
        <f t="shared" ref="U110:U114" si="120">SUM(T110*S110)</f>
        <v>108</v>
      </c>
      <c r="Y110">
        <f t="shared" si="69"/>
        <v>489.73919999999998</v>
      </c>
      <c r="AA110">
        <f t="shared" si="70"/>
        <v>360</v>
      </c>
    </row>
    <row r="111" spans="1:27">
      <c r="A111" s="6" t="s">
        <v>218</v>
      </c>
      <c r="B111" s="6" t="s">
        <v>206</v>
      </c>
      <c r="C111" s="6" t="s">
        <v>65</v>
      </c>
      <c r="D111" s="11">
        <v>1</v>
      </c>
      <c r="E111" s="11">
        <f t="shared" si="111"/>
        <v>179.10329999999996</v>
      </c>
      <c r="F111" s="11">
        <f t="shared" si="112"/>
        <v>179.10329999999996</v>
      </c>
      <c r="G111" s="11">
        <f t="shared" si="113"/>
        <v>108</v>
      </c>
      <c r="H111" s="11">
        <f t="shared" si="114"/>
        <v>108</v>
      </c>
      <c r="I111" s="11">
        <f t="shared" si="115"/>
        <v>287.10329999999999</v>
      </c>
      <c r="J111" s="11">
        <f t="shared" si="116"/>
        <v>287.10329999999999</v>
      </c>
      <c r="K111" s="35"/>
      <c r="L111" s="3"/>
      <c r="N111" s="30">
        <f>SUM([1]List1!$E$68:$E$70)</f>
        <v>155.74199999999999</v>
      </c>
      <c r="O111" s="31">
        <f t="shared" si="117"/>
        <v>1.1499999999999999</v>
      </c>
      <c r="P111" s="32">
        <f t="shared" si="118"/>
        <v>179.10329999999996</v>
      </c>
      <c r="Q111" s="29"/>
      <c r="R111" s="29"/>
      <c r="S111" s="33">
        <v>90</v>
      </c>
      <c r="T111" s="34">
        <f t="shared" si="119"/>
        <v>1.2</v>
      </c>
      <c r="U111" s="33">
        <f t="shared" si="120"/>
        <v>108</v>
      </c>
      <c r="Y111">
        <f t="shared" si="69"/>
        <v>155.74199999999999</v>
      </c>
      <c r="AA111">
        <f t="shared" si="70"/>
        <v>90</v>
      </c>
    </row>
    <row r="112" spans="1:27">
      <c r="A112" s="6" t="s">
        <v>219</v>
      </c>
      <c r="B112" s="6" t="s">
        <v>208</v>
      </c>
      <c r="C112" s="6" t="s">
        <v>65</v>
      </c>
      <c r="D112" s="11">
        <v>6</v>
      </c>
      <c r="E112" s="11">
        <f t="shared" si="111"/>
        <v>168.28617</v>
      </c>
      <c r="F112" s="11">
        <f t="shared" si="112"/>
        <v>1009.71702</v>
      </c>
      <c r="G112" s="11">
        <f t="shared" si="113"/>
        <v>108</v>
      </c>
      <c r="H112" s="11">
        <f t="shared" si="114"/>
        <v>648</v>
      </c>
      <c r="I112" s="11">
        <f t="shared" si="115"/>
        <v>276.28616999999997</v>
      </c>
      <c r="J112" s="11">
        <f t="shared" si="116"/>
        <v>1657.71702</v>
      </c>
      <c r="K112" s="35"/>
      <c r="L112" s="3"/>
      <c r="N112" s="30">
        <f>SUM([1]List1!$E$82:$E$83)</f>
        <v>146.33580000000001</v>
      </c>
      <c r="O112" s="31">
        <f t="shared" si="117"/>
        <v>1.1499999999999999</v>
      </c>
      <c r="P112" s="32">
        <f t="shared" si="118"/>
        <v>168.28617</v>
      </c>
      <c r="Q112" s="29"/>
      <c r="R112" s="29"/>
      <c r="S112" s="33">
        <v>90</v>
      </c>
      <c r="T112" s="34">
        <f t="shared" si="119"/>
        <v>1.2</v>
      </c>
      <c r="U112" s="33">
        <f t="shared" si="120"/>
        <v>108</v>
      </c>
      <c r="Y112">
        <f t="shared" si="69"/>
        <v>878.01480000000004</v>
      </c>
      <c r="AA112">
        <f t="shared" si="70"/>
        <v>540</v>
      </c>
    </row>
    <row r="113" spans="1:27">
      <c r="A113" s="6" t="s">
        <v>220</v>
      </c>
      <c r="B113" s="6" t="s">
        <v>221</v>
      </c>
      <c r="C113" s="6" t="s">
        <v>65</v>
      </c>
      <c r="D113" s="11">
        <v>1</v>
      </c>
      <c r="E113" s="11">
        <f t="shared" si="111"/>
        <v>187.20136999999997</v>
      </c>
      <c r="F113" s="11">
        <f t="shared" si="112"/>
        <v>187.20136999999997</v>
      </c>
      <c r="G113" s="11">
        <f t="shared" si="113"/>
        <v>108</v>
      </c>
      <c r="H113" s="11">
        <f t="shared" si="114"/>
        <v>108</v>
      </c>
      <c r="I113" s="11">
        <f t="shared" si="115"/>
        <v>295.20137</v>
      </c>
      <c r="J113" s="11">
        <f t="shared" si="116"/>
        <v>295.20137</v>
      </c>
      <c r="K113" s="35"/>
      <c r="L113" s="3"/>
      <c r="N113" s="30">
        <f>SUM([1]List1!$E$74:$E$76)</f>
        <v>162.78379999999999</v>
      </c>
      <c r="O113" s="31">
        <f t="shared" si="117"/>
        <v>1.1499999999999999</v>
      </c>
      <c r="P113" s="32">
        <f t="shared" si="118"/>
        <v>187.20136999999997</v>
      </c>
      <c r="Q113" s="29"/>
      <c r="R113" s="29"/>
      <c r="S113" s="33">
        <v>90</v>
      </c>
      <c r="T113" s="34">
        <f t="shared" si="119"/>
        <v>1.2</v>
      </c>
      <c r="U113" s="33">
        <f t="shared" si="120"/>
        <v>108</v>
      </c>
      <c r="Y113">
        <f t="shared" si="69"/>
        <v>162.78379999999999</v>
      </c>
      <c r="AA113">
        <f t="shared" si="70"/>
        <v>90</v>
      </c>
    </row>
    <row r="114" spans="1:27">
      <c r="A114" s="6" t="s">
        <v>222</v>
      </c>
      <c r="B114" s="6" t="s">
        <v>223</v>
      </c>
      <c r="C114" s="6" t="s">
        <v>65</v>
      </c>
      <c r="D114" s="11">
        <v>1</v>
      </c>
      <c r="E114" s="11">
        <f t="shared" si="111"/>
        <v>168.58171999999999</v>
      </c>
      <c r="F114" s="11">
        <f t="shared" si="112"/>
        <v>168.58171999999999</v>
      </c>
      <c r="G114" s="11">
        <f t="shared" si="113"/>
        <v>108</v>
      </c>
      <c r="H114" s="11">
        <f t="shared" si="114"/>
        <v>108</v>
      </c>
      <c r="I114" s="11">
        <f t="shared" si="115"/>
        <v>276.58172000000002</v>
      </c>
      <c r="J114" s="11">
        <f t="shared" si="116"/>
        <v>276.58172000000002</v>
      </c>
      <c r="K114" s="35"/>
      <c r="L114" s="3"/>
      <c r="N114" s="30">
        <f>SUM([1]List1!$E$77:$E$79,[1]List1!$E$75)</f>
        <v>146.59280000000001</v>
      </c>
      <c r="O114" s="31">
        <f t="shared" si="117"/>
        <v>1.1499999999999999</v>
      </c>
      <c r="P114" s="32">
        <f t="shared" si="118"/>
        <v>168.58171999999999</v>
      </c>
      <c r="Q114" s="29"/>
      <c r="R114" s="29"/>
      <c r="S114" s="33">
        <v>90</v>
      </c>
      <c r="T114" s="34">
        <f t="shared" si="119"/>
        <v>1.2</v>
      </c>
      <c r="U114" s="33">
        <f t="shared" si="120"/>
        <v>108</v>
      </c>
      <c r="Y114">
        <f t="shared" si="69"/>
        <v>146.59280000000001</v>
      </c>
      <c r="AA114">
        <f t="shared" si="70"/>
        <v>90</v>
      </c>
    </row>
    <row r="115" spans="1:27">
      <c r="A115" s="15" t="s">
        <v>224</v>
      </c>
      <c r="B115" s="15" t="s">
        <v>225</v>
      </c>
      <c r="C115" s="15" t="s">
        <v>15</v>
      </c>
      <c r="D115" s="16"/>
      <c r="E115" s="16"/>
      <c r="F115" s="16"/>
      <c r="G115" s="16"/>
      <c r="H115" s="16"/>
      <c r="I115" s="16"/>
      <c r="J115" s="16"/>
      <c r="K115" s="35"/>
      <c r="L115" s="3"/>
      <c r="Y115">
        <f t="shared" si="69"/>
        <v>0</v>
      </c>
      <c r="AA115">
        <f t="shared" si="70"/>
        <v>0</v>
      </c>
    </row>
    <row r="116" spans="1:27">
      <c r="A116" s="6" t="s">
        <v>226</v>
      </c>
      <c r="B116" s="6" t="s">
        <v>227</v>
      </c>
      <c r="C116" s="6" t="s">
        <v>65</v>
      </c>
      <c r="D116" s="11">
        <v>2</v>
      </c>
      <c r="E116" s="11">
        <f t="shared" ref="E116:E118" si="121">SUM(P116)</f>
        <v>191.63461999999996</v>
      </c>
      <c r="F116" s="11">
        <f t="shared" ref="F116:F118" si="122">D116*E116</f>
        <v>383.26923999999991</v>
      </c>
      <c r="G116" s="11">
        <f t="shared" ref="G116:G118" si="123">SUM(U116)</f>
        <v>144</v>
      </c>
      <c r="H116" s="11">
        <f t="shared" ref="H116:H118" si="124">D116*G116</f>
        <v>288</v>
      </c>
      <c r="I116" s="11">
        <f t="shared" ref="I116:I118" si="125">E116+G116</f>
        <v>335.63461999999993</v>
      </c>
      <c r="J116" s="11">
        <f t="shared" ref="J116:J118" si="126">F116+H116</f>
        <v>671.26923999999985</v>
      </c>
      <c r="K116" s="35"/>
      <c r="L116" s="3"/>
      <c r="N116" s="30">
        <f>SUM([1]List1!$E$80:$E$81)</f>
        <v>166.63879999999997</v>
      </c>
      <c r="O116" s="31">
        <f t="shared" ref="O116:O118" si="127">$O$1</f>
        <v>1.1499999999999999</v>
      </c>
      <c r="P116" s="32">
        <f t="shared" ref="P116:P118" si="128">SUM(O116*N116)</f>
        <v>191.63461999999996</v>
      </c>
      <c r="Q116" s="29"/>
      <c r="R116" s="29"/>
      <c r="S116" s="33">
        <v>120</v>
      </c>
      <c r="T116" s="34">
        <f t="shared" ref="T116:T118" si="129">$T$1</f>
        <v>1.2</v>
      </c>
      <c r="U116" s="33">
        <f t="shared" ref="U116:U118" si="130">SUM(T116*S116)</f>
        <v>144</v>
      </c>
      <c r="Y116">
        <f t="shared" si="69"/>
        <v>333.27759999999995</v>
      </c>
      <c r="AA116">
        <f t="shared" si="70"/>
        <v>240</v>
      </c>
    </row>
    <row r="117" spans="1:27">
      <c r="A117" s="6" t="s">
        <v>228</v>
      </c>
      <c r="B117" s="6" t="s">
        <v>229</v>
      </c>
      <c r="C117" s="6" t="s">
        <v>65</v>
      </c>
      <c r="D117" s="11">
        <v>6</v>
      </c>
      <c r="E117" s="11">
        <f t="shared" si="121"/>
        <v>168.28617</v>
      </c>
      <c r="F117" s="11">
        <f t="shared" si="122"/>
        <v>1009.71702</v>
      </c>
      <c r="G117" s="11">
        <f t="shared" si="123"/>
        <v>144</v>
      </c>
      <c r="H117" s="11">
        <f t="shared" si="124"/>
        <v>864</v>
      </c>
      <c r="I117" s="11">
        <f t="shared" si="125"/>
        <v>312.28616999999997</v>
      </c>
      <c r="J117" s="11">
        <f t="shared" si="126"/>
        <v>1873.71702</v>
      </c>
      <c r="K117" s="35"/>
      <c r="L117" s="3"/>
      <c r="N117" s="30">
        <f>SUM([1]List1!$E$82:$E$83)</f>
        <v>146.33580000000001</v>
      </c>
      <c r="O117" s="31">
        <f t="shared" si="127"/>
        <v>1.1499999999999999</v>
      </c>
      <c r="P117" s="32">
        <f t="shared" si="128"/>
        <v>168.28617</v>
      </c>
      <c r="Q117" s="29"/>
      <c r="R117" s="29"/>
      <c r="S117" s="33">
        <v>120</v>
      </c>
      <c r="T117" s="34">
        <f t="shared" si="129"/>
        <v>1.2</v>
      </c>
      <c r="U117" s="33">
        <f t="shared" si="130"/>
        <v>144</v>
      </c>
      <c r="Y117">
        <f t="shared" si="69"/>
        <v>878.01480000000004</v>
      </c>
      <c r="AA117">
        <f t="shared" si="70"/>
        <v>720</v>
      </c>
    </row>
    <row r="118" spans="1:27">
      <c r="A118" s="6" t="s">
        <v>230</v>
      </c>
      <c r="B118" s="6" t="s">
        <v>231</v>
      </c>
      <c r="C118" s="6" t="s">
        <v>65</v>
      </c>
      <c r="D118" s="11">
        <v>2</v>
      </c>
      <c r="E118" s="11">
        <f t="shared" si="121"/>
        <v>184.24586999999997</v>
      </c>
      <c r="F118" s="11">
        <f t="shared" si="122"/>
        <v>368.49173999999994</v>
      </c>
      <c r="G118" s="11">
        <f t="shared" si="123"/>
        <v>144</v>
      </c>
      <c r="H118" s="11">
        <f t="shared" si="124"/>
        <v>288</v>
      </c>
      <c r="I118" s="11">
        <f t="shared" si="125"/>
        <v>328.24586999999997</v>
      </c>
      <c r="J118" s="11">
        <f t="shared" si="126"/>
        <v>656.49173999999994</v>
      </c>
      <c r="K118" s="35"/>
      <c r="L118" s="3"/>
      <c r="N118" s="30">
        <f>SUM([1]List1!$E$84:$E$85)</f>
        <v>160.21379999999999</v>
      </c>
      <c r="O118" s="31">
        <f t="shared" si="127"/>
        <v>1.1499999999999999</v>
      </c>
      <c r="P118" s="32">
        <f t="shared" si="128"/>
        <v>184.24586999999997</v>
      </c>
      <c r="Q118" s="29"/>
      <c r="R118" s="29"/>
      <c r="S118" s="33">
        <v>120</v>
      </c>
      <c r="T118" s="34">
        <f t="shared" si="129"/>
        <v>1.2</v>
      </c>
      <c r="U118" s="33">
        <f t="shared" si="130"/>
        <v>144</v>
      </c>
      <c r="Y118">
        <f t="shared" si="69"/>
        <v>320.42759999999998</v>
      </c>
      <c r="AA118">
        <f t="shared" si="70"/>
        <v>240</v>
      </c>
    </row>
    <row r="119" spans="1:27">
      <c r="A119" s="15" t="s">
        <v>232</v>
      </c>
      <c r="B119" s="15" t="s">
        <v>233</v>
      </c>
      <c r="C119" s="15" t="s">
        <v>15</v>
      </c>
      <c r="D119" s="16"/>
      <c r="E119" s="16"/>
      <c r="F119" s="16"/>
      <c r="G119" s="16"/>
      <c r="H119" s="16"/>
      <c r="I119" s="16"/>
      <c r="J119" s="16"/>
      <c r="K119" s="35"/>
      <c r="L119" s="3"/>
      <c r="Y119">
        <f t="shared" si="69"/>
        <v>0</v>
      </c>
      <c r="AA119">
        <f t="shared" si="70"/>
        <v>0</v>
      </c>
    </row>
    <row r="120" spans="1:27">
      <c r="A120" s="6" t="s">
        <v>234</v>
      </c>
      <c r="B120" s="6" t="s">
        <v>206</v>
      </c>
      <c r="C120" s="6" t="s">
        <v>65</v>
      </c>
      <c r="D120" s="11">
        <v>2</v>
      </c>
      <c r="E120" s="11">
        <f t="shared" ref="E120:E122" si="131">SUM(P120)</f>
        <v>126.79095</v>
      </c>
      <c r="F120" s="11">
        <f t="shared" ref="F120:F122" si="132">D120*E120</f>
        <v>253.58189999999999</v>
      </c>
      <c r="G120" s="11">
        <f t="shared" ref="G120:G122" si="133">SUM(U120)</f>
        <v>144</v>
      </c>
      <c r="H120" s="11">
        <f t="shared" ref="H120:H122" si="134">D120*G120</f>
        <v>288</v>
      </c>
      <c r="I120" s="11">
        <f t="shared" ref="I120:I122" si="135">E120+G120</f>
        <v>270.79095000000001</v>
      </c>
      <c r="J120" s="11">
        <f t="shared" ref="J120:J122" si="136">F120+H120</f>
        <v>541.58190000000002</v>
      </c>
      <c r="K120" s="35"/>
      <c r="L120" s="3"/>
      <c r="N120" s="30">
        <v>110.253</v>
      </c>
      <c r="O120" s="31">
        <f t="shared" ref="O120:O122" si="137">$O$1</f>
        <v>1.1499999999999999</v>
      </c>
      <c r="P120" s="32">
        <f t="shared" ref="P120:P122" si="138">SUM(O120*N120)</f>
        <v>126.79095</v>
      </c>
      <c r="Q120" s="29"/>
      <c r="R120" s="29"/>
      <c r="S120" s="33">
        <v>120</v>
      </c>
      <c r="T120" s="34">
        <f t="shared" ref="T120:T122" si="139">$T$1</f>
        <v>1.2</v>
      </c>
      <c r="U120" s="33">
        <f t="shared" ref="U120:U122" si="140">SUM(T120*S120)</f>
        <v>144</v>
      </c>
      <c r="Y120">
        <f t="shared" si="69"/>
        <v>220.506</v>
      </c>
      <c r="AA120">
        <f t="shared" si="70"/>
        <v>240</v>
      </c>
    </row>
    <row r="121" spans="1:27">
      <c r="A121" s="6" t="s">
        <v>235</v>
      </c>
      <c r="B121" s="6" t="s">
        <v>204</v>
      </c>
      <c r="C121" s="6" t="s">
        <v>65</v>
      </c>
      <c r="D121" s="11">
        <v>2</v>
      </c>
      <c r="E121" s="11">
        <f t="shared" si="131"/>
        <v>97.531499999999994</v>
      </c>
      <c r="F121" s="11">
        <f t="shared" si="132"/>
        <v>195.06299999999999</v>
      </c>
      <c r="G121" s="11">
        <f t="shared" si="133"/>
        <v>144</v>
      </c>
      <c r="H121" s="11">
        <f t="shared" si="134"/>
        <v>288</v>
      </c>
      <c r="I121" s="11">
        <f t="shared" si="135"/>
        <v>241.53149999999999</v>
      </c>
      <c r="J121" s="11">
        <f t="shared" si="136"/>
        <v>483.06299999999999</v>
      </c>
      <c r="K121" s="35"/>
      <c r="L121" s="3"/>
      <c r="N121" s="30">
        <v>84.81</v>
      </c>
      <c r="O121" s="31">
        <f t="shared" si="137"/>
        <v>1.1499999999999999</v>
      </c>
      <c r="P121" s="32">
        <f t="shared" si="138"/>
        <v>97.531499999999994</v>
      </c>
      <c r="Q121" s="29"/>
      <c r="R121" s="29"/>
      <c r="S121" s="33">
        <v>120</v>
      </c>
      <c r="T121" s="34">
        <f t="shared" si="139"/>
        <v>1.2</v>
      </c>
      <c r="U121" s="33">
        <f t="shared" si="140"/>
        <v>144</v>
      </c>
      <c r="Y121">
        <f t="shared" si="69"/>
        <v>169.62</v>
      </c>
      <c r="AA121">
        <f t="shared" si="70"/>
        <v>240</v>
      </c>
    </row>
    <row r="122" spans="1:27">
      <c r="A122" s="6" t="s">
        <v>236</v>
      </c>
      <c r="B122" s="6" t="s">
        <v>237</v>
      </c>
      <c r="C122" s="6" t="s">
        <v>65</v>
      </c>
      <c r="D122" s="11">
        <v>4</v>
      </c>
      <c r="E122" s="11">
        <f t="shared" si="131"/>
        <v>104.62469999999999</v>
      </c>
      <c r="F122" s="11">
        <f t="shared" si="132"/>
        <v>418.49879999999996</v>
      </c>
      <c r="G122" s="11">
        <f t="shared" si="133"/>
        <v>144</v>
      </c>
      <c r="H122" s="11">
        <f t="shared" si="134"/>
        <v>576</v>
      </c>
      <c r="I122" s="11">
        <f t="shared" si="135"/>
        <v>248.62469999999999</v>
      </c>
      <c r="J122" s="11">
        <f t="shared" si="136"/>
        <v>994.49879999999996</v>
      </c>
      <c r="K122" s="35"/>
      <c r="L122" s="3"/>
      <c r="N122" s="30">
        <v>90.977999999999994</v>
      </c>
      <c r="O122" s="31">
        <f t="shared" si="137"/>
        <v>1.1499999999999999</v>
      </c>
      <c r="P122" s="32">
        <f t="shared" si="138"/>
        <v>104.62469999999999</v>
      </c>
      <c r="Q122" s="29"/>
      <c r="R122" s="29"/>
      <c r="S122" s="33">
        <v>120</v>
      </c>
      <c r="T122" s="34">
        <f t="shared" si="139"/>
        <v>1.2</v>
      </c>
      <c r="U122" s="33">
        <f t="shared" si="140"/>
        <v>144</v>
      </c>
      <c r="Y122">
        <f t="shared" si="69"/>
        <v>363.91199999999998</v>
      </c>
      <c r="AA122">
        <f t="shared" si="70"/>
        <v>480</v>
      </c>
    </row>
    <row r="123" spans="1:27">
      <c r="A123" s="15" t="s">
        <v>238</v>
      </c>
      <c r="B123" s="15" t="s">
        <v>239</v>
      </c>
      <c r="C123" s="15" t="s">
        <v>15</v>
      </c>
      <c r="D123" s="17"/>
      <c r="E123" s="17"/>
      <c r="F123" s="17"/>
      <c r="G123" s="17"/>
      <c r="H123" s="17"/>
      <c r="I123" s="17"/>
      <c r="J123" s="17"/>
      <c r="K123" s="35"/>
      <c r="L123" s="3"/>
      <c r="Y123">
        <f t="shared" si="69"/>
        <v>0</v>
      </c>
      <c r="AA123">
        <f t="shared" si="70"/>
        <v>0</v>
      </c>
    </row>
    <row r="124" spans="1:27">
      <c r="A124" s="6" t="s">
        <v>240</v>
      </c>
      <c r="B124" s="6" t="s">
        <v>241</v>
      </c>
      <c r="C124" s="6" t="s">
        <v>65</v>
      </c>
      <c r="D124" s="11">
        <v>2</v>
      </c>
      <c r="E124" s="11">
        <f>SUM(P124)</f>
        <v>376.23514999999998</v>
      </c>
      <c r="F124" s="11">
        <f>D124*E124</f>
        <v>752.47029999999995</v>
      </c>
      <c r="G124" s="11">
        <f>SUM(U124)</f>
        <v>144</v>
      </c>
      <c r="H124" s="11">
        <f>D124*G124</f>
        <v>288</v>
      </c>
      <c r="I124" s="11">
        <f>E124+G124</f>
        <v>520.23514999999998</v>
      </c>
      <c r="J124" s="11">
        <f>F124+H124</f>
        <v>1040.4703</v>
      </c>
      <c r="K124" s="35"/>
      <c r="L124" s="3"/>
      <c r="N124" s="30">
        <v>327.161</v>
      </c>
      <c r="O124" s="31">
        <f>$O$1</f>
        <v>1.1499999999999999</v>
      </c>
      <c r="P124" s="32">
        <f>SUM(O124*N124)</f>
        <v>376.23514999999998</v>
      </c>
      <c r="Q124" s="29"/>
      <c r="R124" s="29"/>
      <c r="S124" s="33">
        <v>120</v>
      </c>
      <c r="T124" s="34">
        <f>$T$1</f>
        <v>1.2</v>
      </c>
      <c r="U124" s="33">
        <f>SUM(T124*S124)</f>
        <v>144</v>
      </c>
      <c r="Y124">
        <f t="shared" si="69"/>
        <v>654.322</v>
      </c>
      <c r="AA124">
        <f t="shared" si="70"/>
        <v>240</v>
      </c>
    </row>
    <row r="125" spans="1:27">
      <c r="A125" s="15" t="s">
        <v>242</v>
      </c>
      <c r="B125" s="15" t="s">
        <v>243</v>
      </c>
      <c r="C125" s="15" t="s">
        <v>15</v>
      </c>
      <c r="D125" s="16"/>
      <c r="E125" s="16"/>
      <c r="F125" s="16"/>
      <c r="G125" s="16"/>
      <c r="H125" s="16"/>
      <c r="I125" s="16"/>
      <c r="J125" s="16"/>
      <c r="K125" s="35"/>
      <c r="L125" s="3"/>
      <c r="Y125">
        <f t="shared" si="69"/>
        <v>0</v>
      </c>
      <c r="AA125">
        <f t="shared" si="70"/>
        <v>0</v>
      </c>
    </row>
    <row r="126" spans="1:27">
      <c r="A126" s="6" t="s">
        <v>244</v>
      </c>
      <c r="B126" s="6" t="s">
        <v>245</v>
      </c>
      <c r="C126" s="6" t="s">
        <v>65</v>
      </c>
      <c r="D126" s="11">
        <v>1</v>
      </c>
      <c r="E126" s="11">
        <f>SUM(P126)</f>
        <v>6252.6557999999995</v>
      </c>
      <c r="F126" s="11">
        <f>D126*E126</f>
        <v>6252.6557999999995</v>
      </c>
      <c r="G126" s="11">
        <f>SUM(U126)</f>
        <v>5520</v>
      </c>
      <c r="H126" s="11">
        <f>D126*G126</f>
        <v>5520</v>
      </c>
      <c r="I126" s="11">
        <f>E126+G126</f>
        <v>11772.6558</v>
      </c>
      <c r="J126" s="11">
        <f>F126+H126</f>
        <v>11772.6558</v>
      </c>
      <c r="K126" s="35"/>
      <c r="L126" s="3"/>
      <c r="N126" s="30">
        <v>5437.0919999999996</v>
      </c>
      <c r="O126" s="31">
        <f>$O$1</f>
        <v>1.1499999999999999</v>
      </c>
      <c r="P126" s="32">
        <f>SUM(O126*N126)</f>
        <v>6252.6557999999995</v>
      </c>
      <c r="Q126" s="29"/>
      <c r="R126" s="29"/>
      <c r="S126" s="33">
        <v>4600</v>
      </c>
      <c r="T126" s="34">
        <f>$T$1</f>
        <v>1.2</v>
      </c>
      <c r="U126" s="33">
        <f>SUM(T126*S126)</f>
        <v>5520</v>
      </c>
      <c r="Y126">
        <f t="shared" si="69"/>
        <v>5437.0919999999996</v>
      </c>
      <c r="AA126">
        <f t="shared" si="70"/>
        <v>4600</v>
      </c>
    </row>
    <row r="127" spans="1:27">
      <c r="A127" s="15" t="s">
        <v>246</v>
      </c>
      <c r="B127" s="15" t="s">
        <v>247</v>
      </c>
      <c r="C127" s="15" t="s">
        <v>15</v>
      </c>
      <c r="D127" s="16"/>
      <c r="E127" s="16"/>
      <c r="F127" s="16"/>
      <c r="G127" s="16"/>
      <c r="H127" s="16"/>
      <c r="I127" s="16"/>
      <c r="J127" s="16"/>
      <c r="K127" s="35"/>
      <c r="L127" s="3"/>
      <c r="Y127">
        <f t="shared" si="69"/>
        <v>0</v>
      </c>
      <c r="AA127">
        <f t="shared" si="70"/>
        <v>0</v>
      </c>
    </row>
    <row r="128" spans="1:27">
      <c r="A128" s="6" t="s">
        <v>248</v>
      </c>
      <c r="B128" s="6" t="s">
        <v>249</v>
      </c>
      <c r="C128" s="6" t="s">
        <v>65</v>
      </c>
      <c r="D128" s="11">
        <v>1</v>
      </c>
      <c r="E128" s="11">
        <f>SUM(P128)</f>
        <v>647.13374999999996</v>
      </c>
      <c r="F128" s="11">
        <f>D128*E128</f>
        <v>647.13374999999996</v>
      </c>
      <c r="G128" s="11">
        <f>SUM(U128)</f>
        <v>300</v>
      </c>
      <c r="H128" s="11">
        <f>D128*G128</f>
        <v>300</v>
      </c>
      <c r="I128" s="11">
        <f>E128+G128</f>
        <v>947.13374999999996</v>
      </c>
      <c r="J128" s="11">
        <f>F128+H128</f>
        <v>947.13374999999996</v>
      </c>
      <c r="K128" s="35"/>
      <c r="L128" s="3"/>
      <c r="N128" s="30">
        <v>562.72500000000002</v>
      </c>
      <c r="O128" s="31">
        <f>$O$1</f>
        <v>1.1499999999999999</v>
      </c>
      <c r="P128" s="32">
        <f>SUM(O128*N128)</f>
        <v>647.13374999999996</v>
      </c>
      <c r="Q128" s="29"/>
      <c r="R128" s="29"/>
      <c r="S128" s="33">
        <v>250</v>
      </c>
      <c r="T128" s="34">
        <f>$T$1</f>
        <v>1.2</v>
      </c>
      <c r="U128" s="33">
        <f>SUM(T128*S128)</f>
        <v>300</v>
      </c>
      <c r="Y128">
        <f t="shared" si="69"/>
        <v>562.72500000000002</v>
      </c>
      <c r="AA128">
        <f t="shared" si="70"/>
        <v>250</v>
      </c>
    </row>
    <row r="129" spans="1:27">
      <c r="A129" s="15" t="s">
        <v>250</v>
      </c>
      <c r="B129" s="15" t="s">
        <v>251</v>
      </c>
      <c r="C129" s="15" t="s">
        <v>15</v>
      </c>
      <c r="D129" s="16"/>
      <c r="E129" s="16"/>
      <c r="F129" s="16"/>
      <c r="G129" s="16"/>
      <c r="H129" s="16"/>
      <c r="I129" s="16"/>
      <c r="J129" s="16"/>
      <c r="K129" s="35"/>
      <c r="L129" s="3"/>
      <c r="Y129">
        <f t="shared" si="69"/>
        <v>0</v>
      </c>
      <c r="AA129">
        <f t="shared" si="70"/>
        <v>0</v>
      </c>
    </row>
    <row r="130" spans="1:27">
      <c r="A130" s="6" t="s">
        <v>252</v>
      </c>
      <c r="B130" s="6" t="s">
        <v>253</v>
      </c>
      <c r="C130" s="6" t="s">
        <v>65</v>
      </c>
      <c r="D130" s="11">
        <v>3</v>
      </c>
      <c r="E130" s="11">
        <f t="shared" ref="E130:E133" si="141">SUM(P130)</f>
        <v>482.99999999999994</v>
      </c>
      <c r="F130" s="11">
        <f t="shared" ref="F130:F133" si="142">D130*E130</f>
        <v>1448.9999999999998</v>
      </c>
      <c r="G130" s="11">
        <f t="shared" ref="G130:G133" si="143">SUM(U130)</f>
        <v>300</v>
      </c>
      <c r="H130" s="11">
        <f t="shared" ref="H130:H133" si="144">D130*G130</f>
        <v>900</v>
      </c>
      <c r="I130" s="11">
        <f t="shared" ref="I130:I133" si="145">E130+G130</f>
        <v>783</v>
      </c>
      <c r="J130" s="11">
        <f t="shared" ref="J130:J133" si="146">F130+H130</f>
        <v>2349</v>
      </c>
      <c r="K130" s="35"/>
      <c r="L130" s="3"/>
      <c r="N130" s="30">
        <v>420</v>
      </c>
      <c r="O130" s="31">
        <f t="shared" ref="O130:O133" si="147">$O$1</f>
        <v>1.1499999999999999</v>
      </c>
      <c r="P130" s="32">
        <f t="shared" ref="P130:P133" si="148">SUM(O130*N130)</f>
        <v>482.99999999999994</v>
      </c>
      <c r="Q130" s="29"/>
      <c r="R130" s="29"/>
      <c r="S130" s="33">
        <v>250</v>
      </c>
      <c r="T130" s="34">
        <f t="shared" ref="T130:T133" si="149">$T$1</f>
        <v>1.2</v>
      </c>
      <c r="U130" s="33">
        <f t="shared" ref="U130:U133" si="150">SUM(T130*S130)</f>
        <v>300</v>
      </c>
      <c r="Y130">
        <f t="shared" si="69"/>
        <v>1260</v>
      </c>
      <c r="AA130">
        <f t="shared" si="70"/>
        <v>750</v>
      </c>
    </row>
    <row r="131" spans="1:27">
      <c r="A131" s="6" t="s">
        <v>254</v>
      </c>
      <c r="B131" s="6" t="s">
        <v>255</v>
      </c>
      <c r="C131" s="6" t="s">
        <v>65</v>
      </c>
      <c r="D131" s="11">
        <v>94</v>
      </c>
      <c r="E131" s="11">
        <f t="shared" si="141"/>
        <v>5.5043600000000001</v>
      </c>
      <c r="F131" s="11">
        <f t="shared" si="142"/>
        <v>517.40984000000003</v>
      </c>
      <c r="G131" s="11">
        <f t="shared" si="143"/>
        <v>78</v>
      </c>
      <c r="H131" s="11">
        <f t="shared" si="144"/>
        <v>7332</v>
      </c>
      <c r="I131" s="11">
        <f t="shared" si="145"/>
        <v>83.504360000000005</v>
      </c>
      <c r="J131" s="11">
        <f t="shared" si="146"/>
        <v>7849.4098400000003</v>
      </c>
      <c r="K131" s="35"/>
      <c r="L131" s="3"/>
      <c r="N131" s="30">
        <v>4.7864000000000004</v>
      </c>
      <c r="O131" s="31">
        <f t="shared" si="147"/>
        <v>1.1499999999999999</v>
      </c>
      <c r="P131" s="32">
        <f t="shared" si="148"/>
        <v>5.5043600000000001</v>
      </c>
      <c r="Q131" s="29"/>
      <c r="R131" s="29"/>
      <c r="S131" s="33">
        <v>65</v>
      </c>
      <c r="T131" s="34">
        <f t="shared" si="149"/>
        <v>1.2</v>
      </c>
      <c r="U131" s="33">
        <f t="shared" si="150"/>
        <v>78</v>
      </c>
      <c r="Y131">
        <f t="shared" si="69"/>
        <v>449.92160000000001</v>
      </c>
      <c r="AA131">
        <f t="shared" si="70"/>
        <v>6110</v>
      </c>
    </row>
    <row r="132" spans="1:27">
      <c r="A132" s="6" t="s">
        <v>256</v>
      </c>
      <c r="B132" s="6" t="s">
        <v>257</v>
      </c>
      <c r="C132" s="6" t="s">
        <v>65</v>
      </c>
      <c r="D132" s="11">
        <v>20</v>
      </c>
      <c r="E132" s="11">
        <f t="shared" si="141"/>
        <v>12.284990000000001</v>
      </c>
      <c r="F132" s="11">
        <f t="shared" si="142"/>
        <v>245.69980000000001</v>
      </c>
      <c r="G132" s="11">
        <f t="shared" si="143"/>
        <v>102</v>
      </c>
      <c r="H132" s="11">
        <f t="shared" si="144"/>
        <v>2040</v>
      </c>
      <c r="I132" s="11">
        <f t="shared" si="145"/>
        <v>114.28498999999999</v>
      </c>
      <c r="J132" s="11">
        <f t="shared" si="146"/>
        <v>2285.6997999999999</v>
      </c>
      <c r="K132" s="35"/>
      <c r="L132" s="3"/>
      <c r="N132" s="30">
        <f>SUM([1]List1!$E$93:$E$94)</f>
        <v>10.682600000000001</v>
      </c>
      <c r="O132" s="31">
        <f t="shared" si="147"/>
        <v>1.1499999999999999</v>
      </c>
      <c r="P132" s="32">
        <f t="shared" si="148"/>
        <v>12.284990000000001</v>
      </c>
      <c r="Q132" s="29"/>
      <c r="R132" s="29"/>
      <c r="S132" s="33">
        <v>85</v>
      </c>
      <c r="T132" s="34">
        <f t="shared" si="149"/>
        <v>1.2</v>
      </c>
      <c r="U132" s="33">
        <f t="shared" si="150"/>
        <v>102</v>
      </c>
      <c r="Y132">
        <f t="shared" si="69"/>
        <v>213.65200000000002</v>
      </c>
      <c r="AA132">
        <f t="shared" si="70"/>
        <v>1700</v>
      </c>
    </row>
    <row r="133" spans="1:27">
      <c r="A133" s="6" t="s">
        <v>258</v>
      </c>
      <c r="B133" s="6" t="s">
        <v>259</v>
      </c>
      <c r="C133" s="6" t="s">
        <v>65</v>
      </c>
      <c r="D133" s="11">
        <v>20</v>
      </c>
      <c r="E133" s="11">
        <f t="shared" si="141"/>
        <v>120.20466999999999</v>
      </c>
      <c r="F133" s="11">
        <f t="shared" si="142"/>
        <v>2404.0933999999997</v>
      </c>
      <c r="G133" s="11">
        <f t="shared" si="143"/>
        <v>78</v>
      </c>
      <c r="H133" s="11">
        <f t="shared" si="144"/>
        <v>1560</v>
      </c>
      <c r="I133" s="11">
        <f t="shared" si="145"/>
        <v>198.20466999999999</v>
      </c>
      <c r="J133" s="11">
        <f t="shared" si="146"/>
        <v>3964.0933999999997</v>
      </c>
      <c r="K133" s="35"/>
      <c r="L133" s="3"/>
      <c r="N133" s="30">
        <v>104.5258</v>
      </c>
      <c r="O133" s="31">
        <f t="shared" si="147"/>
        <v>1.1499999999999999</v>
      </c>
      <c r="P133" s="32">
        <f t="shared" si="148"/>
        <v>120.20466999999999</v>
      </c>
      <c r="Q133" s="29"/>
      <c r="R133" s="29"/>
      <c r="S133" s="33">
        <v>65</v>
      </c>
      <c r="T133" s="34">
        <f t="shared" si="149"/>
        <v>1.2</v>
      </c>
      <c r="U133" s="33">
        <f t="shared" si="150"/>
        <v>78</v>
      </c>
      <c r="Y133">
        <f t="shared" si="69"/>
        <v>2090.5160000000001</v>
      </c>
      <c r="AA133">
        <f t="shared" si="70"/>
        <v>1300</v>
      </c>
    </row>
    <row r="134" spans="1:27">
      <c r="A134" s="15" t="s">
        <v>260</v>
      </c>
      <c r="B134" s="15" t="s">
        <v>261</v>
      </c>
      <c r="C134" s="15" t="s">
        <v>15</v>
      </c>
      <c r="D134" s="16"/>
      <c r="E134" s="16"/>
      <c r="F134" s="16"/>
      <c r="G134" s="16"/>
      <c r="H134" s="16"/>
      <c r="I134" s="16"/>
      <c r="J134" s="16"/>
      <c r="K134" s="35"/>
      <c r="L134" s="3"/>
      <c r="Y134">
        <f t="shared" si="69"/>
        <v>0</v>
      </c>
      <c r="AA134">
        <f t="shared" si="70"/>
        <v>0</v>
      </c>
    </row>
    <row r="135" spans="1:27">
      <c r="A135" s="15" t="s">
        <v>262</v>
      </c>
      <c r="B135" s="15" t="s">
        <v>263</v>
      </c>
      <c r="C135" s="15" t="s">
        <v>15</v>
      </c>
      <c r="D135" s="16"/>
      <c r="E135" s="16"/>
      <c r="F135" s="16"/>
      <c r="G135" s="16"/>
      <c r="H135" s="16"/>
      <c r="I135" s="16"/>
      <c r="J135" s="16"/>
      <c r="K135" s="35"/>
      <c r="L135" s="3"/>
      <c r="Y135">
        <f t="shared" si="69"/>
        <v>0</v>
      </c>
      <c r="AA135">
        <f t="shared" si="70"/>
        <v>0</v>
      </c>
    </row>
    <row r="136" spans="1:27">
      <c r="A136" s="15" t="s">
        <v>264</v>
      </c>
      <c r="B136" s="15" t="s">
        <v>265</v>
      </c>
      <c r="C136" s="15" t="s">
        <v>15</v>
      </c>
      <c r="D136" s="16"/>
      <c r="E136" s="16"/>
      <c r="F136" s="16"/>
      <c r="G136" s="16"/>
      <c r="H136" s="16"/>
      <c r="I136" s="16"/>
      <c r="J136" s="16"/>
      <c r="K136" s="35"/>
      <c r="L136" s="3"/>
      <c r="Y136">
        <f t="shared" si="69"/>
        <v>0</v>
      </c>
      <c r="AA136">
        <f t="shared" si="70"/>
        <v>0</v>
      </c>
    </row>
    <row r="137" spans="1:27">
      <c r="A137" s="6" t="s">
        <v>266</v>
      </c>
      <c r="B137" s="6" t="s">
        <v>267</v>
      </c>
      <c r="C137" s="6" t="s">
        <v>65</v>
      </c>
      <c r="D137" s="11">
        <v>80</v>
      </c>
      <c r="E137" s="11">
        <f t="shared" ref="E137:E139" si="151">SUM(P137)</f>
        <v>155.21118749999999</v>
      </c>
      <c r="F137" s="11">
        <f t="shared" ref="F137:F139" si="152">D137*E137</f>
        <v>12416.895</v>
      </c>
      <c r="G137" s="11">
        <f t="shared" ref="G137:G139" si="153">SUM(U137)</f>
        <v>660</v>
      </c>
      <c r="H137" s="11">
        <f t="shared" ref="H137:H139" si="154">D137*G137</f>
        <v>52800</v>
      </c>
      <c r="I137" s="11">
        <f t="shared" ref="I137:I139" si="155">E137+G137</f>
        <v>815.21118750000005</v>
      </c>
      <c r="J137" s="11">
        <f t="shared" ref="J137:J139" si="156">F137+H137</f>
        <v>65216.895000000004</v>
      </c>
      <c r="K137" s="35"/>
      <c r="L137" s="3"/>
      <c r="N137" s="30">
        <v>134.96625</v>
      </c>
      <c r="O137" s="31">
        <f t="shared" ref="O137:O139" si="157">$O$1</f>
        <v>1.1499999999999999</v>
      </c>
      <c r="P137" s="32">
        <f t="shared" ref="P137:P139" si="158">SUM(O137*N137)</f>
        <v>155.21118749999999</v>
      </c>
      <c r="Q137" s="29"/>
      <c r="R137" s="29"/>
      <c r="S137" s="33">
        <v>550</v>
      </c>
      <c r="T137" s="34">
        <f t="shared" ref="T137:T139" si="159">$T$1</f>
        <v>1.2</v>
      </c>
      <c r="U137" s="33">
        <f t="shared" ref="U137:U139" si="160">SUM(T137*S137)</f>
        <v>660</v>
      </c>
      <c r="Y137">
        <f t="shared" ref="Y137:Y200" si="161">SUM(N137*D137)</f>
        <v>10797.3</v>
      </c>
      <c r="AA137">
        <f t="shared" ref="AA137:AA200" si="162">SUM(S137*D137)</f>
        <v>44000</v>
      </c>
    </row>
    <row r="138" spans="1:27">
      <c r="A138" s="6" t="s">
        <v>268</v>
      </c>
      <c r="B138" s="6" t="s">
        <v>269</v>
      </c>
      <c r="C138" s="6" t="s">
        <v>65</v>
      </c>
      <c r="D138" s="11">
        <v>850</v>
      </c>
      <c r="E138" s="11">
        <f t="shared" si="151"/>
        <v>4.1399999999999997</v>
      </c>
      <c r="F138" s="11">
        <f t="shared" si="152"/>
        <v>3518.9999999999995</v>
      </c>
      <c r="G138" s="11">
        <f t="shared" si="153"/>
        <v>10.799999999999999</v>
      </c>
      <c r="H138" s="11">
        <f t="shared" si="154"/>
        <v>9180</v>
      </c>
      <c r="I138" s="11">
        <f t="shared" si="155"/>
        <v>14.939999999999998</v>
      </c>
      <c r="J138" s="11">
        <f t="shared" si="156"/>
        <v>12699</v>
      </c>
      <c r="K138" s="35"/>
      <c r="L138" s="3"/>
      <c r="N138" s="30">
        <v>3.6</v>
      </c>
      <c r="O138" s="31">
        <f t="shared" si="157"/>
        <v>1.1499999999999999</v>
      </c>
      <c r="P138" s="32">
        <f t="shared" si="158"/>
        <v>4.1399999999999997</v>
      </c>
      <c r="Q138" s="29"/>
      <c r="R138" s="29"/>
      <c r="S138" s="33">
        <v>9</v>
      </c>
      <c r="T138" s="34">
        <f t="shared" si="159"/>
        <v>1.2</v>
      </c>
      <c r="U138" s="33">
        <f t="shared" si="160"/>
        <v>10.799999999999999</v>
      </c>
      <c r="Y138">
        <f t="shared" si="161"/>
        <v>3060</v>
      </c>
      <c r="AA138">
        <f t="shared" si="162"/>
        <v>7650</v>
      </c>
    </row>
    <row r="139" spans="1:27">
      <c r="A139" s="6" t="s">
        <v>270</v>
      </c>
      <c r="B139" s="6" t="s">
        <v>271</v>
      </c>
      <c r="C139" s="6" t="s">
        <v>65</v>
      </c>
      <c r="D139" s="11">
        <v>220</v>
      </c>
      <c r="E139" s="11">
        <f t="shared" si="151"/>
        <v>5.8304999999999998</v>
      </c>
      <c r="F139" s="11">
        <f t="shared" si="152"/>
        <v>1282.71</v>
      </c>
      <c r="G139" s="11">
        <f t="shared" si="153"/>
        <v>10.799999999999999</v>
      </c>
      <c r="H139" s="11">
        <f t="shared" si="154"/>
        <v>2375.9999999999995</v>
      </c>
      <c r="I139" s="11">
        <f t="shared" si="155"/>
        <v>16.630499999999998</v>
      </c>
      <c r="J139" s="11">
        <f t="shared" si="156"/>
        <v>3658.7099999999996</v>
      </c>
      <c r="K139" s="35"/>
      <c r="L139" s="3"/>
      <c r="N139" s="30">
        <v>5.07</v>
      </c>
      <c r="O139" s="31">
        <f t="shared" si="157"/>
        <v>1.1499999999999999</v>
      </c>
      <c r="P139" s="32">
        <f t="shared" si="158"/>
        <v>5.8304999999999998</v>
      </c>
      <c r="Q139" s="29"/>
      <c r="R139" s="29"/>
      <c r="S139" s="33">
        <v>9</v>
      </c>
      <c r="T139" s="34">
        <f t="shared" si="159"/>
        <v>1.2</v>
      </c>
      <c r="U139" s="33">
        <f t="shared" si="160"/>
        <v>10.799999999999999</v>
      </c>
      <c r="Y139">
        <f t="shared" si="161"/>
        <v>1115.4000000000001</v>
      </c>
      <c r="AA139">
        <f t="shared" si="162"/>
        <v>1980</v>
      </c>
    </row>
    <row r="140" spans="1:27">
      <c r="A140" s="7" t="s">
        <v>15</v>
      </c>
      <c r="B140" s="7" t="s">
        <v>272</v>
      </c>
      <c r="C140" s="7" t="s">
        <v>15</v>
      </c>
      <c r="D140" s="14"/>
      <c r="E140" s="14"/>
      <c r="F140" s="14">
        <f>SUM(F69:F139)</f>
        <v>192719.46973999997</v>
      </c>
      <c r="G140" s="14"/>
      <c r="H140" s="14">
        <f>SUM(H69:H139)</f>
        <v>143568</v>
      </c>
      <c r="I140" s="14"/>
      <c r="J140" s="14">
        <f>SUM(J69:J139)</f>
        <v>336287.46973999997</v>
      </c>
      <c r="K140" s="35"/>
      <c r="L140" s="3"/>
      <c r="Y140">
        <f t="shared" si="161"/>
        <v>0</v>
      </c>
      <c r="AA140">
        <f t="shared" si="162"/>
        <v>0</v>
      </c>
    </row>
    <row r="141" spans="1:27">
      <c r="A141" s="6" t="s">
        <v>15</v>
      </c>
      <c r="B141" s="6" t="s">
        <v>15</v>
      </c>
      <c r="C141" s="6" t="s">
        <v>15</v>
      </c>
      <c r="D141" s="11"/>
      <c r="E141" s="11"/>
      <c r="F141" s="11"/>
      <c r="G141" s="11"/>
      <c r="H141" s="11"/>
      <c r="I141" s="11">
        <f>E141+G141</f>
        <v>0</v>
      </c>
      <c r="J141" s="11">
        <f>F141+H141</f>
        <v>0</v>
      </c>
      <c r="K141" s="35"/>
      <c r="L141" s="3"/>
      <c r="Y141">
        <f t="shared" si="161"/>
        <v>0</v>
      </c>
      <c r="AA141">
        <f t="shared" si="162"/>
        <v>0</v>
      </c>
    </row>
    <row r="142" spans="1:27">
      <c r="A142" s="7" t="s">
        <v>15</v>
      </c>
      <c r="B142" s="7" t="s">
        <v>273</v>
      </c>
      <c r="C142" s="7" t="s">
        <v>15</v>
      </c>
      <c r="D142" s="14"/>
      <c r="E142" s="14"/>
      <c r="F142" s="14"/>
      <c r="G142" s="14"/>
      <c r="H142" s="14"/>
      <c r="I142" s="14"/>
      <c r="J142" s="14"/>
      <c r="K142" s="35"/>
      <c r="L142" s="3"/>
      <c r="Y142">
        <f t="shared" si="161"/>
        <v>0</v>
      </c>
      <c r="AA142">
        <f t="shared" si="162"/>
        <v>0</v>
      </c>
    </row>
    <row r="143" spans="1:27">
      <c r="A143" s="6" t="s">
        <v>15</v>
      </c>
      <c r="B143" s="6" t="s">
        <v>274</v>
      </c>
      <c r="C143" s="6" t="s">
        <v>65</v>
      </c>
      <c r="D143" s="11">
        <v>1</v>
      </c>
      <c r="E143" s="11">
        <f>SUM(P143)</f>
        <v>4542.5</v>
      </c>
      <c r="F143" s="11">
        <f>D143*E143</f>
        <v>4542.5</v>
      </c>
      <c r="G143" s="11">
        <f>SUM(U143)</f>
        <v>2040</v>
      </c>
      <c r="H143" s="11">
        <f>D143*G143</f>
        <v>2040</v>
      </c>
      <c r="I143" s="11">
        <f>E143+G143</f>
        <v>6582.5</v>
      </c>
      <c r="J143" s="11">
        <f>F143+H143</f>
        <v>6582.5</v>
      </c>
      <c r="K143" s="35"/>
      <c r="L143" s="3"/>
      <c r="N143" s="30">
        <v>3950</v>
      </c>
      <c r="O143" s="31">
        <f>$O$1</f>
        <v>1.1499999999999999</v>
      </c>
      <c r="P143" s="32">
        <f>SUM(O143*N143)</f>
        <v>4542.5</v>
      </c>
      <c r="Q143" s="29"/>
      <c r="R143" s="29"/>
      <c r="S143" s="33">
        <v>1700</v>
      </c>
      <c r="T143" s="34">
        <f>$T$1</f>
        <v>1.2</v>
      </c>
      <c r="U143" s="33">
        <f>SUM(T143*S143)</f>
        <v>2040</v>
      </c>
      <c r="Y143">
        <f t="shared" si="161"/>
        <v>3950</v>
      </c>
      <c r="AA143">
        <f t="shared" si="162"/>
        <v>1700</v>
      </c>
    </row>
    <row r="144" spans="1:27">
      <c r="A144" s="7" t="s">
        <v>15</v>
      </c>
      <c r="B144" s="7" t="s">
        <v>275</v>
      </c>
      <c r="C144" s="7" t="s">
        <v>15</v>
      </c>
      <c r="D144" s="14"/>
      <c r="E144" s="14"/>
      <c r="F144" s="14">
        <f>SUM(F143:F143)</f>
        <v>4542.5</v>
      </c>
      <c r="G144" s="14"/>
      <c r="H144" s="14">
        <f>SUM(H143:H143)</f>
        <v>2040</v>
      </c>
      <c r="I144" s="14"/>
      <c r="J144" s="14">
        <f>SUM(J143:J143)</f>
        <v>6582.5</v>
      </c>
      <c r="K144" s="35"/>
      <c r="L144" s="3"/>
      <c r="Y144">
        <f t="shared" si="161"/>
        <v>0</v>
      </c>
      <c r="AA144">
        <f t="shared" si="162"/>
        <v>0</v>
      </c>
    </row>
    <row r="145" spans="1:27">
      <c r="A145" s="6" t="s">
        <v>15</v>
      </c>
      <c r="B145" s="6" t="s">
        <v>15</v>
      </c>
      <c r="C145" s="6" t="s">
        <v>15</v>
      </c>
      <c r="D145" s="11"/>
      <c r="E145" s="11"/>
      <c r="F145" s="11"/>
      <c r="G145" s="11"/>
      <c r="H145" s="11"/>
      <c r="I145" s="11">
        <f>E145+G145</f>
        <v>0</v>
      </c>
      <c r="J145" s="11">
        <f>F145+H145</f>
        <v>0</v>
      </c>
      <c r="K145" s="35"/>
      <c r="L145" s="3"/>
      <c r="Y145">
        <f t="shared" si="161"/>
        <v>0</v>
      </c>
      <c r="AA145">
        <f t="shared" si="162"/>
        <v>0</v>
      </c>
    </row>
    <row r="146" spans="1:27">
      <c r="A146" s="7" t="s">
        <v>15</v>
      </c>
      <c r="B146" s="7" t="s">
        <v>276</v>
      </c>
      <c r="C146" s="7" t="s">
        <v>15</v>
      </c>
      <c r="D146" s="14"/>
      <c r="E146" s="14"/>
      <c r="F146" s="14"/>
      <c r="G146" s="14"/>
      <c r="H146" s="14"/>
      <c r="I146" s="14"/>
      <c r="J146" s="14"/>
      <c r="K146" s="35"/>
      <c r="L146" s="3"/>
      <c r="Y146">
        <f t="shared" si="161"/>
        <v>0</v>
      </c>
      <c r="AA146">
        <f t="shared" si="162"/>
        <v>0</v>
      </c>
    </row>
    <row r="147" spans="1:27">
      <c r="A147" s="15" t="s">
        <v>277</v>
      </c>
      <c r="B147" s="15" t="s">
        <v>278</v>
      </c>
      <c r="C147" s="15" t="s">
        <v>15</v>
      </c>
      <c r="D147" s="16"/>
      <c r="E147" s="16"/>
      <c r="F147" s="16"/>
      <c r="G147" s="16"/>
      <c r="H147" s="16"/>
      <c r="I147" s="16"/>
      <c r="J147" s="16"/>
      <c r="K147" s="35"/>
      <c r="L147" s="3"/>
      <c r="Y147">
        <f t="shared" si="161"/>
        <v>0</v>
      </c>
      <c r="AA147">
        <f t="shared" si="162"/>
        <v>0</v>
      </c>
    </row>
    <row r="148" spans="1:27">
      <c r="A148" s="6" t="s">
        <v>279</v>
      </c>
      <c r="B148" s="6" t="s">
        <v>280</v>
      </c>
      <c r="C148" s="6" t="s">
        <v>84</v>
      </c>
      <c r="D148" s="11">
        <v>4200</v>
      </c>
      <c r="E148" s="11">
        <f t="shared" ref="E148:E155" si="163">SUM(P148)</f>
        <v>12.567774999999999</v>
      </c>
      <c r="F148" s="11">
        <f t="shared" ref="F148:F155" si="164">D148*E148</f>
        <v>52784.654999999999</v>
      </c>
      <c r="G148" s="11">
        <f t="shared" ref="G148:G155" si="165">SUM(U148)</f>
        <v>26.4</v>
      </c>
      <c r="H148" s="11">
        <f t="shared" ref="H148:H155" si="166">D148*G148</f>
        <v>110880</v>
      </c>
      <c r="I148" s="11">
        <f t="shared" ref="I148:I155" si="167">E148+G148</f>
        <v>38.967774999999996</v>
      </c>
      <c r="J148" s="11">
        <f t="shared" ref="J148:J155" si="168">F148+H148</f>
        <v>163664.655</v>
      </c>
      <c r="K148" s="35"/>
      <c r="L148" s="3"/>
      <c r="N148" s="30">
        <v>10.9285</v>
      </c>
      <c r="O148" s="31">
        <f t="shared" ref="O148:O155" si="169">$O$1</f>
        <v>1.1499999999999999</v>
      </c>
      <c r="P148" s="32">
        <f t="shared" ref="P148:P155" si="170">SUM(O148*N148)</f>
        <v>12.567774999999999</v>
      </c>
      <c r="Q148" s="29"/>
      <c r="R148" s="29"/>
      <c r="S148" s="33">
        <v>22</v>
      </c>
      <c r="T148" s="34">
        <f t="shared" ref="T148:T155" si="171">$T$1</f>
        <v>1.2</v>
      </c>
      <c r="U148" s="33">
        <f t="shared" ref="U148:U155" si="172">SUM(T148*S148)</f>
        <v>26.4</v>
      </c>
      <c r="Y148">
        <f t="shared" si="161"/>
        <v>45899.7</v>
      </c>
      <c r="AA148">
        <f t="shared" si="162"/>
        <v>92400</v>
      </c>
    </row>
    <row r="149" spans="1:27">
      <c r="A149" s="6" t="s">
        <v>281</v>
      </c>
      <c r="B149" s="6" t="s">
        <v>282</v>
      </c>
      <c r="C149" s="6" t="s">
        <v>84</v>
      </c>
      <c r="D149" s="11">
        <v>4480</v>
      </c>
      <c r="E149" s="11">
        <f t="shared" si="163"/>
        <v>20.695399999999996</v>
      </c>
      <c r="F149" s="11">
        <f t="shared" si="164"/>
        <v>92715.391999999978</v>
      </c>
      <c r="G149" s="11">
        <f t="shared" si="165"/>
        <v>26.4</v>
      </c>
      <c r="H149" s="11">
        <f t="shared" si="166"/>
        <v>118272</v>
      </c>
      <c r="I149" s="11">
        <f t="shared" si="167"/>
        <v>47.095399999999998</v>
      </c>
      <c r="J149" s="11">
        <f t="shared" si="168"/>
        <v>210987.39199999999</v>
      </c>
      <c r="K149" s="35"/>
      <c r="L149" s="3"/>
      <c r="N149" s="30">
        <v>17.995999999999999</v>
      </c>
      <c r="O149" s="31">
        <f t="shared" si="169"/>
        <v>1.1499999999999999</v>
      </c>
      <c r="P149" s="32">
        <f t="shared" si="170"/>
        <v>20.695399999999996</v>
      </c>
      <c r="Q149" s="29"/>
      <c r="R149" s="29"/>
      <c r="S149" s="33">
        <v>22</v>
      </c>
      <c r="T149" s="34">
        <f t="shared" si="171"/>
        <v>1.2</v>
      </c>
      <c r="U149" s="33">
        <f t="shared" si="172"/>
        <v>26.4</v>
      </c>
      <c r="Y149">
        <f t="shared" si="161"/>
        <v>80622.079999999987</v>
      </c>
      <c r="AA149">
        <f t="shared" si="162"/>
        <v>98560</v>
      </c>
    </row>
    <row r="150" spans="1:27">
      <c r="A150" s="6" t="s">
        <v>283</v>
      </c>
      <c r="B150" s="6" t="s">
        <v>284</v>
      </c>
      <c r="C150" s="6" t="s">
        <v>84</v>
      </c>
      <c r="D150" s="11">
        <v>1540</v>
      </c>
      <c r="E150" s="11">
        <f t="shared" si="163"/>
        <v>20.088199999999997</v>
      </c>
      <c r="F150" s="11">
        <f t="shared" si="164"/>
        <v>30935.827999999994</v>
      </c>
      <c r="G150" s="11">
        <f t="shared" si="165"/>
        <v>26.4</v>
      </c>
      <c r="H150" s="11">
        <f t="shared" si="166"/>
        <v>40656</v>
      </c>
      <c r="I150" s="11">
        <f t="shared" si="167"/>
        <v>46.488199999999992</v>
      </c>
      <c r="J150" s="11">
        <f t="shared" si="168"/>
        <v>71591.827999999994</v>
      </c>
      <c r="K150" s="35"/>
      <c r="L150" s="3"/>
      <c r="N150" s="30">
        <v>17.468</v>
      </c>
      <c r="O150" s="31">
        <f t="shared" si="169"/>
        <v>1.1499999999999999</v>
      </c>
      <c r="P150" s="32">
        <f t="shared" si="170"/>
        <v>20.088199999999997</v>
      </c>
      <c r="Q150" s="29"/>
      <c r="R150" s="29"/>
      <c r="S150" s="33">
        <v>22</v>
      </c>
      <c r="T150" s="34">
        <f t="shared" si="171"/>
        <v>1.2</v>
      </c>
      <c r="U150" s="33">
        <f t="shared" si="172"/>
        <v>26.4</v>
      </c>
      <c r="Y150">
        <f t="shared" si="161"/>
        <v>26900.720000000001</v>
      </c>
      <c r="AA150">
        <f t="shared" si="162"/>
        <v>33880</v>
      </c>
    </row>
    <row r="151" spans="1:27">
      <c r="A151" s="6" t="s">
        <v>285</v>
      </c>
      <c r="B151" s="6" t="s">
        <v>286</v>
      </c>
      <c r="C151" s="6" t="s">
        <v>84</v>
      </c>
      <c r="D151" s="11">
        <v>1890</v>
      </c>
      <c r="E151" s="11">
        <f t="shared" si="163"/>
        <v>33.358049999999999</v>
      </c>
      <c r="F151" s="11">
        <f t="shared" si="164"/>
        <v>63046.714499999995</v>
      </c>
      <c r="G151" s="11">
        <f t="shared" si="165"/>
        <v>26.4</v>
      </c>
      <c r="H151" s="11">
        <f t="shared" si="166"/>
        <v>49896</v>
      </c>
      <c r="I151" s="11">
        <f t="shared" si="167"/>
        <v>59.758049999999997</v>
      </c>
      <c r="J151" s="11">
        <f t="shared" si="168"/>
        <v>112942.7145</v>
      </c>
      <c r="K151" s="35"/>
      <c r="L151" s="3"/>
      <c r="N151" s="30">
        <v>29.007000000000001</v>
      </c>
      <c r="O151" s="31">
        <f t="shared" si="169"/>
        <v>1.1499999999999999</v>
      </c>
      <c r="P151" s="32">
        <f t="shared" si="170"/>
        <v>33.358049999999999</v>
      </c>
      <c r="Q151" s="29"/>
      <c r="R151" s="29"/>
      <c r="S151" s="33">
        <v>22</v>
      </c>
      <c r="T151" s="34">
        <f t="shared" si="171"/>
        <v>1.2</v>
      </c>
      <c r="U151" s="33">
        <f t="shared" si="172"/>
        <v>26.4</v>
      </c>
      <c r="Y151">
        <f t="shared" si="161"/>
        <v>54823.23</v>
      </c>
      <c r="AA151">
        <f t="shared" si="162"/>
        <v>41580</v>
      </c>
    </row>
    <row r="152" spans="1:27">
      <c r="A152" s="6" t="s">
        <v>287</v>
      </c>
      <c r="B152" s="6" t="s">
        <v>288</v>
      </c>
      <c r="C152" s="6" t="s">
        <v>84</v>
      </c>
      <c r="D152" s="11">
        <v>550</v>
      </c>
      <c r="E152" s="11">
        <f t="shared" si="163"/>
        <v>55.337424999999996</v>
      </c>
      <c r="F152" s="11">
        <f t="shared" si="164"/>
        <v>30435.583749999998</v>
      </c>
      <c r="G152" s="11">
        <f t="shared" si="165"/>
        <v>30</v>
      </c>
      <c r="H152" s="11">
        <f t="shared" si="166"/>
        <v>16500</v>
      </c>
      <c r="I152" s="11">
        <f t="shared" si="167"/>
        <v>85.337424999999996</v>
      </c>
      <c r="J152" s="11">
        <f t="shared" si="168"/>
        <v>46935.583749999998</v>
      </c>
      <c r="K152" s="35"/>
      <c r="L152" s="3"/>
      <c r="N152" s="30">
        <v>48.119500000000002</v>
      </c>
      <c r="O152" s="31">
        <f t="shared" si="169"/>
        <v>1.1499999999999999</v>
      </c>
      <c r="P152" s="32">
        <f t="shared" si="170"/>
        <v>55.337424999999996</v>
      </c>
      <c r="Q152" s="29"/>
      <c r="R152" s="29"/>
      <c r="S152" s="33">
        <v>25</v>
      </c>
      <c r="T152" s="34">
        <f t="shared" si="171"/>
        <v>1.2</v>
      </c>
      <c r="U152" s="33">
        <f t="shared" si="172"/>
        <v>30</v>
      </c>
      <c r="Y152">
        <f t="shared" si="161"/>
        <v>26465.725000000002</v>
      </c>
      <c r="AA152">
        <f t="shared" si="162"/>
        <v>13750</v>
      </c>
    </row>
    <row r="153" spans="1:27">
      <c r="A153" s="6" t="s">
        <v>289</v>
      </c>
      <c r="B153" s="6" t="s">
        <v>290</v>
      </c>
      <c r="C153" s="6" t="s">
        <v>84</v>
      </c>
      <c r="D153" s="11">
        <v>180</v>
      </c>
      <c r="E153" s="11">
        <f t="shared" si="163"/>
        <v>81.219324999999998</v>
      </c>
      <c r="F153" s="11">
        <f t="shared" si="164"/>
        <v>14619.478499999999</v>
      </c>
      <c r="G153" s="11">
        <f t="shared" si="165"/>
        <v>30</v>
      </c>
      <c r="H153" s="11">
        <f t="shared" si="166"/>
        <v>5400</v>
      </c>
      <c r="I153" s="11">
        <f t="shared" si="167"/>
        <v>111.219325</v>
      </c>
      <c r="J153" s="11">
        <f t="shared" si="168"/>
        <v>20019.478499999997</v>
      </c>
      <c r="K153" s="35"/>
      <c r="L153" s="3"/>
      <c r="N153" s="30">
        <v>70.625500000000002</v>
      </c>
      <c r="O153" s="31">
        <f t="shared" si="169"/>
        <v>1.1499999999999999</v>
      </c>
      <c r="P153" s="32">
        <f t="shared" si="170"/>
        <v>81.219324999999998</v>
      </c>
      <c r="Q153" s="29"/>
      <c r="R153" s="29"/>
      <c r="S153" s="33">
        <v>25</v>
      </c>
      <c r="T153" s="34">
        <f t="shared" si="171"/>
        <v>1.2</v>
      </c>
      <c r="U153" s="33">
        <f t="shared" si="172"/>
        <v>30</v>
      </c>
      <c r="Y153">
        <f t="shared" si="161"/>
        <v>12712.59</v>
      </c>
      <c r="AA153">
        <f t="shared" si="162"/>
        <v>4500</v>
      </c>
    </row>
    <row r="154" spans="1:27">
      <c r="A154" s="6" t="s">
        <v>291</v>
      </c>
      <c r="B154" s="6" t="s">
        <v>292</v>
      </c>
      <c r="C154" s="6" t="s">
        <v>84</v>
      </c>
      <c r="D154" s="11">
        <v>230</v>
      </c>
      <c r="E154" s="11">
        <f t="shared" si="163"/>
        <v>134.4948</v>
      </c>
      <c r="F154" s="11">
        <f t="shared" si="164"/>
        <v>30933.804</v>
      </c>
      <c r="G154" s="11">
        <f t="shared" si="165"/>
        <v>33.6</v>
      </c>
      <c r="H154" s="11">
        <f t="shared" si="166"/>
        <v>7728</v>
      </c>
      <c r="I154" s="11">
        <f t="shared" si="167"/>
        <v>168.09479999999999</v>
      </c>
      <c r="J154" s="11">
        <f t="shared" si="168"/>
        <v>38661.804000000004</v>
      </c>
      <c r="K154" s="35"/>
      <c r="L154" s="3"/>
      <c r="N154" s="30">
        <v>116.952</v>
      </c>
      <c r="O154" s="31">
        <f t="shared" si="169"/>
        <v>1.1499999999999999</v>
      </c>
      <c r="P154" s="32">
        <f t="shared" si="170"/>
        <v>134.4948</v>
      </c>
      <c r="Q154" s="29"/>
      <c r="R154" s="29"/>
      <c r="S154" s="33">
        <v>28</v>
      </c>
      <c r="T154" s="34">
        <f t="shared" si="171"/>
        <v>1.2</v>
      </c>
      <c r="U154" s="33">
        <f t="shared" si="172"/>
        <v>33.6</v>
      </c>
      <c r="Y154">
        <f t="shared" si="161"/>
        <v>26898.959999999999</v>
      </c>
      <c r="AA154">
        <f t="shared" si="162"/>
        <v>6440</v>
      </c>
    </row>
    <row r="155" spans="1:27">
      <c r="A155" s="6" t="s">
        <v>293</v>
      </c>
      <c r="B155" s="6" t="s">
        <v>294</v>
      </c>
      <c r="C155" s="6" t="s">
        <v>84</v>
      </c>
      <c r="D155" s="11">
        <v>120</v>
      </c>
      <c r="E155" s="11">
        <f t="shared" si="163"/>
        <v>213.48139999999998</v>
      </c>
      <c r="F155" s="11">
        <f t="shared" si="164"/>
        <v>25617.767999999996</v>
      </c>
      <c r="G155" s="11">
        <f t="shared" si="165"/>
        <v>36</v>
      </c>
      <c r="H155" s="11">
        <f t="shared" si="166"/>
        <v>4320</v>
      </c>
      <c r="I155" s="11">
        <f t="shared" si="167"/>
        <v>249.48139999999998</v>
      </c>
      <c r="J155" s="11">
        <f t="shared" si="168"/>
        <v>29937.767999999996</v>
      </c>
      <c r="K155" s="35"/>
      <c r="L155" s="3"/>
      <c r="N155" s="30">
        <v>185.636</v>
      </c>
      <c r="O155" s="31">
        <f t="shared" si="169"/>
        <v>1.1499999999999999</v>
      </c>
      <c r="P155" s="32">
        <f t="shared" si="170"/>
        <v>213.48139999999998</v>
      </c>
      <c r="Q155" s="29"/>
      <c r="R155" s="29"/>
      <c r="S155" s="33">
        <v>30</v>
      </c>
      <c r="T155" s="34">
        <f t="shared" si="171"/>
        <v>1.2</v>
      </c>
      <c r="U155" s="33">
        <f t="shared" si="172"/>
        <v>36</v>
      </c>
      <c r="Y155">
        <f t="shared" si="161"/>
        <v>22276.32</v>
      </c>
      <c r="AA155">
        <f t="shared" si="162"/>
        <v>3600</v>
      </c>
    </row>
    <row r="156" spans="1:27">
      <c r="A156" s="15" t="s">
        <v>295</v>
      </c>
      <c r="B156" s="15" t="s">
        <v>296</v>
      </c>
      <c r="C156" s="15" t="s">
        <v>15</v>
      </c>
      <c r="D156" s="16"/>
      <c r="E156" s="16"/>
      <c r="F156" s="16"/>
      <c r="G156" s="16"/>
      <c r="H156" s="16"/>
      <c r="I156" s="16"/>
      <c r="J156" s="16"/>
      <c r="K156" s="35"/>
      <c r="L156" s="3"/>
      <c r="Y156">
        <f t="shared" si="161"/>
        <v>0</v>
      </c>
      <c r="AA156">
        <f t="shared" si="162"/>
        <v>0</v>
      </c>
    </row>
    <row r="157" spans="1:27">
      <c r="A157" s="6" t="s">
        <v>297</v>
      </c>
      <c r="B157" s="6" t="s">
        <v>298</v>
      </c>
      <c r="C157" s="6" t="s">
        <v>84</v>
      </c>
      <c r="D157" s="11">
        <v>350</v>
      </c>
      <c r="E157" s="11">
        <f>SUM(P157)</f>
        <v>11.501149999999999</v>
      </c>
      <c r="F157" s="11">
        <f>D157*E157</f>
        <v>4025.4024999999997</v>
      </c>
      <c r="G157" s="11">
        <f>SUM(U157)</f>
        <v>26.4</v>
      </c>
      <c r="H157" s="11">
        <f>D157*G157</f>
        <v>9240</v>
      </c>
      <c r="I157" s="11">
        <f>E157+G157</f>
        <v>37.901150000000001</v>
      </c>
      <c r="J157" s="11">
        <f>F157+H157</f>
        <v>13265.4025</v>
      </c>
      <c r="K157" s="35"/>
      <c r="L157" s="3"/>
      <c r="N157" s="30">
        <v>10.000999999999999</v>
      </c>
      <c r="O157" s="31">
        <f>$O$1</f>
        <v>1.1499999999999999</v>
      </c>
      <c r="P157" s="32">
        <f>SUM(O157*N157)</f>
        <v>11.501149999999999</v>
      </c>
      <c r="Q157" s="29"/>
      <c r="R157" s="29"/>
      <c r="S157" s="33">
        <v>22</v>
      </c>
      <c r="T157" s="34">
        <f>$T$1</f>
        <v>1.2</v>
      </c>
      <c r="U157" s="33">
        <f>SUM(T157*S157)</f>
        <v>26.4</v>
      </c>
      <c r="Y157">
        <f t="shared" si="161"/>
        <v>3500.35</v>
      </c>
      <c r="AA157">
        <f t="shared" si="162"/>
        <v>7700</v>
      </c>
    </row>
    <row r="158" spans="1:27">
      <c r="A158" s="15" t="s">
        <v>299</v>
      </c>
      <c r="B158" s="15" t="s">
        <v>300</v>
      </c>
      <c r="C158" s="15" t="s">
        <v>15</v>
      </c>
      <c r="D158" s="16"/>
      <c r="E158" s="16"/>
      <c r="F158" s="16"/>
      <c r="G158" s="16"/>
      <c r="H158" s="16"/>
      <c r="I158" s="16"/>
      <c r="J158" s="16"/>
      <c r="K158" s="35"/>
      <c r="L158" s="3"/>
      <c r="Y158">
        <f t="shared" si="161"/>
        <v>0</v>
      </c>
      <c r="AA158">
        <f t="shared" si="162"/>
        <v>0</v>
      </c>
    </row>
    <row r="159" spans="1:27">
      <c r="A159" s="6" t="s">
        <v>301</v>
      </c>
      <c r="B159" s="6" t="s">
        <v>302</v>
      </c>
      <c r="C159" s="6" t="s">
        <v>84</v>
      </c>
      <c r="D159" s="11">
        <v>120</v>
      </c>
      <c r="E159" s="11">
        <f>SUM(P159)</f>
        <v>38.659319999999994</v>
      </c>
      <c r="F159" s="11">
        <f>D159*E159</f>
        <v>4639.1183999999994</v>
      </c>
      <c r="G159" s="11">
        <f>SUM(U159)</f>
        <v>30</v>
      </c>
      <c r="H159" s="11">
        <f>D159*G159</f>
        <v>3600</v>
      </c>
      <c r="I159" s="11">
        <f>E159+G159</f>
        <v>68.659319999999994</v>
      </c>
      <c r="J159" s="11">
        <f>F159+H159</f>
        <v>8239.1183999999994</v>
      </c>
      <c r="K159" s="35"/>
      <c r="L159" s="3"/>
      <c r="N159" s="30">
        <v>33.616799999999998</v>
      </c>
      <c r="O159" s="31">
        <f>$O$1</f>
        <v>1.1499999999999999</v>
      </c>
      <c r="P159" s="32">
        <f>SUM(O159*N159)</f>
        <v>38.659319999999994</v>
      </c>
      <c r="Q159" s="29"/>
      <c r="R159" s="29"/>
      <c r="S159" s="33">
        <v>25</v>
      </c>
      <c r="T159" s="34">
        <f>$T$1</f>
        <v>1.2</v>
      </c>
      <c r="U159" s="33">
        <f>SUM(T159*S159)</f>
        <v>30</v>
      </c>
      <c r="Y159">
        <f t="shared" si="161"/>
        <v>4034.0159999999996</v>
      </c>
      <c r="AA159">
        <f t="shared" si="162"/>
        <v>3000</v>
      </c>
    </row>
    <row r="160" spans="1:27">
      <c r="A160" s="15" t="s">
        <v>303</v>
      </c>
      <c r="B160" s="15" t="s">
        <v>278</v>
      </c>
      <c r="C160" s="15" t="s">
        <v>15</v>
      </c>
      <c r="D160" s="16"/>
      <c r="E160" s="16"/>
      <c r="F160" s="16"/>
      <c r="G160" s="16"/>
      <c r="H160" s="16"/>
      <c r="I160" s="16"/>
      <c r="J160" s="16"/>
      <c r="K160" s="35"/>
      <c r="L160" s="3"/>
      <c r="Y160">
        <f t="shared" si="161"/>
        <v>0</v>
      </c>
      <c r="AA160">
        <f t="shared" si="162"/>
        <v>0</v>
      </c>
    </row>
    <row r="161" spans="1:27">
      <c r="A161" s="6" t="s">
        <v>304</v>
      </c>
      <c r="B161" s="6" t="s">
        <v>305</v>
      </c>
      <c r="C161" s="6" t="s">
        <v>84</v>
      </c>
      <c r="D161" s="11">
        <v>510</v>
      </c>
      <c r="E161" s="11">
        <f t="shared" ref="E161:E164" si="173">SUM(P161)</f>
        <v>9.9112749999999981</v>
      </c>
      <c r="F161" s="11">
        <f t="shared" ref="F161:F164" si="174">D161*E161</f>
        <v>5054.7502499999991</v>
      </c>
      <c r="G161" s="11">
        <f t="shared" ref="G161:G164" si="175">SUM(U161)</f>
        <v>26.4</v>
      </c>
      <c r="H161" s="11">
        <f t="shared" ref="H161:H164" si="176">D161*G161</f>
        <v>13464</v>
      </c>
      <c r="I161" s="11">
        <f t="shared" ref="I161:I164" si="177">E161+G161</f>
        <v>36.311274999999995</v>
      </c>
      <c r="J161" s="11">
        <f t="shared" ref="J161:J164" si="178">F161+H161</f>
        <v>18518.750249999997</v>
      </c>
      <c r="K161" s="35"/>
      <c r="L161" s="3"/>
      <c r="N161" s="30">
        <v>8.6184999999999992</v>
      </c>
      <c r="O161" s="31">
        <f t="shared" ref="O161:O164" si="179">$O$1</f>
        <v>1.1499999999999999</v>
      </c>
      <c r="P161" s="32">
        <f t="shared" ref="P161:P164" si="180">SUM(O161*N161)</f>
        <v>9.9112749999999981</v>
      </c>
      <c r="Q161" s="29"/>
      <c r="R161" s="29"/>
      <c r="S161" s="33">
        <v>22</v>
      </c>
      <c r="T161" s="34">
        <f t="shared" ref="T161:T164" si="181">$T$1</f>
        <v>1.2</v>
      </c>
      <c r="U161" s="33">
        <f t="shared" ref="U161:U164" si="182">SUM(T161*S161)</f>
        <v>26.4</v>
      </c>
      <c r="Y161">
        <f t="shared" si="161"/>
        <v>4395.4349999999995</v>
      </c>
      <c r="AA161">
        <f t="shared" si="162"/>
        <v>11220</v>
      </c>
    </row>
    <row r="162" spans="1:27">
      <c r="A162" s="6" t="s">
        <v>306</v>
      </c>
      <c r="B162" s="6" t="s">
        <v>307</v>
      </c>
      <c r="C162" s="6" t="s">
        <v>84</v>
      </c>
      <c r="D162" s="11">
        <v>980</v>
      </c>
      <c r="E162" s="11">
        <f t="shared" si="173"/>
        <v>12.567774999999999</v>
      </c>
      <c r="F162" s="11">
        <f t="shared" si="174"/>
        <v>12316.4195</v>
      </c>
      <c r="G162" s="11">
        <f t="shared" si="175"/>
        <v>26.4</v>
      </c>
      <c r="H162" s="11">
        <f t="shared" si="176"/>
        <v>25872</v>
      </c>
      <c r="I162" s="11">
        <f t="shared" si="177"/>
        <v>38.967774999999996</v>
      </c>
      <c r="J162" s="11">
        <f t="shared" si="178"/>
        <v>38188.419500000004</v>
      </c>
      <c r="K162" s="35"/>
      <c r="L162" s="3"/>
      <c r="N162" s="30">
        <v>10.9285</v>
      </c>
      <c r="O162" s="31">
        <f t="shared" si="179"/>
        <v>1.1499999999999999</v>
      </c>
      <c r="P162" s="32">
        <f t="shared" si="180"/>
        <v>12.567774999999999</v>
      </c>
      <c r="Q162" s="29"/>
      <c r="R162" s="29"/>
      <c r="S162" s="33">
        <v>22</v>
      </c>
      <c r="T162" s="34">
        <f t="shared" si="181"/>
        <v>1.2</v>
      </c>
      <c r="U162" s="33">
        <f t="shared" si="182"/>
        <v>26.4</v>
      </c>
      <c r="Y162">
        <f t="shared" si="161"/>
        <v>10709.93</v>
      </c>
      <c r="AA162">
        <f t="shared" si="162"/>
        <v>21560</v>
      </c>
    </row>
    <row r="163" spans="1:27">
      <c r="A163" s="6" t="s">
        <v>308</v>
      </c>
      <c r="B163" s="6" t="s">
        <v>309</v>
      </c>
      <c r="C163" s="6" t="s">
        <v>84</v>
      </c>
      <c r="D163" s="11">
        <v>160</v>
      </c>
      <c r="E163" s="11">
        <f t="shared" si="173"/>
        <v>18.873799999999996</v>
      </c>
      <c r="F163" s="11">
        <f t="shared" si="174"/>
        <v>3019.8079999999991</v>
      </c>
      <c r="G163" s="11">
        <f t="shared" si="175"/>
        <v>26.4</v>
      </c>
      <c r="H163" s="11">
        <f t="shared" si="176"/>
        <v>4224</v>
      </c>
      <c r="I163" s="11">
        <f t="shared" si="177"/>
        <v>45.273799999999994</v>
      </c>
      <c r="J163" s="11">
        <f t="shared" si="178"/>
        <v>7243.8079999999991</v>
      </c>
      <c r="K163" s="35"/>
      <c r="L163" s="3"/>
      <c r="N163" s="30">
        <v>16.411999999999999</v>
      </c>
      <c r="O163" s="31">
        <f t="shared" si="179"/>
        <v>1.1499999999999999</v>
      </c>
      <c r="P163" s="32">
        <f t="shared" si="180"/>
        <v>18.873799999999996</v>
      </c>
      <c r="Q163" s="29"/>
      <c r="R163" s="29"/>
      <c r="S163" s="33">
        <v>22</v>
      </c>
      <c r="T163" s="34">
        <f t="shared" si="181"/>
        <v>1.2</v>
      </c>
      <c r="U163" s="33">
        <f t="shared" si="182"/>
        <v>26.4</v>
      </c>
      <c r="Y163">
        <f t="shared" si="161"/>
        <v>2625.92</v>
      </c>
      <c r="AA163">
        <f t="shared" si="162"/>
        <v>3520</v>
      </c>
    </row>
    <row r="164" spans="1:27">
      <c r="A164" s="6" t="s">
        <v>310</v>
      </c>
      <c r="B164" s="6" t="s">
        <v>311</v>
      </c>
      <c r="C164" s="6" t="s">
        <v>84</v>
      </c>
      <c r="D164" s="11">
        <v>90</v>
      </c>
      <c r="E164" s="11">
        <f t="shared" si="173"/>
        <v>21.871849999999995</v>
      </c>
      <c r="F164" s="11">
        <f t="shared" si="174"/>
        <v>1968.4664999999995</v>
      </c>
      <c r="G164" s="11">
        <f t="shared" si="175"/>
        <v>26.4</v>
      </c>
      <c r="H164" s="11">
        <f t="shared" si="176"/>
        <v>2376</v>
      </c>
      <c r="I164" s="11">
        <f t="shared" si="177"/>
        <v>48.271849999999993</v>
      </c>
      <c r="J164" s="11">
        <f t="shared" si="178"/>
        <v>4344.4664999999995</v>
      </c>
      <c r="K164" s="35"/>
      <c r="L164" s="3"/>
      <c r="N164" s="30">
        <v>19.018999999999998</v>
      </c>
      <c r="O164" s="31">
        <f t="shared" si="179"/>
        <v>1.1499999999999999</v>
      </c>
      <c r="P164" s="32">
        <f t="shared" si="180"/>
        <v>21.871849999999995</v>
      </c>
      <c r="Q164" s="29"/>
      <c r="R164" s="29"/>
      <c r="S164" s="33">
        <v>22</v>
      </c>
      <c r="T164" s="34">
        <f t="shared" si="181"/>
        <v>1.2</v>
      </c>
      <c r="U164" s="33">
        <f t="shared" si="182"/>
        <v>26.4</v>
      </c>
      <c r="Y164">
        <f t="shared" si="161"/>
        <v>1711.7099999999998</v>
      </c>
      <c r="AA164">
        <f t="shared" si="162"/>
        <v>1980</v>
      </c>
    </row>
    <row r="165" spans="1:27">
      <c r="A165" s="7" t="s">
        <v>15</v>
      </c>
      <c r="B165" s="7" t="s">
        <v>312</v>
      </c>
      <c r="C165" s="7" t="s">
        <v>15</v>
      </c>
      <c r="D165" s="14"/>
      <c r="E165" s="14"/>
      <c r="F165" s="14">
        <f>SUM(F147:F164)</f>
        <v>372113.18889999995</v>
      </c>
      <c r="G165" s="14"/>
      <c r="H165" s="14">
        <f>SUM(H147:H164)</f>
        <v>412428</v>
      </c>
      <c r="I165" s="14"/>
      <c r="J165" s="14">
        <f>SUM(J147:J164)</f>
        <v>784541.18889999995</v>
      </c>
      <c r="K165" s="35"/>
      <c r="L165" s="3"/>
      <c r="Y165">
        <f t="shared" si="161"/>
        <v>0</v>
      </c>
      <c r="AA165">
        <f t="shared" si="162"/>
        <v>0</v>
      </c>
    </row>
    <row r="166" spans="1:27">
      <c r="A166" s="6" t="s">
        <v>15</v>
      </c>
      <c r="B166" s="6" t="s">
        <v>15</v>
      </c>
      <c r="C166" s="6" t="s">
        <v>15</v>
      </c>
      <c r="D166" s="11"/>
      <c r="E166" s="11"/>
      <c r="F166" s="11"/>
      <c r="G166" s="11"/>
      <c r="H166" s="11"/>
      <c r="I166" s="11">
        <f>E166+G166</f>
        <v>0</v>
      </c>
      <c r="J166" s="11">
        <f>F166+H166</f>
        <v>0</v>
      </c>
      <c r="K166" s="35"/>
      <c r="L166" s="3"/>
      <c r="Y166">
        <f t="shared" si="161"/>
        <v>0</v>
      </c>
      <c r="AA166">
        <f t="shared" si="162"/>
        <v>0</v>
      </c>
    </row>
    <row r="167" spans="1:27">
      <c r="A167" s="7" t="s">
        <v>15</v>
      </c>
      <c r="B167" s="7" t="s">
        <v>313</v>
      </c>
      <c r="C167" s="7" t="s">
        <v>15</v>
      </c>
      <c r="D167" s="14"/>
      <c r="E167" s="14"/>
      <c r="F167" s="14"/>
      <c r="G167" s="14"/>
      <c r="H167" s="14"/>
      <c r="I167" s="14"/>
      <c r="J167" s="14"/>
      <c r="K167" s="35"/>
      <c r="L167" s="3"/>
      <c r="Y167">
        <f t="shared" si="161"/>
        <v>0</v>
      </c>
      <c r="AA167">
        <f t="shared" si="162"/>
        <v>0</v>
      </c>
    </row>
    <row r="168" spans="1:27">
      <c r="A168" s="15" t="s">
        <v>314</v>
      </c>
      <c r="B168" s="15" t="s">
        <v>315</v>
      </c>
      <c r="C168" s="15" t="s">
        <v>15</v>
      </c>
      <c r="D168" s="16"/>
      <c r="E168" s="16"/>
      <c r="F168" s="16"/>
      <c r="G168" s="16"/>
      <c r="H168" s="16"/>
      <c r="I168" s="16"/>
      <c r="J168" s="16"/>
      <c r="K168" s="35"/>
      <c r="L168" s="3"/>
      <c r="Y168">
        <f t="shared" si="161"/>
        <v>0</v>
      </c>
      <c r="AA168">
        <f t="shared" si="162"/>
        <v>0</v>
      </c>
    </row>
    <row r="169" spans="1:27">
      <c r="A169" s="6" t="s">
        <v>316</v>
      </c>
      <c r="B169" s="6" t="s">
        <v>317</v>
      </c>
      <c r="C169" s="6" t="s">
        <v>65</v>
      </c>
      <c r="D169" s="11">
        <v>9740</v>
      </c>
      <c r="E169" s="11">
        <f t="shared" ref="E169:E173" si="183">SUM(P169)</f>
        <v>0</v>
      </c>
      <c r="F169" s="11">
        <f t="shared" ref="F169:F173" si="184">D169*E169</f>
        <v>0</v>
      </c>
      <c r="G169" s="11">
        <f t="shared" ref="G169:G173" si="185">SUM(U169)</f>
        <v>9.6</v>
      </c>
      <c r="H169" s="11">
        <f t="shared" ref="H169:H173" si="186">D169*G169</f>
        <v>93504</v>
      </c>
      <c r="I169" s="11">
        <f t="shared" ref="I169:I173" si="187">E169+G169</f>
        <v>9.6</v>
      </c>
      <c r="J169" s="11">
        <f t="shared" ref="J169:J173" si="188">F169+H169</f>
        <v>93504</v>
      </c>
      <c r="K169" s="35"/>
      <c r="L169" s="3"/>
      <c r="N169" s="29"/>
      <c r="O169" s="29"/>
      <c r="P169" s="29"/>
      <c r="Q169" s="29"/>
      <c r="R169" s="29"/>
      <c r="S169" s="33">
        <v>8</v>
      </c>
      <c r="T169" s="34">
        <f t="shared" ref="T169:T173" si="189">$T$1</f>
        <v>1.2</v>
      </c>
      <c r="U169" s="33">
        <f t="shared" ref="U169:U173" si="190">SUM(T169*S169)</f>
        <v>9.6</v>
      </c>
      <c r="Y169">
        <f t="shared" si="161"/>
        <v>0</v>
      </c>
      <c r="AA169">
        <f t="shared" si="162"/>
        <v>77920</v>
      </c>
    </row>
    <row r="170" spans="1:27">
      <c r="A170" s="6" t="s">
        <v>318</v>
      </c>
      <c r="B170" s="6" t="s">
        <v>319</v>
      </c>
      <c r="C170" s="6" t="s">
        <v>65</v>
      </c>
      <c r="D170" s="11">
        <v>120</v>
      </c>
      <c r="E170" s="11">
        <f t="shared" si="183"/>
        <v>0</v>
      </c>
      <c r="F170" s="11">
        <f t="shared" si="184"/>
        <v>0</v>
      </c>
      <c r="G170" s="11">
        <f t="shared" si="185"/>
        <v>18</v>
      </c>
      <c r="H170" s="11">
        <f t="shared" si="186"/>
        <v>2160</v>
      </c>
      <c r="I170" s="11">
        <f t="shared" si="187"/>
        <v>18</v>
      </c>
      <c r="J170" s="11">
        <f t="shared" si="188"/>
        <v>2160</v>
      </c>
      <c r="K170" s="35"/>
      <c r="L170" s="3"/>
      <c r="N170" s="29"/>
      <c r="O170" s="29"/>
      <c r="P170" s="29"/>
      <c r="Q170" s="29"/>
      <c r="R170" s="29"/>
      <c r="S170" s="33">
        <v>15</v>
      </c>
      <c r="T170" s="34">
        <f t="shared" si="189"/>
        <v>1.2</v>
      </c>
      <c r="U170" s="33">
        <f t="shared" si="190"/>
        <v>18</v>
      </c>
      <c r="Y170">
        <f t="shared" si="161"/>
        <v>0</v>
      </c>
      <c r="AA170">
        <f t="shared" si="162"/>
        <v>1800</v>
      </c>
    </row>
    <row r="171" spans="1:27">
      <c r="A171" s="6" t="s">
        <v>320</v>
      </c>
      <c r="B171" s="6" t="s">
        <v>321</v>
      </c>
      <c r="C171" s="6" t="s">
        <v>65</v>
      </c>
      <c r="D171" s="11">
        <v>90</v>
      </c>
      <c r="E171" s="11">
        <f t="shared" si="183"/>
        <v>0</v>
      </c>
      <c r="F171" s="11">
        <f t="shared" si="184"/>
        <v>0</v>
      </c>
      <c r="G171" s="11">
        <f t="shared" si="185"/>
        <v>18</v>
      </c>
      <c r="H171" s="11">
        <f t="shared" si="186"/>
        <v>1620</v>
      </c>
      <c r="I171" s="11">
        <f t="shared" si="187"/>
        <v>18</v>
      </c>
      <c r="J171" s="11">
        <f t="shared" si="188"/>
        <v>1620</v>
      </c>
      <c r="K171" s="35"/>
      <c r="L171" s="3"/>
      <c r="N171" s="29"/>
      <c r="O171" s="29"/>
      <c r="P171" s="29"/>
      <c r="Q171" s="29"/>
      <c r="R171" s="29"/>
      <c r="S171" s="33">
        <v>15</v>
      </c>
      <c r="T171" s="34">
        <f t="shared" si="189"/>
        <v>1.2</v>
      </c>
      <c r="U171" s="33">
        <f t="shared" si="190"/>
        <v>18</v>
      </c>
      <c r="Y171">
        <f t="shared" si="161"/>
        <v>0</v>
      </c>
      <c r="AA171">
        <f t="shared" si="162"/>
        <v>1350</v>
      </c>
    </row>
    <row r="172" spans="1:27">
      <c r="A172" s="6" t="s">
        <v>322</v>
      </c>
      <c r="B172" s="6" t="s">
        <v>323</v>
      </c>
      <c r="C172" s="6" t="s">
        <v>65</v>
      </c>
      <c r="D172" s="11">
        <v>40</v>
      </c>
      <c r="E172" s="11">
        <f t="shared" si="183"/>
        <v>0</v>
      </c>
      <c r="F172" s="11">
        <f t="shared" si="184"/>
        <v>0</v>
      </c>
      <c r="G172" s="11">
        <f t="shared" si="185"/>
        <v>24</v>
      </c>
      <c r="H172" s="11">
        <f t="shared" si="186"/>
        <v>960</v>
      </c>
      <c r="I172" s="11">
        <f t="shared" si="187"/>
        <v>24</v>
      </c>
      <c r="J172" s="11">
        <f t="shared" si="188"/>
        <v>960</v>
      </c>
      <c r="K172" s="35"/>
      <c r="L172" s="3"/>
      <c r="N172" s="29"/>
      <c r="O172" s="29"/>
      <c r="P172" s="29"/>
      <c r="Q172" s="29"/>
      <c r="R172" s="29"/>
      <c r="S172" s="33">
        <v>20</v>
      </c>
      <c r="T172" s="34">
        <f t="shared" si="189"/>
        <v>1.2</v>
      </c>
      <c r="U172" s="33">
        <f t="shared" si="190"/>
        <v>24</v>
      </c>
      <c r="Y172">
        <f t="shared" si="161"/>
        <v>0</v>
      </c>
      <c r="AA172">
        <f t="shared" si="162"/>
        <v>800</v>
      </c>
    </row>
    <row r="173" spans="1:27">
      <c r="A173" s="6" t="s">
        <v>324</v>
      </c>
      <c r="B173" s="6" t="s">
        <v>325</v>
      </c>
      <c r="C173" s="6" t="s">
        <v>65</v>
      </c>
      <c r="D173" s="11">
        <v>12</v>
      </c>
      <c r="E173" s="11">
        <f t="shared" si="183"/>
        <v>0</v>
      </c>
      <c r="F173" s="11">
        <f t="shared" si="184"/>
        <v>0</v>
      </c>
      <c r="G173" s="11">
        <f t="shared" si="185"/>
        <v>30</v>
      </c>
      <c r="H173" s="11">
        <f t="shared" si="186"/>
        <v>360</v>
      </c>
      <c r="I173" s="11">
        <f t="shared" si="187"/>
        <v>30</v>
      </c>
      <c r="J173" s="11">
        <f t="shared" si="188"/>
        <v>360</v>
      </c>
      <c r="K173" s="35"/>
      <c r="L173" s="3"/>
      <c r="N173" s="29"/>
      <c r="O173" s="29"/>
      <c r="P173" s="29"/>
      <c r="Q173" s="29"/>
      <c r="R173" s="29"/>
      <c r="S173" s="33">
        <v>25</v>
      </c>
      <c r="T173" s="34">
        <f t="shared" si="189"/>
        <v>1.2</v>
      </c>
      <c r="U173" s="33">
        <f t="shared" si="190"/>
        <v>30</v>
      </c>
      <c r="Y173">
        <f t="shared" si="161"/>
        <v>0</v>
      </c>
      <c r="AA173">
        <f t="shared" si="162"/>
        <v>300</v>
      </c>
    </row>
    <row r="174" spans="1:27">
      <c r="A174" s="15" t="s">
        <v>326</v>
      </c>
      <c r="B174" s="15" t="s">
        <v>327</v>
      </c>
      <c r="C174" s="15" t="s">
        <v>15</v>
      </c>
      <c r="D174" s="16"/>
      <c r="E174" s="16"/>
      <c r="F174" s="16"/>
      <c r="G174" s="16"/>
      <c r="H174" s="16"/>
      <c r="I174" s="16"/>
      <c r="J174" s="16"/>
      <c r="K174" s="35"/>
      <c r="L174" s="3"/>
      <c r="Y174">
        <f t="shared" si="161"/>
        <v>0</v>
      </c>
      <c r="AA174">
        <f t="shared" si="162"/>
        <v>0</v>
      </c>
    </row>
    <row r="175" spans="1:27">
      <c r="A175" s="15" t="s">
        <v>328</v>
      </c>
      <c r="B175" s="15" t="s">
        <v>329</v>
      </c>
      <c r="C175" s="15" t="s">
        <v>15</v>
      </c>
      <c r="D175" s="16"/>
      <c r="E175" s="16"/>
      <c r="F175" s="16"/>
      <c r="G175" s="16"/>
      <c r="H175" s="16"/>
      <c r="I175" s="16"/>
      <c r="J175" s="16"/>
      <c r="K175" s="35"/>
      <c r="L175" s="3"/>
      <c r="Y175">
        <f t="shared" si="161"/>
        <v>0</v>
      </c>
      <c r="AA175">
        <f t="shared" si="162"/>
        <v>0</v>
      </c>
    </row>
    <row r="176" spans="1:27">
      <c r="A176" s="6" t="s">
        <v>330</v>
      </c>
      <c r="B176" s="6" t="s">
        <v>331</v>
      </c>
      <c r="C176" s="6" t="s">
        <v>65</v>
      </c>
      <c r="D176" s="11">
        <v>12</v>
      </c>
      <c r="E176" s="11">
        <f t="shared" ref="E176:E178" si="191">SUM(P176)</f>
        <v>49.162499999999994</v>
      </c>
      <c r="F176" s="11">
        <f t="shared" ref="F176:F178" si="192">D176*E176</f>
        <v>589.94999999999993</v>
      </c>
      <c r="G176" s="11">
        <f t="shared" ref="G176:G178" si="193">SUM(U176)</f>
        <v>72</v>
      </c>
      <c r="H176" s="11">
        <f t="shared" ref="H176:H178" si="194">D176*G176</f>
        <v>864</v>
      </c>
      <c r="I176" s="11">
        <f t="shared" ref="I176:I178" si="195">E176+G176</f>
        <v>121.16249999999999</v>
      </c>
      <c r="J176" s="11">
        <f t="shared" ref="J176:J178" si="196">F176+H176</f>
        <v>1453.9499999999998</v>
      </c>
      <c r="K176" s="35"/>
      <c r="L176" s="3"/>
      <c r="N176" s="30">
        <v>42.75</v>
      </c>
      <c r="O176" s="31">
        <f t="shared" ref="O176:O178" si="197">$O$1</f>
        <v>1.1499999999999999</v>
      </c>
      <c r="P176" s="32">
        <f t="shared" ref="P176:P178" si="198">SUM(O176*N176)</f>
        <v>49.162499999999994</v>
      </c>
      <c r="Q176" s="29"/>
      <c r="R176" s="29"/>
      <c r="S176" s="33">
        <v>60</v>
      </c>
      <c r="T176" s="34">
        <f t="shared" ref="T176:T178" si="199">$T$1</f>
        <v>1.2</v>
      </c>
      <c r="U176" s="33">
        <f t="shared" ref="U176:U178" si="200">SUM(T176*S176)</f>
        <v>72</v>
      </c>
      <c r="Y176">
        <f t="shared" si="161"/>
        <v>513</v>
      </c>
      <c r="AA176">
        <f t="shared" si="162"/>
        <v>720</v>
      </c>
    </row>
    <row r="177" spans="1:27">
      <c r="A177" s="6" t="s">
        <v>332</v>
      </c>
      <c r="B177" s="6" t="s">
        <v>333</v>
      </c>
      <c r="C177" s="6" t="s">
        <v>65</v>
      </c>
      <c r="D177" s="11">
        <v>22</v>
      </c>
      <c r="E177" s="11">
        <f t="shared" si="191"/>
        <v>49.162499999999994</v>
      </c>
      <c r="F177" s="11">
        <f t="shared" si="192"/>
        <v>1081.5749999999998</v>
      </c>
      <c r="G177" s="11">
        <f t="shared" si="193"/>
        <v>72</v>
      </c>
      <c r="H177" s="11">
        <f t="shared" si="194"/>
        <v>1584</v>
      </c>
      <c r="I177" s="11">
        <f t="shared" si="195"/>
        <v>121.16249999999999</v>
      </c>
      <c r="J177" s="11">
        <f t="shared" si="196"/>
        <v>2665.5749999999998</v>
      </c>
      <c r="K177" s="35"/>
      <c r="L177" s="3"/>
      <c r="N177" s="30">
        <v>42.75</v>
      </c>
      <c r="O177" s="31">
        <f t="shared" si="197"/>
        <v>1.1499999999999999</v>
      </c>
      <c r="P177" s="32">
        <f t="shared" si="198"/>
        <v>49.162499999999994</v>
      </c>
      <c r="Q177" s="29"/>
      <c r="R177" s="29"/>
      <c r="S177" s="33">
        <v>60</v>
      </c>
      <c r="T177" s="34">
        <f t="shared" si="199"/>
        <v>1.2</v>
      </c>
      <c r="U177" s="33">
        <f t="shared" si="200"/>
        <v>72</v>
      </c>
      <c r="Y177">
        <f t="shared" si="161"/>
        <v>940.5</v>
      </c>
      <c r="AA177">
        <f t="shared" si="162"/>
        <v>1320</v>
      </c>
    </row>
    <row r="178" spans="1:27">
      <c r="A178" s="6" t="s">
        <v>15</v>
      </c>
      <c r="B178" s="6" t="s">
        <v>334</v>
      </c>
      <c r="C178" s="6" t="s">
        <v>335</v>
      </c>
      <c r="D178" s="11">
        <v>1</v>
      </c>
      <c r="E178" s="11">
        <f t="shared" si="191"/>
        <v>287.5</v>
      </c>
      <c r="F178" s="11">
        <f t="shared" si="192"/>
        <v>287.5</v>
      </c>
      <c r="G178" s="11">
        <f t="shared" si="193"/>
        <v>1080</v>
      </c>
      <c r="H178" s="11">
        <f t="shared" si="194"/>
        <v>1080</v>
      </c>
      <c r="I178" s="11">
        <f t="shared" si="195"/>
        <v>1367.5</v>
      </c>
      <c r="J178" s="11">
        <f t="shared" si="196"/>
        <v>1367.5</v>
      </c>
      <c r="K178" s="35"/>
      <c r="L178" s="3"/>
      <c r="N178" s="30">
        <v>250</v>
      </c>
      <c r="O178" s="31">
        <f t="shared" si="197"/>
        <v>1.1499999999999999</v>
      </c>
      <c r="P178" s="32">
        <f t="shared" si="198"/>
        <v>287.5</v>
      </c>
      <c r="Q178" s="29"/>
      <c r="R178" s="29"/>
      <c r="S178" s="33">
        <v>900</v>
      </c>
      <c r="T178" s="34">
        <f t="shared" si="199"/>
        <v>1.2</v>
      </c>
      <c r="U178" s="33">
        <f t="shared" si="200"/>
        <v>1080</v>
      </c>
      <c r="Y178">
        <f t="shared" si="161"/>
        <v>250</v>
      </c>
      <c r="AA178">
        <f t="shared" si="162"/>
        <v>900</v>
      </c>
    </row>
    <row r="179" spans="1:27">
      <c r="A179" s="7" t="s">
        <v>15</v>
      </c>
      <c r="B179" s="7" t="s">
        <v>336</v>
      </c>
      <c r="C179" s="7" t="s">
        <v>15</v>
      </c>
      <c r="D179" s="14"/>
      <c r="E179" s="14"/>
      <c r="F179" s="14">
        <f>SUM(F168:F178)</f>
        <v>1959.0249999999996</v>
      </c>
      <c r="G179" s="14"/>
      <c r="H179" s="14">
        <f>SUM(H168:H178)</f>
        <v>102132</v>
      </c>
      <c r="I179" s="14"/>
      <c r="J179" s="14">
        <f>SUM(J168:J178)</f>
        <v>104091.02499999999</v>
      </c>
      <c r="K179" s="35"/>
      <c r="L179" s="3"/>
      <c r="Y179">
        <f t="shared" si="161"/>
        <v>0</v>
      </c>
      <c r="AA179">
        <f t="shared" si="162"/>
        <v>0</v>
      </c>
    </row>
    <row r="180" spans="1:27">
      <c r="A180" s="6" t="s">
        <v>15</v>
      </c>
      <c r="B180" s="6" t="s">
        <v>15</v>
      </c>
      <c r="C180" s="6" t="s">
        <v>15</v>
      </c>
      <c r="D180" s="11"/>
      <c r="E180" s="11"/>
      <c r="F180" s="11"/>
      <c r="G180" s="11"/>
      <c r="H180" s="11"/>
      <c r="I180" s="11">
        <f>E180+G180</f>
        <v>0</v>
      </c>
      <c r="J180" s="11">
        <f>F180+H180</f>
        <v>0</v>
      </c>
      <c r="K180" s="35"/>
      <c r="L180" s="3"/>
      <c r="Y180">
        <f t="shared" si="161"/>
        <v>0</v>
      </c>
      <c r="AA180">
        <f t="shared" si="162"/>
        <v>0</v>
      </c>
    </row>
    <row r="181" spans="1:27">
      <c r="A181" s="7" t="s">
        <v>15</v>
      </c>
      <c r="B181" s="7" t="s">
        <v>337</v>
      </c>
      <c r="C181" s="7" t="s">
        <v>15</v>
      </c>
      <c r="D181" s="14"/>
      <c r="E181" s="14"/>
      <c r="F181" s="14"/>
      <c r="G181" s="14"/>
      <c r="H181" s="14"/>
      <c r="I181" s="14"/>
      <c r="J181" s="14"/>
      <c r="K181" s="35"/>
      <c r="L181" s="3"/>
      <c r="Y181">
        <f t="shared" si="161"/>
        <v>0</v>
      </c>
      <c r="AA181">
        <f t="shared" si="162"/>
        <v>0</v>
      </c>
    </row>
    <row r="182" spans="1:27">
      <c r="A182" s="15" t="s">
        <v>338</v>
      </c>
      <c r="B182" s="15" t="s">
        <v>339</v>
      </c>
      <c r="C182" s="15" t="s">
        <v>15</v>
      </c>
      <c r="D182" s="16"/>
      <c r="E182" s="16"/>
      <c r="F182" s="16"/>
      <c r="G182" s="16"/>
      <c r="H182" s="16"/>
      <c r="I182" s="16"/>
      <c r="J182" s="16"/>
      <c r="K182" s="35"/>
      <c r="L182" s="3"/>
      <c r="Y182">
        <f t="shared" si="161"/>
        <v>0</v>
      </c>
      <c r="AA182">
        <f t="shared" si="162"/>
        <v>0</v>
      </c>
    </row>
    <row r="183" spans="1:27">
      <c r="A183" s="15" t="s">
        <v>340</v>
      </c>
      <c r="B183" s="15" t="s">
        <v>341</v>
      </c>
      <c r="C183" s="15" t="s">
        <v>15</v>
      </c>
      <c r="D183" s="16"/>
      <c r="E183" s="16"/>
      <c r="F183" s="16"/>
      <c r="G183" s="16"/>
      <c r="H183" s="16"/>
      <c r="I183" s="16"/>
      <c r="J183" s="16"/>
      <c r="K183" s="35"/>
      <c r="L183" s="3"/>
      <c r="Y183">
        <f t="shared" si="161"/>
        <v>0</v>
      </c>
      <c r="AA183">
        <f t="shared" si="162"/>
        <v>0</v>
      </c>
    </row>
    <row r="184" spans="1:27">
      <c r="A184" s="15" t="s">
        <v>342</v>
      </c>
      <c r="B184" s="15" t="s">
        <v>343</v>
      </c>
      <c r="C184" s="15" t="s">
        <v>15</v>
      </c>
      <c r="D184" s="16"/>
      <c r="E184" s="16"/>
      <c r="F184" s="16"/>
      <c r="G184" s="16"/>
      <c r="H184" s="16"/>
      <c r="I184" s="16"/>
      <c r="J184" s="16"/>
      <c r="K184" s="35"/>
      <c r="L184" s="3"/>
      <c r="Y184">
        <f t="shared" si="161"/>
        <v>0</v>
      </c>
      <c r="AA184">
        <f t="shared" si="162"/>
        <v>0</v>
      </c>
    </row>
    <row r="185" spans="1:27">
      <c r="A185" s="6" t="s">
        <v>344</v>
      </c>
      <c r="B185" s="6" t="s">
        <v>345</v>
      </c>
      <c r="C185" s="6" t="s">
        <v>84</v>
      </c>
      <c r="D185" s="11">
        <v>290</v>
      </c>
      <c r="E185" s="11">
        <f>SUM(P185)</f>
        <v>167.67</v>
      </c>
      <c r="F185" s="11">
        <f>D185*E185</f>
        <v>48624.299999999996</v>
      </c>
      <c r="G185" s="11">
        <f>SUM(U185)</f>
        <v>132</v>
      </c>
      <c r="H185" s="11">
        <f>D185*G185</f>
        <v>38280</v>
      </c>
      <c r="I185" s="11">
        <f>E185+G185</f>
        <v>299.66999999999996</v>
      </c>
      <c r="J185" s="11">
        <f>F185+H185</f>
        <v>86904.299999999988</v>
      </c>
      <c r="K185" s="35"/>
      <c r="L185" s="3"/>
      <c r="N185" s="30">
        <f>SUM([1]List1!$E$115:$E$116)+4</f>
        <v>145.80000000000001</v>
      </c>
      <c r="O185" s="31">
        <f>$O$1</f>
        <v>1.1499999999999999</v>
      </c>
      <c r="P185" s="32">
        <f>SUM(O185*N185)</f>
        <v>167.67</v>
      </c>
      <c r="Q185" s="29"/>
      <c r="R185" s="29"/>
      <c r="S185" s="33">
        <v>110</v>
      </c>
      <c r="T185" s="34">
        <f>$T$1</f>
        <v>1.2</v>
      </c>
      <c r="U185" s="33">
        <f>SUM(T185*S185)</f>
        <v>132</v>
      </c>
      <c r="Y185">
        <f t="shared" si="161"/>
        <v>42282</v>
      </c>
      <c r="AA185">
        <f t="shared" si="162"/>
        <v>31900</v>
      </c>
    </row>
    <row r="186" spans="1:27">
      <c r="A186" s="15" t="s">
        <v>346</v>
      </c>
      <c r="B186" s="15" t="s">
        <v>339</v>
      </c>
      <c r="C186" s="15" t="s">
        <v>15</v>
      </c>
      <c r="D186" s="16"/>
      <c r="E186" s="16"/>
      <c r="F186" s="16"/>
      <c r="G186" s="16"/>
      <c r="H186" s="16"/>
      <c r="I186" s="16"/>
      <c r="J186" s="16"/>
      <c r="K186" s="35"/>
      <c r="L186" s="3"/>
      <c r="Y186">
        <f t="shared" si="161"/>
        <v>0</v>
      </c>
      <c r="AA186">
        <f t="shared" si="162"/>
        <v>0</v>
      </c>
    </row>
    <row r="187" spans="1:27">
      <c r="A187" s="15" t="s">
        <v>347</v>
      </c>
      <c r="B187" s="15" t="s">
        <v>348</v>
      </c>
      <c r="C187" s="15" t="s">
        <v>15</v>
      </c>
      <c r="D187" s="16"/>
      <c r="E187" s="16"/>
      <c r="F187" s="16"/>
      <c r="G187" s="16"/>
      <c r="H187" s="16"/>
      <c r="I187" s="16"/>
      <c r="J187" s="16"/>
      <c r="K187" s="35"/>
      <c r="L187" s="3"/>
      <c r="Y187">
        <f t="shared" si="161"/>
        <v>0</v>
      </c>
      <c r="AA187">
        <f t="shared" si="162"/>
        <v>0</v>
      </c>
    </row>
    <row r="188" spans="1:27">
      <c r="A188" s="15" t="s">
        <v>349</v>
      </c>
      <c r="B188" s="15" t="s">
        <v>343</v>
      </c>
      <c r="C188" s="15" t="s">
        <v>15</v>
      </c>
      <c r="D188" s="16"/>
      <c r="E188" s="16"/>
      <c r="F188" s="16"/>
      <c r="G188" s="16"/>
      <c r="H188" s="16"/>
      <c r="I188" s="16"/>
      <c r="J188" s="16"/>
      <c r="K188" s="35"/>
      <c r="L188" s="3"/>
      <c r="Y188">
        <f t="shared" si="161"/>
        <v>0</v>
      </c>
      <c r="AA188">
        <f t="shared" si="162"/>
        <v>0</v>
      </c>
    </row>
    <row r="189" spans="1:27">
      <c r="A189" s="6" t="s">
        <v>350</v>
      </c>
      <c r="B189" s="6" t="s">
        <v>351</v>
      </c>
      <c r="C189" s="6" t="s">
        <v>84</v>
      </c>
      <c r="D189" s="11">
        <v>225</v>
      </c>
      <c r="E189" s="11">
        <f t="shared" ref="E189:E191" si="201">SUM(P189)</f>
        <v>230.40249999999997</v>
      </c>
      <c r="F189" s="11">
        <f t="shared" ref="F189:F191" si="202">D189*E189</f>
        <v>51840.562499999993</v>
      </c>
      <c r="G189" s="11">
        <f t="shared" ref="G189:G191" si="203">SUM(U189)</f>
        <v>132</v>
      </c>
      <c r="H189" s="11">
        <f t="shared" ref="H189:H191" si="204">D189*G189</f>
        <v>29700</v>
      </c>
      <c r="I189" s="11">
        <f t="shared" ref="I189:I191" si="205">E189+G189</f>
        <v>362.40249999999997</v>
      </c>
      <c r="J189" s="11">
        <f t="shared" ref="J189:J191" si="206">F189+H189</f>
        <v>81540.5625</v>
      </c>
      <c r="K189" s="35"/>
      <c r="L189" s="3"/>
      <c r="N189" s="30">
        <v>200.35</v>
      </c>
      <c r="O189" s="31">
        <f t="shared" ref="O189:O191" si="207">$O$1</f>
        <v>1.1499999999999999</v>
      </c>
      <c r="P189" s="32">
        <f t="shared" ref="P189:P191" si="208">SUM(O189*N189)</f>
        <v>230.40249999999997</v>
      </c>
      <c r="Q189" s="29"/>
      <c r="R189" s="29"/>
      <c r="S189" s="33">
        <v>110</v>
      </c>
      <c r="T189" s="34">
        <f t="shared" ref="T189:T191" si="209">$T$1</f>
        <v>1.2</v>
      </c>
      <c r="U189" s="33">
        <f t="shared" ref="U189:U191" si="210">SUM(T189*S189)</f>
        <v>132</v>
      </c>
      <c r="Y189">
        <f t="shared" si="161"/>
        <v>45078.75</v>
      </c>
      <c r="AA189">
        <f t="shared" si="162"/>
        <v>24750</v>
      </c>
    </row>
    <row r="190" spans="1:27">
      <c r="A190" s="6" t="s">
        <v>352</v>
      </c>
      <c r="B190" s="6" t="s">
        <v>353</v>
      </c>
      <c r="C190" s="6" t="s">
        <v>84</v>
      </c>
      <c r="D190" s="11">
        <v>35</v>
      </c>
      <c r="E190" s="11">
        <f t="shared" si="201"/>
        <v>443.26749999999993</v>
      </c>
      <c r="F190" s="11">
        <f t="shared" si="202"/>
        <v>15514.362499999997</v>
      </c>
      <c r="G190" s="11">
        <f t="shared" si="203"/>
        <v>180</v>
      </c>
      <c r="H190" s="11">
        <f t="shared" si="204"/>
        <v>6300</v>
      </c>
      <c r="I190" s="11">
        <f t="shared" si="205"/>
        <v>623.26749999999993</v>
      </c>
      <c r="J190" s="11">
        <f t="shared" si="206"/>
        <v>21814.362499999996</v>
      </c>
      <c r="K190" s="35"/>
      <c r="L190" s="3"/>
      <c r="N190" s="30">
        <v>385.45</v>
      </c>
      <c r="O190" s="31">
        <f t="shared" si="207"/>
        <v>1.1499999999999999</v>
      </c>
      <c r="P190" s="32">
        <f t="shared" si="208"/>
        <v>443.26749999999993</v>
      </c>
      <c r="Q190" s="29"/>
      <c r="R190" s="29"/>
      <c r="S190" s="33">
        <v>150</v>
      </c>
      <c r="T190" s="34">
        <f t="shared" si="209"/>
        <v>1.2</v>
      </c>
      <c r="U190" s="33">
        <f t="shared" si="210"/>
        <v>180</v>
      </c>
      <c r="Y190">
        <f t="shared" si="161"/>
        <v>13490.75</v>
      </c>
      <c r="AA190">
        <f t="shared" si="162"/>
        <v>5250</v>
      </c>
    </row>
    <row r="191" spans="1:27">
      <c r="A191" s="6" t="s">
        <v>354</v>
      </c>
      <c r="B191" s="6" t="s">
        <v>355</v>
      </c>
      <c r="C191" s="6" t="s">
        <v>84</v>
      </c>
      <c r="D191" s="11">
        <v>10</v>
      </c>
      <c r="E191" s="11">
        <f t="shared" si="201"/>
        <v>1023.362</v>
      </c>
      <c r="F191" s="11">
        <f t="shared" si="202"/>
        <v>10233.619999999999</v>
      </c>
      <c r="G191" s="11">
        <f t="shared" si="203"/>
        <v>264</v>
      </c>
      <c r="H191" s="11">
        <f t="shared" si="204"/>
        <v>2640</v>
      </c>
      <c r="I191" s="11">
        <f t="shared" si="205"/>
        <v>1287.3620000000001</v>
      </c>
      <c r="J191" s="11">
        <f t="shared" si="206"/>
        <v>12873.619999999999</v>
      </c>
      <c r="K191" s="35"/>
      <c r="L191" s="3"/>
      <c r="N191" s="30">
        <v>889.88</v>
      </c>
      <c r="O191" s="31">
        <f t="shared" si="207"/>
        <v>1.1499999999999999</v>
      </c>
      <c r="P191" s="32">
        <f t="shared" si="208"/>
        <v>1023.362</v>
      </c>
      <c r="Q191" s="29"/>
      <c r="R191" s="29"/>
      <c r="S191" s="33">
        <v>220</v>
      </c>
      <c r="T191" s="34">
        <f t="shared" si="209"/>
        <v>1.2</v>
      </c>
      <c r="U191" s="33">
        <f t="shared" si="210"/>
        <v>264</v>
      </c>
      <c r="Y191">
        <f t="shared" si="161"/>
        <v>8898.7999999999993</v>
      </c>
      <c r="AA191">
        <f t="shared" si="162"/>
        <v>2200</v>
      </c>
    </row>
    <row r="192" spans="1:27">
      <c r="A192" s="15" t="s">
        <v>356</v>
      </c>
      <c r="B192" s="15" t="s">
        <v>357</v>
      </c>
      <c r="C192" s="15" t="s">
        <v>15</v>
      </c>
      <c r="D192" s="16"/>
      <c r="E192" s="16"/>
      <c r="F192" s="16"/>
      <c r="G192" s="16"/>
      <c r="H192" s="16"/>
      <c r="I192" s="16"/>
      <c r="J192" s="16"/>
      <c r="K192" s="35"/>
      <c r="L192" s="3"/>
      <c r="Y192">
        <f t="shared" si="161"/>
        <v>0</v>
      </c>
      <c r="AA192">
        <f t="shared" si="162"/>
        <v>0</v>
      </c>
    </row>
    <row r="193" spans="1:27">
      <c r="A193" s="15" t="s">
        <v>358</v>
      </c>
      <c r="B193" s="15" t="s">
        <v>359</v>
      </c>
      <c r="C193" s="15" t="s">
        <v>15</v>
      </c>
      <c r="D193" s="16"/>
      <c r="E193" s="16"/>
      <c r="F193" s="16"/>
      <c r="G193" s="16"/>
      <c r="H193" s="16"/>
      <c r="I193" s="16"/>
      <c r="J193" s="16"/>
      <c r="K193" s="35"/>
      <c r="L193" s="3"/>
      <c r="Y193">
        <f t="shared" si="161"/>
        <v>0</v>
      </c>
      <c r="AA193">
        <f t="shared" si="162"/>
        <v>0</v>
      </c>
    </row>
    <row r="194" spans="1:27">
      <c r="A194" s="6" t="s">
        <v>360</v>
      </c>
      <c r="B194" s="6" t="s">
        <v>361</v>
      </c>
      <c r="C194" s="6" t="s">
        <v>65</v>
      </c>
      <c r="D194" s="11">
        <v>290</v>
      </c>
      <c r="E194" s="11">
        <f t="shared" ref="E194:E201" si="211">SUM(P194)</f>
        <v>66.378</v>
      </c>
      <c r="F194" s="11">
        <f t="shared" ref="F194:F201" si="212">D194*E194</f>
        <v>19249.62</v>
      </c>
      <c r="G194" s="11">
        <f t="shared" ref="G194:G201" si="213">SUM(U194)</f>
        <v>72</v>
      </c>
      <c r="H194" s="11">
        <f t="shared" ref="H194:H201" si="214">D194*G194</f>
        <v>20880</v>
      </c>
      <c r="I194" s="11">
        <f t="shared" ref="I194:I201" si="215">E194+G194</f>
        <v>138.37799999999999</v>
      </c>
      <c r="J194" s="11">
        <f t="shared" ref="J194:J201" si="216">F194+H194</f>
        <v>40129.619999999995</v>
      </c>
      <c r="K194" s="35"/>
      <c r="L194" s="3"/>
      <c r="N194" s="30">
        <v>57.72</v>
      </c>
      <c r="O194" s="31">
        <f t="shared" ref="O194:O201" si="217">$O$1</f>
        <v>1.1499999999999999</v>
      </c>
      <c r="P194" s="32">
        <f t="shared" ref="P194:P201" si="218">SUM(O194*N194)</f>
        <v>66.378</v>
      </c>
      <c r="Q194" s="29"/>
      <c r="R194" s="29"/>
      <c r="S194" s="33">
        <v>60</v>
      </c>
      <c r="T194" s="34">
        <f t="shared" ref="T194:T201" si="219">$T$1</f>
        <v>1.2</v>
      </c>
      <c r="U194" s="33">
        <f t="shared" ref="U194:U201" si="220">SUM(T194*S194)</f>
        <v>72</v>
      </c>
      <c r="Y194">
        <f t="shared" si="161"/>
        <v>16738.8</v>
      </c>
      <c r="AA194">
        <f t="shared" si="162"/>
        <v>17400</v>
      </c>
    </row>
    <row r="195" spans="1:27">
      <c r="A195" s="6" t="s">
        <v>362</v>
      </c>
      <c r="B195" s="6" t="s">
        <v>363</v>
      </c>
      <c r="C195" s="6" t="s">
        <v>65</v>
      </c>
      <c r="D195" s="11">
        <v>225</v>
      </c>
      <c r="E195" s="11">
        <f t="shared" si="211"/>
        <v>94.185000000000002</v>
      </c>
      <c r="F195" s="11">
        <f t="shared" si="212"/>
        <v>21191.625</v>
      </c>
      <c r="G195" s="11">
        <f t="shared" si="213"/>
        <v>72</v>
      </c>
      <c r="H195" s="11">
        <f t="shared" si="214"/>
        <v>16200</v>
      </c>
      <c r="I195" s="11">
        <f t="shared" si="215"/>
        <v>166.185</v>
      </c>
      <c r="J195" s="11">
        <f t="shared" si="216"/>
        <v>37391.625</v>
      </c>
      <c r="K195" s="35"/>
      <c r="L195" s="3"/>
      <c r="N195" s="30">
        <v>81.900000000000006</v>
      </c>
      <c r="O195" s="31">
        <f t="shared" si="217"/>
        <v>1.1499999999999999</v>
      </c>
      <c r="P195" s="32">
        <f t="shared" si="218"/>
        <v>94.185000000000002</v>
      </c>
      <c r="Q195" s="29"/>
      <c r="R195" s="29"/>
      <c r="S195" s="33">
        <v>60</v>
      </c>
      <c r="T195" s="34">
        <f t="shared" si="219"/>
        <v>1.2</v>
      </c>
      <c r="U195" s="33">
        <f t="shared" si="220"/>
        <v>72</v>
      </c>
      <c r="Y195">
        <f t="shared" si="161"/>
        <v>18427.5</v>
      </c>
      <c r="AA195">
        <f t="shared" si="162"/>
        <v>13500</v>
      </c>
    </row>
    <row r="196" spans="1:27">
      <c r="A196" s="6" t="s">
        <v>364</v>
      </c>
      <c r="B196" s="6" t="s">
        <v>365</v>
      </c>
      <c r="C196" s="6" t="s">
        <v>65</v>
      </c>
      <c r="D196" s="11">
        <v>35</v>
      </c>
      <c r="E196" s="11">
        <f t="shared" si="211"/>
        <v>175.81199999999998</v>
      </c>
      <c r="F196" s="11">
        <f t="shared" si="212"/>
        <v>6153.4199999999992</v>
      </c>
      <c r="G196" s="11">
        <f t="shared" si="213"/>
        <v>72</v>
      </c>
      <c r="H196" s="11">
        <f t="shared" si="214"/>
        <v>2520</v>
      </c>
      <c r="I196" s="11">
        <f t="shared" si="215"/>
        <v>247.81199999999998</v>
      </c>
      <c r="J196" s="11">
        <f t="shared" si="216"/>
        <v>8673.4199999999983</v>
      </c>
      <c r="K196" s="35"/>
      <c r="L196" s="3"/>
      <c r="N196" s="30">
        <v>152.88</v>
      </c>
      <c r="O196" s="31">
        <f t="shared" si="217"/>
        <v>1.1499999999999999</v>
      </c>
      <c r="P196" s="32">
        <f t="shared" si="218"/>
        <v>175.81199999999998</v>
      </c>
      <c r="Q196" s="29"/>
      <c r="R196" s="29"/>
      <c r="S196" s="33">
        <v>60</v>
      </c>
      <c r="T196" s="34">
        <f t="shared" si="219"/>
        <v>1.2</v>
      </c>
      <c r="U196" s="33">
        <f t="shared" si="220"/>
        <v>72</v>
      </c>
      <c r="Y196">
        <f t="shared" si="161"/>
        <v>5350.8</v>
      </c>
      <c r="AA196">
        <f t="shared" si="162"/>
        <v>2100</v>
      </c>
    </row>
    <row r="197" spans="1:27">
      <c r="A197" s="6" t="s">
        <v>366</v>
      </c>
      <c r="B197" s="6" t="s">
        <v>367</v>
      </c>
      <c r="C197" s="6" t="s">
        <v>65</v>
      </c>
      <c r="D197" s="11">
        <v>10</v>
      </c>
      <c r="E197" s="11">
        <f t="shared" si="211"/>
        <v>266.11</v>
      </c>
      <c r="F197" s="11">
        <f t="shared" si="212"/>
        <v>2661.1000000000004</v>
      </c>
      <c r="G197" s="11">
        <f t="shared" si="213"/>
        <v>72</v>
      </c>
      <c r="H197" s="11">
        <f t="shared" si="214"/>
        <v>720</v>
      </c>
      <c r="I197" s="11">
        <f t="shared" si="215"/>
        <v>338.11</v>
      </c>
      <c r="J197" s="11">
        <f t="shared" si="216"/>
        <v>3381.1000000000004</v>
      </c>
      <c r="K197" s="35"/>
      <c r="L197" s="3"/>
      <c r="N197" s="30">
        <v>231.4</v>
      </c>
      <c r="O197" s="31">
        <f t="shared" si="217"/>
        <v>1.1499999999999999</v>
      </c>
      <c r="P197" s="32">
        <f t="shared" si="218"/>
        <v>266.11</v>
      </c>
      <c r="Q197" s="29"/>
      <c r="R197" s="29"/>
      <c r="S197" s="33">
        <v>60</v>
      </c>
      <c r="T197" s="34">
        <f t="shared" si="219"/>
        <v>1.2</v>
      </c>
      <c r="U197" s="33">
        <f t="shared" si="220"/>
        <v>72</v>
      </c>
      <c r="Y197">
        <f t="shared" si="161"/>
        <v>2314</v>
      </c>
      <c r="AA197">
        <f t="shared" si="162"/>
        <v>600</v>
      </c>
    </row>
    <row r="198" spans="1:27">
      <c r="A198" s="6" t="s">
        <v>368</v>
      </c>
      <c r="B198" s="6" t="s">
        <v>369</v>
      </c>
      <c r="C198" s="6" t="s">
        <v>84</v>
      </c>
      <c r="D198" s="11">
        <v>550</v>
      </c>
      <c r="E198" s="11">
        <f t="shared" si="211"/>
        <v>17.84639</v>
      </c>
      <c r="F198" s="11">
        <f t="shared" si="212"/>
        <v>9815.5144999999993</v>
      </c>
      <c r="G198" s="11">
        <f t="shared" si="213"/>
        <v>26.4</v>
      </c>
      <c r="H198" s="11">
        <f t="shared" si="214"/>
        <v>14520</v>
      </c>
      <c r="I198" s="11">
        <f t="shared" si="215"/>
        <v>44.246389999999998</v>
      </c>
      <c r="J198" s="11">
        <f t="shared" si="216"/>
        <v>24335.514499999997</v>
      </c>
      <c r="K198" s="35"/>
      <c r="L198" s="3"/>
      <c r="N198" s="30">
        <v>15.518599999999999</v>
      </c>
      <c r="O198" s="31">
        <f t="shared" si="217"/>
        <v>1.1499999999999999</v>
      </c>
      <c r="P198" s="32">
        <f t="shared" si="218"/>
        <v>17.84639</v>
      </c>
      <c r="Q198" s="29"/>
      <c r="R198" s="29"/>
      <c r="S198" s="33">
        <v>22</v>
      </c>
      <c r="T198" s="34">
        <f t="shared" si="219"/>
        <v>1.2</v>
      </c>
      <c r="U198" s="33">
        <f t="shared" si="220"/>
        <v>26.4</v>
      </c>
      <c r="Y198">
        <f t="shared" si="161"/>
        <v>8535.23</v>
      </c>
      <c r="AA198">
        <f t="shared" si="162"/>
        <v>12100</v>
      </c>
    </row>
    <row r="199" spans="1:27">
      <c r="A199" s="6" t="s">
        <v>370</v>
      </c>
      <c r="B199" s="6" t="s">
        <v>371</v>
      </c>
      <c r="C199" s="6" t="s">
        <v>84</v>
      </c>
      <c r="D199" s="11">
        <v>634</v>
      </c>
      <c r="E199" s="11">
        <f t="shared" si="211"/>
        <v>9.9463499999999989</v>
      </c>
      <c r="F199" s="11">
        <f t="shared" si="212"/>
        <v>6305.9858999999997</v>
      </c>
      <c r="G199" s="11">
        <f t="shared" si="213"/>
        <v>34.799999999999997</v>
      </c>
      <c r="H199" s="11">
        <f t="shared" si="214"/>
        <v>22063.199999999997</v>
      </c>
      <c r="I199" s="11">
        <f t="shared" si="215"/>
        <v>44.746349999999993</v>
      </c>
      <c r="J199" s="11">
        <f t="shared" si="216"/>
        <v>28369.185899999997</v>
      </c>
      <c r="K199" s="35"/>
      <c r="L199" s="3"/>
      <c r="N199" s="30">
        <v>8.6489999999999991</v>
      </c>
      <c r="O199" s="31">
        <f t="shared" si="217"/>
        <v>1.1499999999999999</v>
      </c>
      <c r="P199" s="32">
        <f t="shared" si="218"/>
        <v>9.9463499999999989</v>
      </c>
      <c r="Q199" s="29"/>
      <c r="R199" s="29"/>
      <c r="S199" s="33">
        <v>29</v>
      </c>
      <c r="T199" s="34">
        <f t="shared" si="219"/>
        <v>1.2</v>
      </c>
      <c r="U199" s="33">
        <f t="shared" si="220"/>
        <v>34.799999999999997</v>
      </c>
      <c r="Y199">
        <f t="shared" si="161"/>
        <v>5483.4659999999994</v>
      </c>
      <c r="AA199">
        <f t="shared" si="162"/>
        <v>18386</v>
      </c>
    </row>
    <row r="200" spans="1:27">
      <c r="A200" s="6" t="s">
        <v>372</v>
      </c>
      <c r="B200" s="6" t="s">
        <v>373</v>
      </c>
      <c r="C200" s="6" t="s">
        <v>84</v>
      </c>
      <c r="D200" s="11">
        <v>60</v>
      </c>
      <c r="E200" s="11">
        <f t="shared" si="211"/>
        <v>13.760899999999998</v>
      </c>
      <c r="F200" s="11">
        <f t="shared" si="212"/>
        <v>825.65399999999988</v>
      </c>
      <c r="G200" s="11">
        <f t="shared" si="213"/>
        <v>34.799999999999997</v>
      </c>
      <c r="H200" s="11">
        <f t="shared" si="214"/>
        <v>2088</v>
      </c>
      <c r="I200" s="11">
        <f t="shared" si="215"/>
        <v>48.560899999999997</v>
      </c>
      <c r="J200" s="11">
        <f t="shared" si="216"/>
        <v>2913.654</v>
      </c>
      <c r="K200" s="35"/>
      <c r="L200" s="3"/>
      <c r="N200" s="30">
        <v>11.965999999999999</v>
      </c>
      <c r="O200" s="31">
        <f t="shared" si="217"/>
        <v>1.1499999999999999</v>
      </c>
      <c r="P200" s="32">
        <f t="shared" si="218"/>
        <v>13.760899999999998</v>
      </c>
      <c r="Q200" s="29"/>
      <c r="R200" s="29"/>
      <c r="S200" s="33">
        <v>29</v>
      </c>
      <c r="T200" s="34">
        <f t="shared" si="219"/>
        <v>1.2</v>
      </c>
      <c r="U200" s="33">
        <f t="shared" si="220"/>
        <v>34.799999999999997</v>
      </c>
      <c r="Y200">
        <f t="shared" si="161"/>
        <v>717.95999999999992</v>
      </c>
      <c r="AA200">
        <f t="shared" si="162"/>
        <v>1740</v>
      </c>
    </row>
    <row r="201" spans="1:27">
      <c r="A201" s="6" t="s">
        <v>374</v>
      </c>
      <c r="B201" s="6" t="s">
        <v>375</v>
      </c>
      <c r="C201" s="6" t="s">
        <v>84</v>
      </c>
      <c r="D201" s="11">
        <v>20</v>
      </c>
      <c r="E201" s="11">
        <f t="shared" si="211"/>
        <v>21.589639999999996</v>
      </c>
      <c r="F201" s="11">
        <f t="shared" si="212"/>
        <v>431.79279999999994</v>
      </c>
      <c r="G201" s="11">
        <f t="shared" si="213"/>
        <v>34.799999999999997</v>
      </c>
      <c r="H201" s="11">
        <f t="shared" si="214"/>
        <v>696</v>
      </c>
      <c r="I201" s="11">
        <f t="shared" si="215"/>
        <v>56.389639999999993</v>
      </c>
      <c r="J201" s="11">
        <f t="shared" si="216"/>
        <v>1127.7927999999999</v>
      </c>
      <c r="K201" s="35"/>
      <c r="L201" s="3"/>
      <c r="N201" s="30">
        <v>18.773599999999998</v>
      </c>
      <c r="O201" s="31">
        <f t="shared" si="217"/>
        <v>1.1499999999999999</v>
      </c>
      <c r="P201" s="32">
        <f t="shared" si="218"/>
        <v>21.589639999999996</v>
      </c>
      <c r="Q201" s="29"/>
      <c r="R201" s="29"/>
      <c r="S201" s="33">
        <v>29</v>
      </c>
      <c r="T201" s="34">
        <f t="shared" si="219"/>
        <v>1.2</v>
      </c>
      <c r="U201" s="33">
        <f t="shared" si="220"/>
        <v>34.799999999999997</v>
      </c>
      <c r="Y201">
        <f t="shared" ref="Y201:Y264" si="221">SUM(N201*D201)</f>
        <v>375.47199999999998</v>
      </c>
      <c r="AA201">
        <f t="shared" ref="AA201:AA264" si="222">SUM(S201*D201)</f>
        <v>580</v>
      </c>
    </row>
    <row r="202" spans="1:27">
      <c r="A202" s="15" t="s">
        <v>376</v>
      </c>
      <c r="B202" s="15" t="s">
        <v>377</v>
      </c>
      <c r="C202" s="15" t="s">
        <v>15</v>
      </c>
      <c r="D202" s="16"/>
      <c r="E202" s="16"/>
      <c r="F202" s="16"/>
      <c r="G202" s="16"/>
      <c r="H202" s="16"/>
      <c r="I202" s="16"/>
      <c r="J202" s="16"/>
      <c r="K202" s="35"/>
      <c r="L202" s="3"/>
      <c r="Y202">
        <f t="shared" si="221"/>
        <v>0</v>
      </c>
      <c r="AA202">
        <f t="shared" si="222"/>
        <v>0</v>
      </c>
    </row>
    <row r="203" spans="1:27">
      <c r="A203" s="6" t="s">
        <v>378</v>
      </c>
      <c r="B203" s="6" t="s">
        <v>379</v>
      </c>
      <c r="C203" s="6" t="s">
        <v>84</v>
      </c>
      <c r="D203" s="11">
        <v>100</v>
      </c>
      <c r="E203" s="11">
        <f>SUM(P203)</f>
        <v>358.63900000000001</v>
      </c>
      <c r="F203" s="11">
        <f>D203*E203</f>
        <v>35863.9</v>
      </c>
      <c r="G203" s="11">
        <f>SUM(U203)</f>
        <v>48</v>
      </c>
      <c r="H203" s="11">
        <f>D203*G203</f>
        <v>4800</v>
      </c>
      <c r="I203" s="11">
        <f>E203+G203</f>
        <v>406.63900000000001</v>
      </c>
      <c r="J203" s="11">
        <f>F203+H203</f>
        <v>40663.9</v>
      </c>
      <c r="K203" s="35"/>
      <c r="L203" s="3"/>
      <c r="N203" s="30">
        <v>311.86</v>
      </c>
      <c r="O203" s="31">
        <f>$O$1</f>
        <v>1.1499999999999999</v>
      </c>
      <c r="P203" s="32">
        <f>SUM(O203*N203)</f>
        <v>358.63900000000001</v>
      </c>
      <c r="Q203" s="29"/>
      <c r="R203" s="29"/>
      <c r="S203" s="33">
        <v>40</v>
      </c>
      <c r="T203" s="34">
        <f>$T$1</f>
        <v>1.2</v>
      </c>
      <c r="U203" s="33">
        <f>SUM(T203*S203)</f>
        <v>48</v>
      </c>
      <c r="Y203">
        <f t="shared" si="221"/>
        <v>31186</v>
      </c>
      <c r="AA203">
        <f t="shared" si="222"/>
        <v>4000</v>
      </c>
    </row>
    <row r="204" spans="1:27">
      <c r="A204" s="15" t="s">
        <v>380</v>
      </c>
      <c r="B204" s="15" t="s">
        <v>381</v>
      </c>
      <c r="C204" s="15" t="s">
        <v>15</v>
      </c>
      <c r="D204" s="16"/>
      <c r="E204" s="16"/>
      <c r="F204" s="16"/>
      <c r="G204" s="16"/>
      <c r="H204" s="16"/>
      <c r="I204" s="16"/>
      <c r="J204" s="16"/>
      <c r="K204" s="35"/>
      <c r="L204" s="3"/>
      <c r="Y204">
        <f t="shared" si="221"/>
        <v>0</v>
      </c>
      <c r="AA204">
        <f t="shared" si="222"/>
        <v>0</v>
      </c>
    </row>
    <row r="205" spans="1:27">
      <c r="A205" s="6" t="s">
        <v>382</v>
      </c>
      <c r="B205" s="6" t="s">
        <v>383</v>
      </c>
      <c r="C205" s="6" t="s">
        <v>84</v>
      </c>
      <c r="D205" s="11">
        <v>30</v>
      </c>
      <c r="E205" s="11">
        <f t="shared" ref="E205:E210" si="223">SUM(P205)</f>
        <v>94.725499999999997</v>
      </c>
      <c r="F205" s="11">
        <f t="shared" ref="F205:F210" si="224">D205*E205</f>
        <v>2841.7649999999999</v>
      </c>
      <c r="G205" s="11">
        <f t="shared" ref="G205:G210" si="225">SUM(U205)</f>
        <v>34.799999999999997</v>
      </c>
      <c r="H205" s="11">
        <f t="shared" ref="H205:H210" si="226">D205*G205</f>
        <v>1044</v>
      </c>
      <c r="I205" s="11">
        <f t="shared" ref="I205:I210" si="227">E205+G205</f>
        <v>129.52549999999999</v>
      </c>
      <c r="J205" s="11">
        <f t="shared" ref="J205:J210" si="228">F205+H205</f>
        <v>3885.7649999999999</v>
      </c>
      <c r="K205" s="35"/>
      <c r="L205" s="3"/>
      <c r="N205" s="30">
        <v>82.37</v>
      </c>
      <c r="O205" s="31">
        <f t="shared" ref="O205:O210" si="229">$O$1</f>
        <v>1.1499999999999999</v>
      </c>
      <c r="P205" s="32">
        <f t="shared" ref="P205:P210" si="230">SUM(O205*N205)</f>
        <v>94.725499999999997</v>
      </c>
      <c r="Q205" s="29"/>
      <c r="R205" s="29"/>
      <c r="S205" s="33">
        <v>29</v>
      </c>
      <c r="T205" s="34">
        <f t="shared" ref="T205:T210" si="231">$T$1</f>
        <v>1.2</v>
      </c>
      <c r="U205" s="33">
        <f t="shared" ref="U205:U210" si="232">SUM(T205*S205)</f>
        <v>34.799999999999997</v>
      </c>
      <c r="Y205">
        <f t="shared" si="221"/>
        <v>2471.1000000000004</v>
      </c>
      <c r="AA205">
        <f t="shared" si="222"/>
        <v>870</v>
      </c>
    </row>
    <row r="206" spans="1:27">
      <c r="A206" s="6" t="s">
        <v>384</v>
      </c>
      <c r="B206" s="6" t="s">
        <v>385</v>
      </c>
      <c r="C206" s="6" t="s">
        <v>84</v>
      </c>
      <c r="D206" s="11">
        <v>10</v>
      </c>
      <c r="E206" s="11">
        <f t="shared" si="223"/>
        <v>39.650849999999998</v>
      </c>
      <c r="F206" s="11">
        <f t="shared" si="224"/>
        <v>396.50849999999997</v>
      </c>
      <c r="G206" s="11">
        <f t="shared" si="225"/>
        <v>42</v>
      </c>
      <c r="H206" s="11">
        <f t="shared" si="226"/>
        <v>420</v>
      </c>
      <c r="I206" s="11">
        <f t="shared" si="227"/>
        <v>81.650849999999991</v>
      </c>
      <c r="J206" s="11">
        <f t="shared" si="228"/>
        <v>816.50849999999991</v>
      </c>
      <c r="K206" s="35"/>
      <c r="L206" s="3"/>
      <c r="N206" s="30">
        <v>34.478999999999999</v>
      </c>
      <c r="O206" s="31">
        <f t="shared" si="229"/>
        <v>1.1499999999999999</v>
      </c>
      <c r="P206" s="32">
        <f t="shared" si="230"/>
        <v>39.650849999999998</v>
      </c>
      <c r="Q206" s="29"/>
      <c r="R206" s="29"/>
      <c r="S206" s="33">
        <v>35</v>
      </c>
      <c r="T206" s="34">
        <f t="shared" si="231"/>
        <v>1.2</v>
      </c>
      <c r="U206" s="33">
        <f t="shared" si="232"/>
        <v>42</v>
      </c>
      <c r="Y206">
        <f t="shared" si="221"/>
        <v>344.78999999999996</v>
      </c>
      <c r="AA206">
        <f t="shared" si="222"/>
        <v>350</v>
      </c>
    </row>
    <row r="207" spans="1:27">
      <c r="A207" s="6" t="s">
        <v>386</v>
      </c>
      <c r="B207" s="6" t="s">
        <v>387</v>
      </c>
      <c r="C207" s="6" t="s">
        <v>65</v>
      </c>
      <c r="D207" s="11">
        <v>360</v>
      </c>
      <c r="E207" s="11">
        <f t="shared" si="223"/>
        <v>6.2847499999999989</v>
      </c>
      <c r="F207" s="11">
        <f t="shared" si="224"/>
        <v>2262.5099999999998</v>
      </c>
      <c r="G207" s="11">
        <f t="shared" si="225"/>
        <v>18</v>
      </c>
      <c r="H207" s="11">
        <f t="shared" si="226"/>
        <v>6480</v>
      </c>
      <c r="I207" s="11">
        <f t="shared" si="227"/>
        <v>24.284749999999999</v>
      </c>
      <c r="J207" s="11">
        <f t="shared" si="228"/>
        <v>8742.51</v>
      </c>
      <c r="K207" s="35"/>
      <c r="L207" s="3"/>
      <c r="N207" s="30">
        <f>[1]List1!$F$140/400</f>
        <v>5.4649999999999999</v>
      </c>
      <c r="O207" s="31">
        <f t="shared" si="229"/>
        <v>1.1499999999999999</v>
      </c>
      <c r="P207" s="32">
        <f t="shared" si="230"/>
        <v>6.2847499999999989</v>
      </c>
      <c r="Q207" s="29"/>
      <c r="R207" s="29"/>
      <c r="S207" s="33">
        <v>15</v>
      </c>
      <c r="T207" s="34">
        <f t="shared" si="231"/>
        <v>1.2</v>
      </c>
      <c r="U207" s="33">
        <f t="shared" si="232"/>
        <v>18</v>
      </c>
      <c r="Y207">
        <f t="shared" si="221"/>
        <v>1967.3999999999999</v>
      </c>
      <c r="AA207">
        <f t="shared" si="222"/>
        <v>5400</v>
      </c>
    </row>
    <row r="208" spans="1:27">
      <c r="A208" s="6" t="s">
        <v>388</v>
      </c>
      <c r="B208" s="6" t="s">
        <v>389</v>
      </c>
      <c r="C208" s="6" t="s">
        <v>65</v>
      </c>
      <c r="D208" s="11">
        <v>360</v>
      </c>
      <c r="E208" s="11">
        <f t="shared" si="223"/>
        <v>43.742549999999994</v>
      </c>
      <c r="F208" s="11">
        <f t="shared" si="224"/>
        <v>15747.317999999997</v>
      </c>
      <c r="G208" s="11">
        <f t="shared" si="225"/>
        <v>30</v>
      </c>
      <c r="H208" s="11">
        <f t="shared" si="226"/>
        <v>10800</v>
      </c>
      <c r="I208" s="11">
        <f t="shared" si="227"/>
        <v>73.742549999999994</v>
      </c>
      <c r="J208" s="11">
        <f t="shared" si="228"/>
        <v>26547.317999999999</v>
      </c>
      <c r="K208" s="35"/>
      <c r="L208" s="3"/>
      <c r="N208" s="30">
        <f>[1]List1!$F$141/400</f>
        <v>38.036999999999999</v>
      </c>
      <c r="O208" s="31">
        <f t="shared" si="229"/>
        <v>1.1499999999999999</v>
      </c>
      <c r="P208" s="32">
        <f t="shared" si="230"/>
        <v>43.742549999999994</v>
      </c>
      <c r="Q208" s="29"/>
      <c r="R208" s="29"/>
      <c r="S208" s="33">
        <v>25</v>
      </c>
      <c r="T208" s="34">
        <f t="shared" si="231"/>
        <v>1.2</v>
      </c>
      <c r="U208" s="33">
        <f t="shared" si="232"/>
        <v>30</v>
      </c>
      <c r="Y208">
        <f t="shared" si="221"/>
        <v>13693.32</v>
      </c>
      <c r="AA208">
        <f t="shared" si="222"/>
        <v>9000</v>
      </c>
    </row>
    <row r="209" spans="1:27">
      <c r="A209" s="6" t="s">
        <v>390</v>
      </c>
      <c r="B209" s="6" t="s">
        <v>391</v>
      </c>
      <c r="C209" s="6" t="s">
        <v>65</v>
      </c>
      <c r="D209" s="11">
        <v>10</v>
      </c>
      <c r="E209" s="11">
        <f t="shared" si="223"/>
        <v>218.49999999999997</v>
      </c>
      <c r="F209" s="11">
        <f t="shared" si="224"/>
        <v>2184.9999999999995</v>
      </c>
      <c r="G209" s="11">
        <f t="shared" si="225"/>
        <v>300</v>
      </c>
      <c r="H209" s="11">
        <f t="shared" si="226"/>
        <v>3000</v>
      </c>
      <c r="I209" s="11">
        <f t="shared" si="227"/>
        <v>518.5</v>
      </c>
      <c r="J209" s="11">
        <f t="shared" si="228"/>
        <v>5185</v>
      </c>
      <c r="K209" s="35"/>
      <c r="L209" s="3"/>
      <c r="N209" s="30">
        <v>190</v>
      </c>
      <c r="O209" s="31">
        <f t="shared" si="229"/>
        <v>1.1499999999999999</v>
      </c>
      <c r="P209" s="32">
        <f t="shared" si="230"/>
        <v>218.49999999999997</v>
      </c>
      <c r="Q209" s="29"/>
      <c r="R209" s="29"/>
      <c r="S209" s="33">
        <v>250</v>
      </c>
      <c r="T209" s="34">
        <f t="shared" si="231"/>
        <v>1.2</v>
      </c>
      <c r="U209" s="33">
        <f t="shared" si="232"/>
        <v>300</v>
      </c>
      <c r="Y209">
        <f t="shared" si="221"/>
        <v>1900</v>
      </c>
      <c r="AA209">
        <f t="shared" si="222"/>
        <v>2500</v>
      </c>
    </row>
    <row r="210" spans="1:27">
      <c r="A210" s="6" t="s">
        <v>392</v>
      </c>
      <c r="B210" s="6" t="s">
        <v>393</v>
      </c>
      <c r="C210" s="6" t="s">
        <v>65</v>
      </c>
      <c r="D210" s="11">
        <v>10</v>
      </c>
      <c r="E210" s="11">
        <f t="shared" si="223"/>
        <v>21.104799999999997</v>
      </c>
      <c r="F210" s="11">
        <f t="shared" si="224"/>
        <v>211.04799999999997</v>
      </c>
      <c r="G210" s="11">
        <f t="shared" si="225"/>
        <v>66</v>
      </c>
      <c r="H210" s="11">
        <f t="shared" si="226"/>
        <v>660</v>
      </c>
      <c r="I210" s="11">
        <f t="shared" si="227"/>
        <v>87.104799999999997</v>
      </c>
      <c r="J210" s="11">
        <f t="shared" si="228"/>
        <v>871.048</v>
      </c>
      <c r="K210" s="35"/>
      <c r="L210" s="3"/>
      <c r="N210" s="30">
        <v>18.352</v>
      </c>
      <c r="O210" s="31">
        <f t="shared" si="229"/>
        <v>1.1499999999999999</v>
      </c>
      <c r="P210" s="32">
        <f t="shared" si="230"/>
        <v>21.104799999999997</v>
      </c>
      <c r="Q210" s="29"/>
      <c r="R210" s="29"/>
      <c r="S210" s="33">
        <v>55</v>
      </c>
      <c r="T210" s="34">
        <f t="shared" si="231"/>
        <v>1.2</v>
      </c>
      <c r="U210" s="33">
        <f t="shared" si="232"/>
        <v>66</v>
      </c>
      <c r="Y210">
        <f t="shared" si="221"/>
        <v>183.52</v>
      </c>
      <c r="AA210">
        <f t="shared" si="222"/>
        <v>550</v>
      </c>
    </row>
    <row r="211" spans="1:27">
      <c r="A211" s="15" t="s">
        <v>394</v>
      </c>
      <c r="B211" s="15" t="s">
        <v>395</v>
      </c>
      <c r="C211" s="15" t="s">
        <v>15</v>
      </c>
      <c r="D211" s="16"/>
      <c r="E211" s="16"/>
      <c r="F211" s="16"/>
      <c r="G211" s="16"/>
      <c r="H211" s="16"/>
      <c r="I211" s="16"/>
      <c r="J211" s="16"/>
      <c r="K211" s="35"/>
      <c r="L211" s="3"/>
      <c r="Y211">
        <f t="shared" si="221"/>
        <v>0</v>
      </c>
      <c r="AA211">
        <f t="shared" si="222"/>
        <v>0</v>
      </c>
    </row>
    <row r="212" spans="1:27">
      <c r="A212" s="6" t="s">
        <v>396</v>
      </c>
      <c r="B212" s="6" t="s">
        <v>397</v>
      </c>
      <c r="C212" s="6" t="s">
        <v>84</v>
      </c>
      <c r="D212" s="11">
        <v>950</v>
      </c>
      <c r="E212" s="11">
        <f t="shared" ref="E212:E213" si="233">SUM(P212)</f>
        <v>5.967894736842104</v>
      </c>
      <c r="F212" s="11">
        <f t="shared" ref="F212:F213" si="234">D212*E212</f>
        <v>5669.4999999999991</v>
      </c>
      <c r="G212" s="11">
        <f t="shared" ref="G212:G213" si="235">SUM(U212)</f>
        <v>7.1999999999999993</v>
      </c>
      <c r="H212" s="11">
        <f t="shared" ref="H212:H213" si="236">D212*G212</f>
        <v>6839.9999999999991</v>
      </c>
      <c r="I212" s="11">
        <f t="shared" ref="I212:I213" si="237">E212+G212</f>
        <v>13.167894736842104</v>
      </c>
      <c r="J212" s="11">
        <f t="shared" ref="J212:J213" si="238">F212+H212</f>
        <v>12509.499999999998</v>
      </c>
      <c r="K212" s="35"/>
      <c r="L212" s="3"/>
      <c r="N212" s="30">
        <f>SUM([1]List1!$F$143/950)</f>
        <v>5.189473684210526</v>
      </c>
      <c r="O212" s="31">
        <f t="shared" ref="O212:O213" si="239">$O$1</f>
        <v>1.1499999999999999</v>
      </c>
      <c r="P212" s="32">
        <f t="shared" ref="P212:P213" si="240">SUM(O212*N212)</f>
        <v>5.967894736842104</v>
      </c>
      <c r="Q212" s="29"/>
      <c r="R212" s="29"/>
      <c r="S212" s="33">
        <v>6</v>
      </c>
      <c r="T212" s="34">
        <f t="shared" ref="T212:T213" si="241">$T$1</f>
        <v>1.2</v>
      </c>
      <c r="U212" s="33">
        <f t="shared" ref="U212:U213" si="242">SUM(T212*S212)</f>
        <v>7.1999999999999993</v>
      </c>
      <c r="Y212">
        <f t="shared" si="221"/>
        <v>4930</v>
      </c>
      <c r="AA212">
        <f t="shared" si="222"/>
        <v>5700</v>
      </c>
    </row>
    <row r="213" spans="1:27">
      <c r="A213" s="6" t="s">
        <v>398</v>
      </c>
      <c r="B213" s="6" t="s">
        <v>399</v>
      </c>
      <c r="C213" s="6" t="s">
        <v>65</v>
      </c>
      <c r="D213" s="11">
        <v>160</v>
      </c>
      <c r="E213" s="11">
        <f t="shared" si="233"/>
        <v>1.733625</v>
      </c>
      <c r="F213" s="11">
        <f t="shared" si="234"/>
        <v>277.38</v>
      </c>
      <c r="G213" s="11">
        <f t="shared" si="235"/>
        <v>72</v>
      </c>
      <c r="H213" s="11">
        <f t="shared" si="236"/>
        <v>11520</v>
      </c>
      <c r="I213" s="11">
        <f t="shared" si="237"/>
        <v>73.733625000000004</v>
      </c>
      <c r="J213" s="11">
        <f t="shared" si="238"/>
        <v>11797.38</v>
      </c>
      <c r="K213" s="35"/>
      <c r="L213" s="3"/>
      <c r="N213" s="30">
        <f>SUM([1]List1!$E$144)</f>
        <v>1.5075000000000001</v>
      </c>
      <c r="O213" s="31">
        <f t="shared" si="239"/>
        <v>1.1499999999999999</v>
      </c>
      <c r="P213" s="32">
        <f t="shared" si="240"/>
        <v>1.733625</v>
      </c>
      <c r="Q213" s="29"/>
      <c r="R213" s="29"/>
      <c r="S213" s="33">
        <v>60</v>
      </c>
      <c r="T213" s="34">
        <f t="shared" si="241"/>
        <v>1.2</v>
      </c>
      <c r="U213" s="33">
        <f t="shared" si="242"/>
        <v>72</v>
      </c>
      <c r="Y213">
        <f t="shared" si="221"/>
        <v>241.20000000000002</v>
      </c>
      <c r="AA213">
        <f t="shared" si="222"/>
        <v>9600</v>
      </c>
    </row>
    <row r="214" spans="1:27">
      <c r="A214" s="15" t="s">
        <v>400</v>
      </c>
      <c r="B214" s="15" t="s">
        <v>401</v>
      </c>
      <c r="C214" s="15" t="s">
        <v>15</v>
      </c>
      <c r="D214" s="16"/>
      <c r="E214" s="16"/>
      <c r="F214" s="16"/>
      <c r="G214" s="16"/>
      <c r="H214" s="16"/>
      <c r="I214" s="16"/>
      <c r="J214" s="16"/>
      <c r="K214" s="35"/>
      <c r="L214" s="3"/>
      <c r="Y214">
        <f t="shared" si="221"/>
        <v>0</v>
      </c>
      <c r="AA214">
        <f t="shared" si="222"/>
        <v>0</v>
      </c>
    </row>
    <row r="215" spans="1:27">
      <c r="A215" s="6" t="s">
        <v>402</v>
      </c>
      <c r="B215" s="6" t="s">
        <v>403</v>
      </c>
      <c r="C215" s="6" t="s">
        <v>65</v>
      </c>
      <c r="D215" s="11">
        <v>25</v>
      </c>
      <c r="E215" s="11">
        <f t="shared" ref="E215:E216" si="243">SUM(P215)</f>
        <v>0</v>
      </c>
      <c r="F215" s="11">
        <f t="shared" ref="F215:F216" si="244">D215*E215</f>
        <v>0</v>
      </c>
      <c r="G215" s="11">
        <f t="shared" ref="G215:G216" si="245">SUM(U215)</f>
        <v>180</v>
      </c>
      <c r="H215" s="11">
        <f t="shared" ref="H215:H216" si="246">D215*G215</f>
        <v>4500</v>
      </c>
      <c r="I215" s="11">
        <f t="shared" ref="I215:I216" si="247">E215+G215</f>
        <v>180</v>
      </c>
      <c r="J215" s="11">
        <f t="shared" ref="J215:J216" si="248">F215+H215</f>
        <v>4500</v>
      </c>
      <c r="K215" s="35"/>
      <c r="L215" s="3"/>
      <c r="N215" s="29"/>
      <c r="O215" s="29"/>
      <c r="P215" s="29"/>
      <c r="Q215" s="29"/>
      <c r="R215" s="29"/>
      <c r="S215" s="33">
        <v>150</v>
      </c>
      <c r="T215" s="34">
        <f t="shared" ref="T215:T216" si="249">$T$1</f>
        <v>1.2</v>
      </c>
      <c r="U215" s="33">
        <f t="shared" ref="U215:U216" si="250">SUM(T215*S215)</f>
        <v>180</v>
      </c>
      <c r="Y215">
        <f t="shared" si="221"/>
        <v>0</v>
      </c>
      <c r="AA215">
        <f t="shared" si="222"/>
        <v>3750</v>
      </c>
    </row>
    <row r="216" spans="1:27">
      <c r="A216" s="6" t="s">
        <v>404</v>
      </c>
      <c r="B216" s="6" t="s">
        <v>405</v>
      </c>
      <c r="C216" s="6" t="s">
        <v>65</v>
      </c>
      <c r="D216" s="11">
        <v>15</v>
      </c>
      <c r="E216" s="11">
        <f t="shared" si="243"/>
        <v>0</v>
      </c>
      <c r="F216" s="11">
        <f t="shared" si="244"/>
        <v>0</v>
      </c>
      <c r="G216" s="11">
        <f t="shared" si="245"/>
        <v>240</v>
      </c>
      <c r="H216" s="11">
        <f t="shared" si="246"/>
        <v>3600</v>
      </c>
      <c r="I216" s="11">
        <f t="shared" si="247"/>
        <v>240</v>
      </c>
      <c r="J216" s="11">
        <f t="shared" si="248"/>
        <v>3600</v>
      </c>
      <c r="K216" s="35"/>
      <c r="L216" s="3"/>
      <c r="N216" s="29"/>
      <c r="O216" s="29"/>
      <c r="P216" s="29"/>
      <c r="Q216" s="29"/>
      <c r="R216" s="29"/>
      <c r="S216" s="33">
        <v>200</v>
      </c>
      <c r="T216" s="34">
        <f t="shared" si="249"/>
        <v>1.2</v>
      </c>
      <c r="U216" s="33">
        <f t="shared" si="250"/>
        <v>240</v>
      </c>
      <c r="Y216">
        <f t="shared" si="221"/>
        <v>0</v>
      </c>
      <c r="AA216">
        <f t="shared" si="222"/>
        <v>3000</v>
      </c>
    </row>
    <row r="217" spans="1:27">
      <c r="A217" s="15" t="s">
        <v>406</v>
      </c>
      <c r="B217" s="15" t="s">
        <v>407</v>
      </c>
      <c r="C217" s="15" t="s">
        <v>15</v>
      </c>
      <c r="D217" s="16"/>
      <c r="E217" s="16"/>
      <c r="F217" s="16"/>
      <c r="G217" s="16"/>
      <c r="H217" s="16"/>
      <c r="I217" s="16"/>
      <c r="J217" s="16"/>
      <c r="K217" s="35"/>
      <c r="L217" s="3"/>
      <c r="Y217">
        <f t="shared" si="221"/>
        <v>0</v>
      </c>
      <c r="AA217">
        <f t="shared" si="222"/>
        <v>0</v>
      </c>
    </row>
    <row r="218" spans="1:27">
      <c r="A218" s="6" t="s">
        <v>408</v>
      </c>
      <c r="B218" s="6" t="s">
        <v>405</v>
      </c>
      <c r="C218" s="6" t="s">
        <v>65</v>
      </c>
      <c r="D218" s="11">
        <v>10</v>
      </c>
      <c r="E218" s="11">
        <f t="shared" ref="E218:E219" si="251">SUM(P218)</f>
        <v>0</v>
      </c>
      <c r="F218" s="11">
        <f t="shared" ref="F218:F219" si="252">D218*E218</f>
        <v>0</v>
      </c>
      <c r="G218" s="11">
        <f t="shared" ref="G218:G219" si="253">SUM(U218)</f>
        <v>300</v>
      </c>
      <c r="H218" s="11">
        <f t="shared" ref="H218:H219" si="254">D218*G218</f>
        <v>3000</v>
      </c>
      <c r="I218" s="11">
        <f t="shared" ref="I218:I219" si="255">E218+G218</f>
        <v>300</v>
      </c>
      <c r="J218" s="11">
        <f t="shared" ref="J218:J219" si="256">F218+H218</f>
        <v>3000</v>
      </c>
      <c r="K218" s="35"/>
      <c r="L218" s="3"/>
      <c r="N218" s="30"/>
      <c r="O218" s="31">
        <f t="shared" ref="O218:O219" si="257">$O$1</f>
        <v>1.1499999999999999</v>
      </c>
      <c r="P218" s="32">
        <f t="shared" ref="P218:P219" si="258">SUM(O218*N218)</f>
        <v>0</v>
      </c>
      <c r="Q218" s="29"/>
      <c r="R218" s="29"/>
      <c r="S218" s="33">
        <v>250</v>
      </c>
      <c r="T218" s="34">
        <f t="shared" ref="T218:T219" si="259">$T$1</f>
        <v>1.2</v>
      </c>
      <c r="U218" s="33">
        <f t="shared" ref="U218:U219" si="260">SUM(T218*S218)</f>
        <v>300</v>
      </c>
      <c r="Y218">
        <f t="shared" si="221"/>
        <v>0</v>
      </c>
      <c r="AA218">
        <f t="shared" si="222"/>
        <v>2500</v>
      </c>
    </row>
    <row r="219" spans="1:27">
      <c r="A219" s="6" t="s">
        <v>409</v>
      </c>
      <c r="B219" s="6" t="s">
        <v>410</v>
      </c>
      <c r="C219" s="6" t="s">
        <v>65</v>
      </c>
      <c r="D219" s="11">
        <v>5</v>
      </c>
      <c r="E219" s="11">
        <f t="shared" si="251"/>
        <v>0</v>
      </c>
      <c r="F219" s="11">
        <f t="shared" si="252"/>
        <v>0</v>
      </c>
      <c r="G219" s="11">
        <f t="shared" si="253"/>
        <v>360</v>
      </c>
      <c r="H219" s="11">
        <f t="shared" si="254"/>
        <v>1800</v>
      </c>
      <c r="I219" s="11">
        <f t="shared" si="255"/>
        <v>360</v>
      </c>
      <c r="J219" s="11">
        <f t="shared" si="256"/>
        <v>1800</v>
      </c>
      <c r="K219" s="35"/>
      <c r="L219" s="3"/>
      <c r="N219" s="30"/>
      <c r="O219" s="31">
        <f t="shared" si="257"/>
        <v>1.1499999999999999</v>
      </c>
      <c r="P219" s="32">
        <f t="shared" si="258"/>
        <v>0</v>
      </c>
      <c r="Q219" s="29"/>
      <c r="R219" s="29"/>
      <c r="S219" s="33">
        <v>300</v>
      </c>
      <c r="T219" s="34">
        <f t="shared" si="259"/>
        <v>1.2</v>
      </c>
      <c r="U219" s="33">
        <f t="shared" si="260"/>
        <v>360</v>
      </c>
      <c r="Y219">
        <f t="shared" si="221"/>
        <v>0</v>
      </c>
      <c r="AA219">
        <f t="shared" si="222"/>
        <v>1500</v>
      </c>
    </row>
    <row r="220" spans="1:27">
      <c r="A220" s="7" t="s">
        <v>15</v>
      </c>
      <c r="B220" s="7" t="s">
        <v>411</v>
      </c>
      <c r="C220" s="7" t="s">
        <v>15</v>
      </c>
      <c r="D220" s="14"/>
      <c r="E220" s="14"/>
      <c r="F220" s="14">
        <f>SUM(F182:F219)</f>
        <v>258302.48670000004</v>
      </c>
      <c r="G220" s="14"/>
      <c r="H220" s="14">
        <f>SUM(H182:H219)</f>
        <v>215071.2</v>
      </c>
      <c r="I220" s="14"/>
      <c r="J220" s="14">
        <f>SUM(J182:J219)</f>
        <v>473373.6866999999</v>
      </c>
      <c r="K220" s="35"/>
      <c r="L220" s="3"/>
      <c r="Y220">
        <f t="shared" si="221"/>
        <v>0</v>
      </c>
      <c r="AA220">
        <f t="shared" si="222"/>
        <v>0</v>
      </c>
    </row>
    <row r="221" spans="1:27">
      <c r="A221" s="6" t="s">
        <v>15</v>
      </c>
      <c r="B221" s="6" t="s">
        <v>15</v>
      </c>
      <c r="C221" s="6" t="s">
        <v>15</v>
      </c>
      <c r="D221" s="11"/>
      <c r="E221" s="11"/>
      <c r="F221" s="11"/>
      <c r="G221" s="11"/>
      <c r="H221" s="11"/>
      <c r="I221" s="11">
        <f>E221+G221</f>
        <v>0</v>
      </c>
      <c r="J221" s="11">
        <f>F221+H221</f>
        <v>0</v>
      </c>
      <c r="K221" s="35"/>
      <c r="L221" s="3"/>
      <c r="Y221">
        <f t="shared" si="221"/>
        <v>0</v>
      </c>
      <c r="AA221">
        <f t="shared" si="222"/>
        <v>0</v>
      </c>
    </row>
    <row r="222" spans="1:27">
      <c r="A222" s="7" t="s">
        <v>15</v>
      </c>
      <c r="B222" s="7" t="s">
        <v>412</v>
      </c>
      <c r="C222" s="7" t="s">
        <v>15</v>
      </c>
      <c r="D222" s="14"/>
      <c r="E222" s="14"/>
      <c r="F222" s="14"/>
      <c r="G222" s="14"/>
      <c r="H222" s="14"/>
      <c r="I222" s="14"/>
      <c r="J222" s="14"/>
      <c r="K222" s="35"/>
      <c r="L222" s="3"/>
      <c r="Y222">
        <f t="shared" si="221"/>
        <v>0</v>
      </c>
      <c r="AA222">
        <f t="shared" si="222"/>
        <v>0</v>
      </c>
    </row>
    <row r="223" spans="1:27">
      <c r="A223" s="15" t="s">
        <v>413</v>
      </c>
      <c r="B223" s="15" t="s">
        <v>414</v>
      </c>
      <c r="C223" s="15" t="s">
        <v>15</v>
      </c>
      <c r="D223" s="16"/>
      <c r="E223" s="16"/>
      <c r="F223" s="16"/>
      <c r="G223" s="16"/>
      <c r="H223" s="16"/>
      <c r="I223" s="16"/>
      <c r="J223" s="16"/>
      <c r="K223" s="35"/>
      <c r="L223" s="3"/>
      <c r="Y223">
        <f t="shared" si="221"/>
        <v>0</v>
      </c>
      <c r="AA223">
        <f t="shared" si="222"/>
        <v>0</v>
      </c>
    </row>
    <row r="224" spans="1:27" s="24" customFormat="1" hidden="1">
      <c r="A224" s="21" t="s">
        <v>415</v>
      </c>
      <c r="B224" s="21" t="s">
        <v>416</v>
      </c>
      <c r="C224" s="21" t="s">
        <v>417</v>
      </c>
      <c r="D224" s="22">
        <v>0.15</v>
      </c>
      <c r="E224" s="22"/>
      <c r="F224" s="22">
        <f t="shared" ref="F224:F229" si="261">D224*E224</f>
        <v>0</v>
      </c>
      <c r="G224" s="22"/>
      <c r="H224" s="22">
        <f t="shared" ref="H224:H229" si="262">D224*G224</f>
        <v>0</v>
      </c>
      <c r="I224" s="22">
        <f t="shared" ref="I224:J229" si="263">E224+G224</f>
        <v>0</v>
      </c>
      <c r="J224" s="22">
        <f t="shared" si="263"/>
        <v>0</v>
      </c>
      <c r="K224" s="37"/>
      <c r="L224" s="23"/>
      <c r="Y224">
        <f t="shared" si="221"/>
        <v>0</v>
      </c>
      <c r="Z224"/>
      <c r="AA224">
        <f t="shared" si="222"/>
        <v>0</v>
      </c>
    </row>
    <row r="225" spans="1:27" s="24" customFormat="1" hidden="1">
      <c r="A225" s="21" t="s">
        <v>418</v>
      </c>
      <c r="B225" s="21" t="s">
        <v>419</v>
      </c>
      <c r="C225" s="21" t="s">
        <v>417</v>
      </c>
      <c r="D225" s="22">
        <v>0.2</v>
      </c>
      <c r="E225" s="22"/>
      <c r="F225" s="22">
        <f t="shared" si="261"/>
        <v>0</v>
      </c>
      <c r="G225" s="22"/>
      <c r="H225" s="22">
        <f t="shared" si="262"/>
        <v>0</v>
      </c>
      <c r="I225" s="22">
        <f t="shared" si="263"/>
        <v>0</v>
      </c>
      <c r="J225" s="22">
        <f t="shared" si="263"/>
        <v>0</v>
      </c>
      <c r="K225" s="37"/>
      <c r="L225" s="23"/>
      <c r="Y225">
        <f t="shared" si="221"/>
        <v>0</v>
      </c>
      <c r="Z225"/>
      <c r="AA225">
        <f t="shared" si="222"/>
        <v>0</v>
      </c>
    </row>
    <row r="226" spans="1:27" s="24" customFormat="1" hidden="1">
      <c r="A226" s="21" t="s">
        <v>420</v>
      </c>
      <c r="B226" s="21" t="s">
        <v>421</v>
      </c>
      <c r="C226" s="21" t="s">
        <v>417</v>
      </c>
      <c r="D226" s="22">
        <v>0.1</v>
      </c>
      <c r="E226" s="22"/>
      <c r="F226" s="22">
        <f t="shared" si="261"/>
        <v>0</v>
      </c>
      <c r="G226" s="22"/>
      <c r="H226" s="22">
        <f t="shared" si="262"/>
        <v>0</v>
      </c>
      <c r="I226" s="22">
        <f t="shared" si="263"/>
        <v>0</v>
      </c>
      <c r="J226" s="22">
        <f t="shared" si="263"/>
        <v>0</v>
      </c>
      <c r="K226" s="37"/>
      <c r="L226" s="23"/>
      <c r="Y226">
        <f t="shared" si="221"/>
        <v>0</v>
      </c>
      <c r="Z226"/>
      <c r="AA226">
        <f t="shared" si="222"/>
        <v>0</v>
      </c>
    </row>
    <row r="227" spans="1:27" s="24" customFormat="1" hidden="1">
      <c r="A227" s="21" t="s">
        <v>15</v>
      </c>
      <c r="B227" s="21" t="s">
        <v>422</v>
      </c>
      <c r="C227" s="21" t="s">
        <v>65</v>
      </c>
      <c r="D227" s="22">
        <v>1</v>
      </c>
      <c r="E227" s="22"/>
      <c r="F227" s="22">
        <f t="shared" si="261"/>
        <v>0</v>
      </c>
      <c r="G227" s="22"/>
      <c r="H227" s="22">
        <f t="shared" si="262"/>
        <v>0</v>
      </c>
      <c r="I227" s="22">
        <f t="shared" si="263"/>
        <v>0</v>
      </c>
      <c r="J227" s="22">
        <f t="shared" si="263"/>
        <v>0</v>
      </c>
      <c r="K227" s="37"/>
      <c r="L227" s="23"/>
      <c r="Y227">
        <f t="shared" si="221"/>
        <v>0</v>
      </c>
      <c r="Z227"/>
      <c r="AA227">
        <f t="shared" si="222"/>
        <v>0</v>
      </c>
    </row>
    <row r="228" spans="1:27" s="24" customFormat="1" hidden="1">
      <c r="A228" s="21" t="s">
        <v>15</v>
      </c>
      <c r="B228" s="21" t="s">
        <v>423</v>
      </c>
      <c r="C228" s="21" t="s">
        <v>417</v>
      </c>
      <c r="D228" s="22">
        <v>5</v>
      </c>
      <c r="E228" s="22"/>
      <c r="F228" s="22">
        <f t="shared" si="261"/>
        <v>0</v>
      </c>
      <c r="G228" s="22"/>
      <c r="H228" s="22">
        <f t="shared" si="262"/>
        <v>0</v>
      </c>
      <c r="I228" s="22">
        <f t="shared" si="263"/>
        <v>0</v>
      </c>
      <c r="J228" s="22">
        <f t="shared" si="263"/>
        <v>0</v>
      </c>
      <c r="K228" s="37"/>
      <c r="L228" s="23"/>
      <c r="Y228">
        <f t="shared" si="221"/>
        <v>0</v>
      </c>
      <c r="Z228"/>
      <c r="AA228">
        <f t="shared" si="222"/>
        <v>0</v>
      </c>
    </row>
    <row r="229" spans="1:27" s="24" customFormat="1" hidden="1">
      <c r="A229" s="21" t="s">
        <v>15</v>
      </c>
      <c r="B229" s="21" t="s">
        <v>424</v>
      </c>
      <c r="C229" s="21" t="s">
        <v>65</v>
      </c>
      <c r="D229" s="22">
        <v>5</v>
      </c>
      <c r="E229" s="22"/>
      <c r="F229" s="22">
        <f t="shared" si="261"/>
        <v>0</v>
      </c>
      <c r="G229" s="22"/>
      <c r="H229" s="22">
        <f t="shared" si="262"/>
        <v>0</v>
      </c>
      <c r="I229" s="22">
        <f t="shared" si="263"/>
        <v>0</v>
      </c>
      <c r="J229" s="22">
        <f t="shared" si="263"/>
        <v>0</v>
      </c>
      <c r="K229" s="37"/>
      <c r="L229" s="23"/>
      <c r="Y229">
        <f t="shared" si="221"/>
        <v>0</v>
      </c>
      <c r="Z229"/>
      <c r="AA229">
        <f t="shared" si="222"/>
        <v>0</v>
      </c>
    </row>
    <row r="230" spans="1:27">
      <c r="A230" s="7" t="s">
        <v>15</v>
      </c>
      <c r="B230" s="7" t="s">
        <v>425</v>
      </c>
      <c r="C230" s="7" t="s">
        <v>15</v>
      </c>
      <c r="D230" s="14"/>
      <c r="E230" s="14"/>
      <c r="F230" s="14">
        <f>SUM(F223:F229)</f>
        <v>0</v>
      </c>
      <c r="G230" s="14"/>
      <c r="H230" s="14">
        <f>SUM(H223:H229)</f>
        <v>0</v>
      </c>
      <c r="I230" s="14"/>
      <c r="J230" s="14">
        <f>SUM(J223:J229)</f>
        <v>0</v>
      </c>
      <c r="K230" s="35"/>
      <c r="L230" s="3"/>
      <c r="Y230">
        <f t="shared" si="221"/>
        <v>0</v>
      </c>
      <c r="AA230">
        <f t="shared" si="222"/>
        <v>0</v>
      </c>
    </row>
    <row r="231" spans="1:27">
      <c r="A231" s="6" t="s">
        <v>15</v>
      </c>
      <c r="B231" s="6" t="s">
        <v>15</v>
      </c>
      <c r="C231" s="6" t="s">
        <v>15</v>
      </c>
      <c r="D231" s="11"/>
      <c r="E231" s="11"/>
      <c r="F231" s="11"/>
      <c r="G231" s="11"/>
      <c r="H231" s="11"/>
      <c r="I231" s="11">
        <f>E231+G231</f>
        <v>0</v>
      </c>
      <c r="J231" s="11">
        <f>F231+H231</f>
        <v>0</v>
      </c>
      <c r="K231" s="35"/>
      <c r="L231" s="3"/>
      <c r="Y231">
        <f t="shared" si="221"/>
        <v>0</v>
      </c>
      <c r="AA231">
        <f t="shared" si="222"/>
        <v>0</v>
      </c>
    </row>
    <row r="232" spans="1:27">
      <c r="A232" s="7" t="s">
        <v>15</v>
      </c>
      <c r="B232" s="7" t="s">
        <v>426</v>
      </c>
      <c r="C232" s="7" t="s">
        <v>15</v>
      </c>
      <c r="D232" s="14"/>
      <c r="E232" s="14"/>
      <c r="F232" s="14"/>
      <c r="G232" s="14"/>
      <c r="H232" s="14"/>
      <c r="I232" s="14"/>
      <c r="J232" s="14"/>
      <c r="K232" s="35"/>
      <c r="L232" s="3"/>
      <c r="Y232">
        <f t="shared" si="221"/>
        <v>0</v>
      </c>
      <c r="AA232">
        <f t="shared" si="222"/>
        <v>0</v>
      </c>
    </row>
    <row r="233" spans="1:27">
      <c r="A233" s="15" t="s">
        <v>427</v>
      </c>
      <c r="B233" s="15" t="s">
        <v>428</v>
      </c>
      <c r="C233" s="15" t="s">
        <v>15</v>
      </c>
      <c r="D233" s="16"/>
      <c r="E233" s="16"/>
      <c r="F233" s="16"/>
      <c r="G233" s="16"/>
      <c r="H233" s="16"/>
      <c r="I233" s="16"/>
      <c r="J233" s="16"/>
      <c r="K233" s="35"/>
      <c r="L233" s="3"/>
      <c r="Y233">
        <f t="shared" si="221"/>
        <v>0</v>
      </c>
      <c r="AA233">
        <f t="shared" si="222"/>
        <v>0</v>
      </c>
    </row>
    <row r="234" spans="1:27">
      <c r="A234" s="6" t="s">
        <v>429</v>
      </c>
      <c r="B234" s="6" t="s">
        <v>430</v>
      </c>
      <c r="C234" s="6" t="s">
        <v>84</v>
      </c>
      <c r="D234" s="11">
        <v>390</v>
      </c>
      <c r="E234" s="11">
        <f t="shared" ref="E234:E236" si="264">SUM(P234)</f>
        <v>35.38461538461538</v>
      </c>
      <c r="F234" s="11">
        <f t="shared" ref="F234:F236" si="265">D234*E234</f>
        <v>13799.999999999998</v>
      </c>
      <c r="G234" s="11">
        <f t="shared" ref="G234:G236" si="266">SUM(U234)</f>
        <v>78</v>
      </c>
      <c r="H234" s="11">
        <f t="shared" ref="H234:H236" si="267">D234*G234</f>
        <v>30420</v>
      </c>
      <c r="I234" s="11">
        <f t="shared" ref="I234:I236" si="268">E234+G234</f>
        <v>113.38461538461539</v>
      </c>
      <c r="J234" s="11">
        <f t="shared" ref="J234:J236" si="269">F234+H234</f>
        <v>44220</v>
      </c>
      <c r="K234" s="35"/>
      <c r="L234" s="3"/>
      <c r="N234" s="30">
        <f>SUM([1]List1!$F$145/390)</f>
        <v>30.76923076923077</v>
      </c>
      <c r="O234" s="31">
        <f t="shared" ref="O234:O236" si="270">$O$1</f>
        <v>1.1499999999999999</v>
      </c>
      <c r="P234" s="32">
        <f t="shared" ref="P234:P236" si="271">SUM(O234*N234)</f>
        <v>35.38461538461538</v>
      </c>
      <c r="Q234" s="29"/>
      <c r="R234" s="29"/>
      <c r="S234" s="33">
        <v>65</v>
      </c>
      <c r="T234" s="34">
        <f t="shared" ref="T234:T236" si="272">$T$1</f>
        <v>1.2</v>
      </c>
      <c r="U234" s="33">
        <f t="shared" ref="U234:U236" si="273">SUM(T234*S234)</f>
        <v>78</v>
      </c>
      <c r="Y234">
        <f t="shared" si="221"/>
        <v>12000</v>
      </c>
      <c r="AA234">
        <f t="shared" si="222"/>
        <v>25350</v>
      </c>
    </row>
    <row r="235" spans="1:27">
      <c r="A235" s="6" t="s">
        <v>431</v>
      </c>
      <c r="B235" s="6" t="s">
        <v>432</v>
      </c>
      <c r="C235" s="6" t="s">
        <v>84</v>
      </c>
      <c r="D235" s="11">
        <v>30</v>
      </c>
      <c r="E235" s="11">
        <f t="shared" si="264"/>
        <v>244.36349999999999</v>
      </c>
      <c r="F235" s="11">
        <f t="shared" si="265"/>
        <v>7330.9049999999997</v>
      </c>
      <c r="G235" s="11">
        <f t="shared" si="266"/>
        <v>84</v>
      </c>
      <c r="H235" s="11">
        <f t="shared" si="267"/>
        <v>2520</v>
      </c>
      <c r="I235" s="11">
        <f t="shared" si="268"/>
        <v>328.36349999999999</v>
      </c>
      <c r="J235" s="11">
        <f t="shared" si="269"/>
        <v>9850.9049999999988</v>
      </c>
      <c r="K235" s="35"/>
      <c r="L235" s="3"/>
      <c r="N235" s="30">
        <f>SUM([1]List1!$E$146)</f>
        <v>212.49</v>
      </c>
      <c r="O235" s="31">
        <f t="shared" si="270"/>
        <v>1.1499999999999999</v>
      </c>
      <c r="P235" s="32">
        <f t="shared" si="271"/>
        <v>244.36349999999999</v>
      </c>
      <c r="Q235" s="29"/>
      <c r="R235" s="29"/>
      <c r="S235" s="33">
        <v>70</v>
      </c>
      <c r="T235" s="34">
        <f t="shared" si="272"/>
        <v>1.2</v>
      </c>
      <c r="U235" s="33">
        <f t="shared" si="273"/>
        <v>84</v>
      </c>
      <c r="Y235">
        <f t="shared" si="221"/>
        <v>6374.7000000000007</v>
      </c>
      <c r="AA235">
        <f t="shared" si="222"/>
        <v>2100</v>
      </c>
    </row>
    <row r="236" spans="1:27">
      <c r="A236" s="6" t="s">
        <v>433</v>
      </c>
      <c r="B236" s="6" t="s">
        <v>434</v>
      </c>
      <c r="C236" s="6" t="s">
        <v>84</v>
      </c>
      <c r="D236" s="11">
        <v>1450</v>
      </c>
      <c r="E236" s="11">
        <f t="shared" si="264"/>
        <v>20.46206896551724</v>
      </c>
      <c r="F236" s="11">
        <f t="shared" si="265"/>
        <v>29669.999999999996</v>
      </c>
      <c r="G236" s="11">
        <f t="shared" si="266"/>
        <v>66</v>
      </c>
      <c r="H236" s="11">
        <f t="shared" si="267"/>
        <v>95700</v>
      </c>
      <c r="I236" s="11">
        <f t="shared" si="268"/>
        <v>86.462068965517233</v>
      </c>
      <c r="J236" s="11">
        <f t="shared" si="269"/>
        <v>125370</v>
      </c>
      <c r="K236" s="35"/>
      <c r="L236" s="3"/>
      <c r="N236" s="30">
        <f>SUM([1]List1!$F$147/1450)</f>
        <v>17.793103448275861</v>
      </c>
      <c r="O236" s="31">
        <f t="shared" si="270"/>
        <v>1.1499999999999999</v>
      </c>
      <c r="P236" s="32">
        <f t="shared" si="271"/>
        <v>20.46206896551724</v>
      </c>
      <c r="Q236" s="29"/>
      <c r="R236" s="29"/>
      <c r="S236" s="33">
        <v>55</v>
      </c>
      <c r="T236" s="34">
        <f t="shared" si="272"/>
        <v>1.2</v>
      </c>
      <c r="U236" s="33">
        <f t="shared" si="273"/>
        <v>66</v>
      </c>
      <c r="Y236">
        <f t="shared" si="221"/>
        <v>25800</v>
      </c>
      <c r="AA236">
        <f t="shared" si="222"/>
        <v>79750</v>
      </c>
    </row>
    <row r="237" spans="1:27">
      <c r="A237" s="15" t="s">
        <v>435</v>
      </c>
      <c r="B237" s="15" t="s">
        <v>436</v>
      </c>
      <c r="C237" s="15" t="s">
        <v>15</v>
      </c>
      <c r="D237" s="16"/>
      <c r="E237" s="16"/>
      <c r="F237" s="16"/>
      <c r="G237" s="16"/>
      <c r="H237" s="16"/>
      <c r="I237" s="16"/>
      <c r="J237" s="16"/>
      <c r="K237" s="35"/>
      <c r="L237" s="3"/>
      <c r="Y237">
        <f t="shared" si="221"/>
        <v>0</v>
      </c>
      <c r="AA237">
        <f t="shared" si="222"/>
        <v>0</v>
      </c>
    </row>
    <row r="238" spans="1:27">
      <c r="A238" s="6" t="s">
        <v>437</v>
      </c>
      <c r="B238" s="6" t="s">
        <v>438</v>
      </c>
      <c r="C238" s="6" t="s">
        <v>65</v>
      </c>
      <c r="D238" s="11">
        <v>930</v>
      </c>
      <c r="E238" s="11">
        <f>SUM(P238)</f>
        <v>16.394399999999997</v>
      </c>
      <c r="F238" s="11">
        <f>D238*E238</f>
        <v>15246.791999999998</v>
      </c>
      <c r="G238" s="11">
        <f>SUM(U238)</f>
        <v>42</v>
      </c>
      <c r="H238" s="11">
        <f>D238*G238</f>
        <v>39060</v>
      </c>
      <c r="I238" s="11">
        <f>E238+G238</f>
        <v>58.394399999999997</v>
      </c>
      <c r="J238" s="11">
        <f>F238+H238</f>
        <v>54306.792000000001</v>
      </c>
      <c r="K238" s="35"/>
      <c r="L238" s="3"/>
      <c r="N238" s="30">
        <f>SUM([1]List1!$E$149)</f>
        <v>14.256</v>
      </c>
      <c r="O238" s="31">
        <f>$O$1</f>
        <v>1.1499999999999999</v>
      </c>
      <c r="P238" s="32">
        <f>SUM(O238*N238)</f>
        <v>16.394399999999997</v>
      </c>
      <c r="Q238" s="29"/>
      <c r="R238" s="29"/>
      <c r="S238" s="33">
        <v>35</v>
      </c>
      <c r="T238" s="34">
        <f>$T$1</f>
        <v>1.2</v>
      </c>
      <c r="U238" s="33">
        <f>SUM(T238*S238)</f>
        <v>42</v>
      </c>
      <c r="Y238">
        <f t="shared" si="221"/>
        <v>13258.08</v>
      </c>
      <c r="AA238">
        <f t="shared" si="222"/>
        <v>32550</v>
      </c>
    </row>
    <row r="239" spans="1:27">
      <c r="A239" s="15" t="s">
        <v>427</v>
      </c>
      <c r="B239" s="15" t="s">
        <v>439</v>
      </c>
      <c r="C239" s="15" t="s">
        <v>15</v>
      </c>
      <c r="D239" s="16"/>
      <c r="E239" s="16"/>
      <c r="F239" s="16"/>
      <c r="G239" s="16"/>
      <c r="H239" s="16"/>
      <c r="I239" s="16"/>
      <c r="J239" s="16"/>
      <c r="K239" s="35"/>
      <c r="L239" s="3"/>
      <c r="Y239">
        <f t="shared" si="221"/>
        <v>0</v>
      </c>
      <c r="AA239">
        <f t="shared" si="222"/>
        <v>0</v>
      </c>
    </row>
    <row r="240" spans="1:27">
      <c r="A240" s="6" t="s">
        <v>440</v>
      </c>
      <c r="B240" s="6" t="s">
        <v>441</v>
      </c>
      <c r="C240" s="6" t="s">
        <v>84</v>
      </c>
      <c r="D240" s="11">
        <v>40</v>
      </c>
      <c r="E240" s="11">
        <f t="shared" ref="E240:E242" si="274">SUM(P240)</f>
        <v>892.68749999999989</v>
      </c>
      <c r="F240" s="11">
        <f t="shared" ref="F240:F242" si="275">D240*E240</f>
        <v>35707.499999999993</v>
      </c>
      <c r="G240" s="11">
        <f t="shared" ref="G240:G242" si="276">SUM(U240)</f>
        <v>78</v>
      </c>
      <c r="H240" s="11">
        <f t="shared" ref="H240:H242" si="277">D240*G240</f>
        <v>3120</v>
      </c>
      <c r="I240" s="11">
        <f t="shared" ref="I240:I242" si="278">E240+G240</f>
        <v>970.68749999999989</v>
      </c>
      <c r="J240" s="11">
        <f t="shared" ref="J240:J242" si="279">F240+H240</f>
        <v>38827.499999999993</v>
      </c>
      <c r="K240" s="35"/>
      <c r="L240" s="3"/>
      <c r="N240" s="30">
        <f>SUM([1]List1!$E$150/40)</f>
        <v>776.25</v>
      </c>
      <c r="O240" s="31">
        <f t="shared" ref="O240:O242" si="280">$O$1</f>
        <v>1.1499999999999999</v>
      </c>
      <c r="P240" s="32">
        <f t="shared" ref="P240:P242" si="281">SUM(O240*N240)</f>
        <v>892.68749999999989</v>
      </c>
      <c r="Q240" s="29"/>
      <c r="R240" s="29"/>
      <c r="S240" s="33">
        <v>65</v>
      </c>
      <c r="T240" s="34">
        <f t="shared" ref="T240:T242" si="282">$T$1</f>
        <v>1.2</v>
      </c>
      <c r="U240" s="33">
        <f t="shared" ref="U240:U242" si="283">SUM(T240*S240)</f>
        <v>78</v>
      </c>
      <c r="Y240">
        <f t="shared" si="221"/>
        <v>31050</v>
      </c>
      <c r="AA240">
        <f t="shared" si="222"/>
        <v>2600</v>
      </c>
    </row>
    <row r="241" spans="1:27">
      <c r="A241" s="6" t="s">
        <v>442</v>
      </c>
      <c r="B241" s="6" t="s">
        <v>443</v>
      </c>
      <c r="C241" s="6" t="s">
        <v>65</v>
      </c>
      <c r="D241" s="11">
        <v>4</v>
      </c>
      <c r="E241" s="11">
        <f t="shared" si="274"/>
        <v>1439.8</v>
      </c>
      <c r="F241" s="11">
        <f t="shared" si="275"/>
        <v>5759.2</v>
      </c>
      <c r="G241" s="11">
        <f t="shared" si="276"/>
        <v>66</v>
      </c>
      <c r="H241" s="11">
        <f t="shared" si="277"/>
        <v>264</v>
      </c>
      <c r="I241" s="11">
        <f t="shared" si="278"/>
        <v>1505.8</v>
      </c>
      <c r="J241" s="11">
        <f t="shared" si="279"/>
        <v>6023.2</v>
      </c>
      <c r="K241" s="35"/>
      <c r="L241" s="3"/>
      <c r="N241" s="30">
        <f>SUM([1]List1!$E$151:$E$152)</f>
        <v>1252</v>
      </c>
      <c r="O241" s="31">
        <f t="shared" si="280"/>
        <v>1.1499999999999999</v>
      </c>
      <c r="P241" s="32">
        <f t="shared" si="281"/>
        <v>1439.8</v>
      </c>
      <c r="Q241" s="29"/>
      <c r="R241" s="29"/>
      <c r="S241" s="33">
        <v>55</v>
      </c>
      <c r="T241" s="34">
        <f t="shared" si="282"/>
        <v>1.2</v>
      </c>
      <c r="U241" s="33">
        <f t="shared" si="283"/>
        <v>66</v>
      </c>
      <c r="Y241">
        <f t="shared" si="221"/>
        <v>5008</v>
      </c>
      <c r="AA241">
        <f t="shared" si="222"/>
        <v>220</v>
      </c>
    </row>
    <row r="242" spans="1:27">
      <c r="A242" s="6" t="s">
        <v>444</v>
      </c>
      <c r="B242" s="6" t="s">
        <v>445</v>
      </c>
      <c r="C242" s="6" t="s">
        <v>65</v>
      </c>
      <c r="D242" s="11">
        <v>4</v>
      </c>
      <c r="E242" s="11">
        <f t="shared" si="274"/>
        <v>418.59999999999997</v>
      </c>
      <c r="F242" s="11">
        <f t="shared" si="275"/>
        <v>1674.3999999999999</v>
      </c>
      <c r="G242" s="11">
        <f t="shared" si="276"/>
        <v>66</v>
      </c>
      <c r="H242" s="11">
        <f t="shared" si="277"/>
        <v>264</v>
      </c>
      <c r="I242" s="11">
        <f t="shared" si="278"/>
        <v>484.59999999999997</v>
      </c>
      <c r="J242" s="11">
        <f t="shared" si="279"/>
        <v>1938.3999999999999</v>
      </c>
      <c r="K242" s="35"/>
      <c r="L242" s="3"/>
      <c r="N242" s="30">
        <f>SUM([1]List1!$E$153)</f>
        <v>364</v>
      </c>
      <c r="O242" s="31">
        <f t="shared" si="280"/>
        <v>1.1499999999999999</v>
      </c>
      <c r="P242" s="32">
        <f t="shared" si="281"/>
        <v>418.59999999999997</v>
      </c>
      <c r="Q242" s="29"/>
      <c r="R242" s="29"/>
      <c r="S242" s="33">
        <v>55</v>
      </c>
      <c r="T242" s="34">
        <f t="shared" si="282"/>
        <v>1.2</v>
      </c>
      <c r="U242" s="33">
        <f t="shared" si="283"/>
        <v>66</v>
      </c>
      <c r="Y242">
        <f t="shared" si="221"/>
        <v>1456</v>
      </c>
      <c r="AA242">
        <f t="shared" si="222"/>
        <v>220</v>
      </c>
    </row>
    <row r="243" spans="1:27">
      <c r="A243" s="15" t="s">
        <v>446</v>
      </c>
      <c r="B243" s="15" t="s">
        <v>447</v>
      </c>
      <c r="C243" s="15" t="s">
        <v>15</v>
      </c>
      <c r="D243" s="16"/>
      <c r="E243" s="16"/>
      <c r="F243" s="16"/>
      <c r="G243" s="16"/>
      <c r="H243" s="16"/>
      <c r="I243" s="16"/>
      <c r="J243" s="16"/>
      <c r="K243" s="35"/>
      <c r="L243" s="3"/>
      <c r="Y243">
        <f t="shared" si="221"/>
        <v>0</v>
      </c>
      <c r="AA243">
        <f t="shared" si="222"/>
        <v>0</v>
      </c>
    </row>
    <row r="244" spans="1:27">
      <c r="A244" s="15" t="s">
        <v>448</v>
      </c>
      <c r="B244" s="15" t="s">
        <v>449</v>
      </c>
      <c r="C244" s="15" t="s">
        <v>15</v>
      </c>
      <c r="D244" s="16"/>
      <c r="E244" s="16"/>
      <c r="F244" s="16"/>
      <c r="G244" s="16"/>
      <c r="H244" s="16"/>
      <c r="I244" s="16"/>
      <c r="J244" s="16"/>
      <c r="K244" s="35"/>
      <c r="L244" s="3"/>
      <c r="Y244">
        <f t="shared" si="221"/>
        <v>0</v>
      </c>
      <c r="AA244">
        <f t="shared" si="222"/>
        <v>0</v>
      </c>
    </row>
    <row r="245" spans="1:27">
      <c r="A245" s="6" t="s">
        <v>450</v>
      </c>
      <c r="B245" s="6" t="s">
        <v>451</v>
      </c>
      <c r="C245" s="6" t="s">
        <v>84</v>
      </c>
      <c r="D245" s="11">
        <v>90</v>
      </c>
      <c r="E245" s="11">
        <f>SUM(P245)</f>
        <v>24.328888888888887</v>
      </c>
      <c r="F245" s="11">
        <f>D245*E245</f>
        <v>2189.6</v>
      </c>
      <c r="G245" s="11">
        <f>SUM(U245)</f>
        <v>78</v>
      </c>
      <c r="H245" s="11">
        <f>D245*G245</f>
        <v>7020</v>
      </c>
      <c r="I245" s="11">
        <f>E245+G245</f>
        <v>102.32888888888888</v>
      </c>
      <c r="J245" s="11">
        <f>F245+H245</f>
        <v>9209.6</v>
      </c>
      <c r="K245" s="35"/>
      <c r="L245" s="3"/>
      <c r="N245" s="30">
        <f>SUM([1]List1!$F$154/90)</f>
        <v>21.155555555555555</v>
      </c>
      <c r="O245" s="31">
        <f>$O$1</f>
        <v>1.1499999999999999</v>
      </c>
      <c r="P245" s="32">
        <f>SUM(O245*N245)</f>
        <v>24.328888888888887</v>
      </c>
      <c r="Q245" s="29"/>
      <c r="R245" s="29"/>
      <c r="S245" s="33">
        <v>65</v>
      </c>
      <c r="T245" s="34">
        <f>$T$1</f>
        <v>1.2</v>
      </c>
      <c r="U245" s="33">
        <f>SUM(T245*S245)</f>
        <v>78</v>
      </c>
      <c r="Y245">
        <f t="shared" si="221"/>
        <v>1904</v>
      </c>
      <c r="AA245">
        <f t="shared" si="222"/>
        <v>5850</v>
      </c>
    </row>
    <row r="246" spans="1:27">
      <c r="A246" s="15" t="s">
        <v>452</v>
      </c>
      <c r="B246" s="15" t="s">
        <v>449</v>
      </c>
      <c r="C246" s="15" t="s">
        <v>15</v>
      </c>
      <c r="D246" s="16"/>
      <c r="E246" s="16"/>
      <c r="F246" s="16"/>
      <c r="G246" s="16"/>
      <c r="H246" s="16"/>
      <c r="I246" s="16"/>
      <c r="J246" s="16"/>
      <c r="K246" s="35"/>
      <c r="L246" s="3"/>
      <c r="Y246">
        <f t="shared" si="221"/>
        <v>0</v>
      </c>
      <c r="AA246">
        <f t="shared" si="222"/>
        <v>0</v>
      </c>
    </row>
    <row r="247" spans="1:27">
      <c r="A247" s="6" t="s">
        <v>453</v>
      </c>
      <c r="B247" s="6" t="s">
        <v>454</v>
      </c>
      <c r="C247" s="6" t="s">
        <v>84</v>
      </c>
      <c r="D247" s="11">
        <v>20</v>
      </c>
      <c r="E247" s="11">
        <f>SUM(P247)</f>
        <v>244.36349999999999</v>
      </c>
      <c r="F247" s="11">
        <f>D247*E247</f>
        <v>4887.2699999999995</v>
      </c>
      <c r="G247" s="11">
        <f>SUM(U247)</f>
        <v>84</v>
      </c>
      <c r="H247" s="11">
        <f>D247*G247</f>
        <v>1680</v>
      </c>
      <c r="I247" s="11">
        <f>E247+G247</f>
        <v>328.36349999999999</v>
      </c>
      <c r="J247" s="11">
        <f>F247+H247</f>
        <v>6567.2699999999995</v>
      </c>
      <c r="K247" s="35"/>
      <c r="L247" s="3"/>
      <c r="N247" s="30">
        <v>212.49</v>
      </c>
      <c r="O247" s="31">
        <f>$O$1</f>
        <v>1.1499999999999999</v>
      </c>
      <c r="P247" s="32">
        <f>SUM(O247*N247)</f>
        <v>244.36349999999999</v>
      </c>
      <c r="Q247" s="29"/>
      <c r="R247" s="29"/>
      <c r="S247" s="33">
        <v>70</v>
      </c>
      <c r="T247" s="34">
        <f>$T$1</f>
        <v>1.2</v>
      </c>
      <c r="U247" s="33">
        <f>SUM(T247*S247)</f>
        <v>84</v>
      </c>
      <c r="Y247">
        <f t="shared" si="221"/>
        <v>4249.8</v>
      </c>
      <c r="AA247">
        <f t="shared" si="222"/>
        <v>1400</v>
      </c>
    </row>
    <row r="248" spans="1:27">
      <c r="A248" s="15" t="s">
        <v>455</v>
      </c>
      <c r="B248" s="15" t="s">
        <v>456</v>
      </c>
      <c r="C248" s="15" t="s">
        <v>15</v>
      </c>
      <c r="D248" s="16"/>
      <c r="E248" s="16"/>
      <c r="F248" s="16"/>
      <c r="G248" s="16"/>
      <c r="H248" s="16"/>
      <c r="I248" s="16"/>
      <c r="J248" s="16"/>
      <c r="K248" s="35"/>
      <c r="L248" s="3"/>
      <c r="Y248">
        <f t="shared" si="221"/>
        <v>0</v>
      </c>
      <c r="AA248">
        <f t="shared" si="222"/>
        <v>0</v>
      </c>
    </row>
    <row r="249" spans="1:27">
      <c r="A249" s="6" t="s">
        <v>457</v>
      </c>
      <c r="B249" s="6" t="s">
        <v>458</v>
      </c>
      <c r="C249" s="6" t="s">
        <v>65</v>
      </c>
      <c r="D249" s="11">
        <v>3</v>
      </c>
      <c r="E249" s="11">
        <f t="shared" ref="E249:E252" si="284">SUM(P249)</f>
        <v>151.79999999999998</v>
      </c>
      <c r="F249" s="11">
        <f t="shared" ref="F249:F252" si="285">D249*E249</f>
        <v>455.4</v>
      </c>
      <c r="G249" s="11">
        <f t="shared" ref="G249:G252" si="286">SUM(U249)</f>
        <v>216</v>
      </c>
      <c r="H249" s="11">
        <f t="shared" ref="H249:H252" si="287">D249*G249</f>
        <v>648</v>
      </c>
      <c r="I249" s="11">
        <f t="shared" ref="I249:I252" si="288">E249+G249</f>
        <v>367.79999999999995</v>
      </c>
      <c r="J249" s="11">
        <f t="shared" ref="J249:J252" si="289">F249+H249</f>
        <v>1103.4000000000001</v>
      </c>
      <c r="K249" s="35"/>
      <c r="L249" s="3"/>
      <c r="N249" s="30">
        <v>132</v>
      </c>
      <c r="O249" s="31">
        <f t="shared" ref="O249:O252" si="290">$O$1</f>
        <v>1.1499999999999999</v>
      </c>
      <c r="P249" s="32">
        <f t="shared" ref="P249:P252" si="291">SUM(O249*N249)</f>
        <v>151.79999999999998</v>
      </c>
      <c r="Q249" s="29"/>
      <c r="R249" s="29"/>
      <c r="S249" s="33">
        <v>180</v>
      </c>
      <c r="T249" s="34">
        <f t="shared" ref="T249:T252" si="292">$T$1</f>
        <v>1.2</v>
      </c>
      <c r="U249" s="33">
        <f t="shared" ref="U249:U252" si="293">SUM(T249*S249)</f>
        <v>216</v>
      </c>
      <c r="Y249">
        <f t="shared" si="221"/>
        <v>396</v>
      </c>
      <c r="AA249">
        <f t="shared" si="222"/>
        <v>540</v>
      </c>
    </row>
    <row r="250" spans="1:27">
      <c r="A250" s="6" t="s">
        <v>459</v>
      </c>
      <c r="B250" s="6" t="s">
        <v>460</v>
      </c>
      <c r="C250" s="6" t="s">
        <v>65</v>
      </c>
      <c r="D250" s="11">
        <v>20</v>
      </c>
      <c r="E250" s="11">
        <f t="shared" si="284"/>
        <v>296.00999999999993</v>
      </c>
      <c r="F250" s="11">
        <f t="shared" si="285"/>
        <v>5920.1999999999989</v>
      </c>
      <c r="G250" s="11">
        <f t="shared" si="286"/>
        <v>264</v>
      </c>
      <c r="H250" s="11">
        <f t="shared" si="287"/>
        <v>5280</v>
      </c>
      <c r="I250" s="11">
        <f t="shared" si="288"/>
        <v>560.01</v>
      </c>
      <c r="J250" s="11">
        <f t="shared" si="289"/>
        <v>11200.199999999999</v>
      </c>
      <c r="K250" s="35"/>
      <c r="L250" s="3"/>
      <c r="N250" s="30">
        <v>257.39999999999998</v>
      </c>
      <c r="O250" s="31">
        <f t="shared" si="290"/>
        <v>1.1499999999999999</v>
      </c>
      <c r="P250" s="32">
        <f t="shared" si="291"/>
        <v>296.00999999999993</v>
      </c>
      <c r="Q250" s="29"/>
      <c r="R250" s="29"/>
      <c r="S250" s="33">
        <v>220</v>
      </c>
      <c r="T250" s="34">
        <f t="shared" si="292"/>
        <v>1.2</v>
      </c>
      <c r="U250" s="33">
        <f t="shared" si="293"/>
        <v>264</v>
      </c>
      <c r="Y250">
        <f t="shared" si="221"/>
        <v>5148</v>
      </c>
      <c r="AA250">
        <f t="shared" si="222"/>
        <v>4400</v>
      </c>
    </row>
    <row r="251" spans="1:27">
      <c r="A251" s="6" t="s">
        <v>461</v>
      </c>
      <c r="B251" s="6" t="s">
        <v>462</v>
      </c>
      <c r="C251" s="6" t="s">
        <v>65</v>
      </c>
      <c r="D251" s="11">
        <v>3</v>
      </c>
      <c r="E251" s="11">
        <f t="shared" si="284"/>
        <v>440.21999999999997</v>
      </c>
      <c r="F251" s="11">
        <f t="shared" si="285"/>
        <v>1320.6599999999999</v>
      </c>
      <c r="G251" s="11">
        <f t="shared" si="286"/>
        <v>336</v>
      </c>
      <c r="H251" s="11">
        <f t="shared" si="287"/>
        <v>1008</v>
      </c>
      <c r="I251" s="11">
        <f t="shared" si="288"/>
        <v>776.22</v>
      </c>
      <c r="J251" s="11">
        <f t="shared" si="289"/>
        <v>2328.66</v>
      </c>
      <c r="K251" s="35"/>
      <c r="L251" s="3"/>
      <c r="N251" s="30">
        <v>382.8</v>
      </c>
      <c r="O251" s="31">
        <f t="shared" si="290"/>
        <v>1.1499999999999999</v>
      </c>
      <c r="P251" s="32">
        <f t="shared" si="291"/>
        <v>440.21999999999997</v>
      </c>
      <c r="Q251" s="29"/>
      <c r="R251" s="29"/>
      <c r="S251" s="33">
        <v>280</v>
      </c>
      <c r="T251" s="34">
        <f t="shared" si="292"/>
        <v>1.2</v>
      </c>
      <c r="U251" s="33">
        <f t="shared" si="293"/>
        <v>336</v>
      </c>
      <c r="Y251">
        <f t="shared" si="221"/>
        <v>1148.4000000000001</v>
      </c>
      <c r="AA251">
        <f t="shared" si="222"/>
        <v>840</v>
      </c>
    </row>
    <row r="252" spans="1:27">
      <c r="A252" s="6" t="s">
        <v>15</v>
      </c>
      <c r="B252" s="6" t="s">
        <v>463</v>
      </c>
      <c r="C252" s="6" t="s">
        <v>65</v>
      </c>
      <c r="D252" s="11">
        <v>26</v>
      </c>
      <c r="E252" s="11">
        <f t="shared" si="284"/>
        <v>496.38599999999997</v>
      </c>
      <c r="F252" s="11">
        <f t="shared" si="285"/>
        <v>12906.036</v>
      </c>
      <c r="G252" s="11">
        <f t="shared" si="286"/>
        <v>144</v>
      </c>
      <c r="H252" s="11">
        <f t="shared" si="287"/>
        <v>3744</v>
      </c>
      <c r="I252" s="11">
        <f t="shared" si="288"/>
        <v>640.38599999999997</v>
      </c>
      <c r="J252" s="11">
        <f t="shared" si="289"/>
        <v>16650.036</v>
      </c>
      <c r="K252" s="35"/>
      <c r="L252" s="3"/>
      <c r="N252" s="30">
        <f>SUM([1]List1!$E$161:$E$162)</f>
        <v>431.64</v>
      </c>
      <c r="O252" s="31">
        <f t="shared" si="290"/>
        <v>1.1499999999999999</v>
      </c>
      <c r="P252" s="32">
        <f t="shared" si="291"/>
        <v>496.38599999999997</v>
      </c>
      <c r="Q252" s="29"/>
      <c r="R252" s="29"/>
      <c r="S252" s="33">
        <v>120</v>
      </c>
      <c r="T252" s="34">
        <f t="shared" si="292"/>
        <v>1.2</v>
      </c>
      <c r="U252" s="33">
        <f t="shared" si="293"/>
        <v>144</v>
      </c>
      <c r="Y252">
        <f t="shared" si="221"/>
        <v>11222.64</v>
      </c>
      <c r="AA252">
        <f t="shared" si="222"/>
        <v>3120</v>
      </c>
    </row>
    <row r="253" spans="1:27">
      <c r="A253" s="15" t="s">
        <v>464</v>
      </c>
      <c r="B253" s="15" t="s">
        <v>465</v>
      </c>
      <c r="C253" s="15" t="s">
        <v>15</v>
      </c>
      <c r="D253" s="16"/>
      <c r="E253" s="16"/>
      <c r="F253" s="16"/>
      <c r="G253" s="16"/>
      <c r="H253" s="16"/>
      <c r="I253" s="16"/>
      <c r="J253" s="16"/>
      <c r="K253" s="35"/>
      <c r="L253" s="3"/>
      <c r="Y253">
        <f t="shared" si="221"/>
        <v>0</v>
      </c>
      <c r="AA253">
        <f t="shared" si="222"/>
        <v>0</v>
      </c>
    </row>
    <row r="254" spans="1:27">
      <c r="A254" s="6" t="s">
        <v>457</v>
      </c>
      <c r="B254" s="6" t="s">
        <v>458</v>
      </c>
      <c r="C254" s="6" t="s">
        <v>65</v>
      </c>
      <c r="D254" s="11">
        <v>1</v>
      </c>
      <c r="E254" s="11">
        <f>SUM(P254)</f>
        <v>151.79999999999998</v>
      </c>
      <c r="F254" s="11">
        <f>D254*E254</f>
        <v>151.79999999999998</v>
      </c>
      <c r="G254" s="11">
        <f>SUM(U254)</f>
        <v>216</v>
      </c>
      <c r="H254" s="11">
        <f>D254*G254</f>
        <v>216</v>
      </c>
      <c r="I254" s="11">
        <f>E254+G254</f>
        <v>367.79999999999995</v>
      </c>
      <c r="J254" s="11">
        <f>F254+H254</f>
        <v>367.79999999999995</v>
      </c>
      <c r="K254" s="35"/>
      <c r="L254" s="3"/>
      <c r="N254" s="30">
        <v>132</v>
      </c>
      <c r="O254" s="31">
        <f>$O$1</f>
        <v>1.1499999999999999</v>
      </c>
      <c r="P254" s="32">
        <f>SUM(O254*N254)</f>
        <v>151.79999999999998</v>
      </c>
      <c r="Q254" s="29"/>
      <c r="R254" s="29"/>
      <c r="S254" s="33">
        <v>180</v>
      </c>
      <c r="T254" s="34">
        <f>$T$1</f>
        <v>1.2</v>
      </c>
      <c r="U254" s="33">
        <f>SUM(T254*S254)</f>
        <v>216</v>
      </c>
      <c r="Y254">
        <f t="shared" si="221"/>
        <v>132</v>
      </c>
      <c r="AA254">
        <f t="shared" si="222"/>
        <v>180</v>
      </c>
    </row>
    <row r="255" spans="1:27">
      <c r="A255" s="6" t="s">
        <v>466</v>
      </c>
      <c r="B255" s="6" t="s">
        <v>467</v>
      </c>
      <c r="C255" s="6" t="s">
        <v>65</v>
      </c>
      <c r="D255" s="11">
        <v>6</v>
      </c>
      <c r="E255" s="11">
        <f>SUM(P255)</f>
        <v>56.165999999999997</v>
      </c>
      <c r="F255" s="11">
        <f>D255*E255</f>
        <v>336.99599999999998</v>
      </c>
      <c r="G255" s="11">
        <f>SUM(U255)</f>
        <v>108</v>
      </c>
      <c r="H255" s="11">
        <f>D255*G255</f>
        <v>648</v>
      </c>
      <c r="I255" s="11">
        <f>E255+G255</f>
        <v>164.166</v>
      </c>
      <c r="J255" s="11">
        <f>F255+H255</f>
        <v>984.99599999999998</v>
      </c>
      <c r="K255" s="35"/>
      <c r="L255" s="3"/>
      <c r="N255" s="30">
        <v>48.84</v>
      </c>
      <c r="O255" s="31">
        <f>$O$1</f>
        <v>1.1499999999999999</v>
      </c>
      <c r="P255" s="32">
        <f>SUM(O255*N255)</f>
        <v>56.165999999999997</v>
      </c>
      <c r="Q255" s="29"/>
      <c r="R255" s="29"/>
      <c r="S255" s="33">
        <v>90</v>
      </c>
      <c r="T255" s="34">
        <f>$T$1</f>
        <v>1.2</v>
      </c>
      <c r="U255" s="33">
        <f>SUM(T255*S255)</f>
        <v>108</v>
      </c>
      <c r="Y255">
        <f t="shared" si="221"/>
        <v>293.04000000000002</v>
      </c>
      <c r="AA255">
        <f t="shared" si="222"/>
        <v>540</v>
      </c>
    </row>
    <row r="256" spans="1:27">
      <c r="A256" s="15" t="s">
        <v>468</v>
      </c>
      <c r="B256" s="15" t="s">
        <v>469</v>
      </c>
      <c r="C256" s="15" t="s">
        <v>15</v>
      </c>
      <c r="D256" s="16"/>
      <c r="E256" s="16"/>
      <c r="F256" s="16"/>
      <c r="G256" s="16"/>
      <c r="H256" s="16"/>
      <c r="I256" s="16"/>
      <c r="J256" s="16"/>
      <c r="K256" s="35"/>
      <c r="L256" s="3"/>
      <c r="Y256">
        <f t="shared" si="221"/>
        <v>0</v>
      </c>
      <c r="AA256">
        <f t="shared" si="222"/>
        <v>0</v>
      </c>
    </row>
    <row r="257" spans="1:27">
      <c r="A257" s="6" t="s">
        <v>470</v>
      </c>
      <c r="B257" s="6" t="s">
        <v>471</v>
      </c>
      <c r="C257" s="6" t="s">
        <v>65</v>
      </c>
      <c r="D257" s="11">
        <v>28</v>
      </c>
      <c r="E257" s="11">
        <f t="shared" ref="E257:E264" si="294">SUM(P257)</f>
        <v>39.467999999999996</v>
      </c>
      <c r="F257" s="11">
        <f t="shared" ref="F257:F264" si="295">D257*E257</f>
        <v>1105.1039999999998</v>
      </c>
      <c r="G257" s="11">
        <f t="shared" ref="G257:G264" si="296">SUM(U257)</f>
        <v>66</v>
      </c>
      <c r="H257" s="11">
        <f t="shared" ref="H257:H264" si="297">D257*G257</f>
        <v>1848</v>
      </c>
      <c r="I257" s="11">
        <f t="shared" ref="I257:I264" si="298">E257+G257</f>
        <v>105.46799999999999</v>
      </c>
      <c r="J257" s="11">
        <f t="shared" ref="J257:J264" si="299">F257+H257</f>
        <v>2953.1039999999998</v>
      </c>
      <c r="K257" s="35"/>
      <c r="L257" s="3"/>
      <c r="N257" s="30">
        <v>34.32</v>
      </c>
      <c r="O257" s="31">
        <f t="shared" ref="O257:O264" si="300">$O$1</f>
        <v>1.1499999999999999</v>
      </c>
      <c r="P257" s="32">
        <f t="shared" ref="P257:P264" si="301">SUM(O257*N257)</f>
        <v>39.467999999999996</v>
      </c>
      <c r="Q257" s="29"/>
      <c r="R257" s="29"/>
      <c r="S257" s="33">
        <v>55</v>
      </c>
      <c r="T257" s="34">
        <f t="shared" ref="T257:T264" si="302">$T$1</f>
        <v>1.2</v>
      </c>
      <c r="U257" s="33">
        <f t="shared" ref="U257:U264" si="303">SUM(T257*S257)</f>
        <v>66</v>
      </c>
      <c r="Y257">
        <f t="shared" si="221"/>
        <v>960.96</v>
      </c>
      <c r="AA257">
        <f t="shared" si="222"/>
        <v>1540</v>
      </c>
    </row>
    <row r="258" spans="1:27">
      <c r="A258" s="6" t="s">
        <v>472</v>
      </c>
      <c r="B258" s="6" t="s">
        <v>473</v>
      </c>
      <c r="C258" s="6" t="s">
        <v>65</v>
      </c>
      <c r="D258" s="11">
        <v>26</v>
      </c>
      <c r="E258" s="11">
        <f t="shared" si="294"/>
        <v>45.54</v>
      </c>
      <c r="F258" s="11">
        <f t="shared" si="295"/>
        <v>1184.04</v>
      </c>
      <c r="G258" s="11">
        <f t="shared" si="296"/>
        <v>66</v>
      </c>
      <c r="H258" s="11">
        <f t="shared" si="297"/>
        <v>1716</v>
      </c>
      <c r="I258" s="11">
        <f t="shared" si="298"/>
        <v>111.53999999999999</v>
      </c>
      <c r="J258" s="11">
        <f t="shared" si="299"/>
        <v>2900.04</v>
      </c>
      <c r="K258" s="35"/>
      <c r="L258" s="3"/>
      <c r="N258" s="30">
        <v>39.6</v>
      </c>
      <c r="O258" s="31">
        <f t="shared" si="300"/>
        <v>1.1499999999999999</v>
      </c>
      <c r="P258" s="32">
        <f t="shared" si="301"/>
        <v>45.54</v>
      </c>
      <c r="Q258" s="29"/>
      <c r="R258" s="29"/>
      <c r="S258" s="33">
        <v>55</v>
      </c>
      <c r="T258" s="34">
        <f t="shared" si="302"/>
        <v>1.2</v>
      </c>
      <c r="U258" s="33">
        <f t="shared" si="303"/>
        <v>66</v>
      </c>
      <c r="Y258">
        <f t="shared" si="221"/>
        <v>1029.6000000000001</v>
      </c>
      <c r="AA258">
        <f t="shared" si="222"/>
        <v>1430</v>
      </c>
    </row>
    <row r="259" spans="1:27">
      <c r="A259" s="6" t="s">
        <v>474</v>
      </c>
      <c r="B259" s="6" t="s">
        <v>475</v>
      </c>
      <c r="C259" s="6" t="s">
        <v>65</v>
      </c>
      <c r="D259" s="11">
        <v>360</v>
      </c>
      <c r="E259" s="11">
        <f t="shared" si="294"/>
        <v>12.751199999999997</v>
      </c>
      <c r="F259" s="11">
        <f t="shared" si="295"/>
        <v>4590.4319999999989</v>
      </c>
      <c r="G259" s="11">
        <f t="shared" si="296"/>
        <v>66</v>
      </c>
      <c r="H259" s="11">
        <f t="shared" si="297"/>
        <v>23760</v>
      </c>
      <c r="I259" s="11">
        <f t="shared" si="298"/>
        <v>78.751199999999997</v>
      </c>
      <c r="J259" s="11">
        <f t="shared" si="299"/>
        <v>28350.432000000001</v>
      </c>
      <c r="K259" s="35"/>
      <c r="L259" s="3"/>
      <c r="N259" s="30">
        <v>11.087999999999999</v>
      </c>
      <c r="O259" s="31">
        <f t="shared" si="300"/>
        <v>1.1499999999999999</v>
      </c>
      <c r="P259" s="32">
        <f t="shared" si="301"/>
        <v>12.751199999999997</v>
      </c>
      <c r="Q259" s="29"/>
      <c r="R259" s="29"/>
      <c r="S259" s="33">
        <v>55</v>
      </c>
      <c r="T259" s="34">
        <f t="shared" si="302"/>
        <v>1.2</v>
      </c>
      <c r="U259" s="33">
        <f t="shared" si="303"/>
        <v>66</v>
      </c>
      <c r="Y259">
        <f t="shared" si="221"/>
        <v>3991.68</v>
      </c>
      <c r="AA259">
        <f t="shared" si="222"/>
        <v>19800</v>
      </c>
    </row>
    <row r="260" spans="1:27">
      <c r="A260" s="6" t="s">
        <v>476</v>
      </c>
      <c r="B260" s="6" t="s">
        <v>477</v>
      </c>
      <c r="C260" s="6" t="s">
        <v>65</v>
      </c>
      <c r="D260" s="11">
        <v>110</v>
      </c>
      <c r="E260" s="11">
        <f t="shared" si="294"/>
        <v>16.546199999999999</v>
      </c>
      <c r="F260" s="11">
        <f t="shared" si="295"/>
        <v>1820.0819999999999</v>
      </c>
      <c r="G260" s="11">
        <f t="shared" si="296"/>
        <v>66</v>
      </c>
      <c r="H260" s="11">
        <f t="shared" si="297"/>
        <v>7260</v>
      </c>
      <c r="I260" s="11">
        <f t="shared" si="298"/>
        <v>82.546199999999999</v>
      </c>
      <c r="J260" s="11">
        <f t="shared" si="299"/>
        <v>9080.0820000000003</v>
      </c>
      <c r="K260" s="35"/>
      <c r="L260" s="3"/>
      <c r="N260" s="30">
        <v>14.388</v>
      </c>
      <c r="O260" s="31">
        <f t="shared" si="300"/>
        <v>1.1499999999999999</v>
      </c>
      <c r="P260" s="32">
        <f t="shared" si="301"/>
        <v>16.546199999999999</v>
      </c>
      <c r="Q260" s="29"/>
      <c r="R260" s="29"/>
      <c r="S260" s="33">
        <v>55</v>
      </c>
      <c r="T260" s="34">
        <f t="shared" si="302"/>
        <v>1.2</v>
      </c>
      <c r="U260" s="33">
        <f t="shared" si="303"/>
        <v>66</v>
      </c>
      <c r="Y260">
        <f t="shared" si="221"/>
        <v>1582.68</v>
      </c>
      <c r="AA260">
        <f t="shared" si="222"/>
        <v>6050</v>
      </c>
    </row>
    <row r="261" spans="1:27">
      <c r="A261" s="6" t="s">
        <v>478</v>
      </c>
      <c r="B261" s="6" t="s">
        <v>479</v>
      </c>
      <c r="C261" s="6" t="s">
        <v>65</v>
      </c>
      <c r="D261" s="11">
        <v>12</v>
      </c>
      <c r="E261" s="11">
        <f t="shared" si="294"/>
        <v>26.716799999999996</v>
      </c>
      <c r="F261" s="11">
        <f t="shared" si="295"/>
        <v>320.60159999999996</v>
      </c>
      <c r="G261" s="11">
        <f t="shared" si="296"/>
        <v>66</v>
      </c>
      <c r="H261" s="11">
        <f t="shared" si="297"/>
        <v>792</v>
      </c>
      <c r="I261" s="11">
        <f t="shared" si="298"/>
        <v>92.716799999999992</v>
      </c>
      <c r="J261" s="11">
        <f t="shared" si="299"/>
        <v>1112.6016</v>
      </c>
      <c r="K261" s="35"/>
      <c r="L261" s="3"/>
      <c r="N261" s="30">
        <v>23.231999999999999</v>
      </c>
      <c r="O261" s="31">
        <f t="shared" si="300"/>
        <v>1.1499999999999999</v>
      </c>
      <c r="P261" s="32">
        <f t="shared" si="301"/>
        <v>26.716799999999996</v>
      </c>
      <c r="Q261" s="29"/>
      <c r="R261" s="29"/>
      <c r="S261" s="33">
        <v>55</v>
      </c>
      <c r="T261" s="34">
        <f t="shared" si="302"/>
        <v>1.2</v>
      </c>
      <c r="U261" s="33">
        <f t="shared" si="303"/>
        <v>66</v>
      </c>
      <c r="Y261">
        <f t="shared" si="221"/>
        <v>278.78399999999999</v>
      </c>
      <c r="AA261">
        <f t="shared" si="222"/>
        <v>660</v>
      </c>
    </row>
    <row r="262" spans="1:27">
      <c r="A262" s="6" t="s">
        <v>480</v>
      </c>
      <c r="B262" s="6" t="s">
        <v>481</v>
      </c>
      <c r="C262" s="6" t="s">
        <v>65</v>
      </c>
      <c r="D262" s="11">
        <v>70</v>
      </c>
      <c r="E262" s="11">
        <f t="shared" si="294"/>
        <v>26.337299999999999</v>
      </c>
      <c r="F262" s="11">
        <f t="shared" si="295"/>
        <v>1843.6109999999999</v>
      </c>
      <c r="G262" s="11">
        <f t="shared" si="296"/>
        <v>66</v>
      </c>
      <c r="H262" s="11">
        <f t="shared" si="297"/>
        <v>4620</v>
      </c>
      <c r="I262" s="11">
        <f t="shared" si="298"/>
        <v>92.337299999999999</v>
      </c>
      <c r="J262" s="11">
        <f t="shared" si="299"/>
        <v>6463.6109999999999</v>
      </c>
      <c r="K262" s="35"/>
      <c r="L262" s="3"/>
      <c r="N262" s="30">
        <v>22.902000000000001</v>
      </c>
      <c r="O262" s="31">
        <f t="shared" si="300"/>
        <v>1.1499999999999999</v>
      </c>
      <c r="P262" s="32">
        <f t="shared" si="301"/>
        <v>26.337299999999999</v>
      </c>
      <c r="Q262" s="29"/>
      <c r="R262" s="29"/>
      <c r="S262" s="33">
        <v>55</v>
      </c>
      <c r="T262" s="34">
        <f t="shared" si="302"/>
        <v>1.2</v>
      </c>
      <c r="U262" s="33">
        <f t="shared" si="303"/>
        <v>66</v>
      </c>
      <c r="Y262">
        <f t="shared" si="221"/>
        <v>1603.14</v>
      </c>
      <c r="AA262">
        <f t="shared" si="222"/>
        <v>3850</v>
      </c>
    </row>
    <row r="263" spans="1:27">
      <c r="A263" s="6" t="s">
        <v>482</v>
      </c>
      <c r="B263" s="6" t="s">
        <v>483</v>
      </c>
      <c r="C263" s="6" t="s">
        <v>65</v>
      </c>
      <c r="D263" s="11">
        <v>28</v>
      </c>
      <c r="E263" s="11">
        <f t="shared" si="294"/>
        <v>11.212499999999999</v>
      </c>
      <c r="F263" s="11">
        <f t="shared" si="295"/>
        <v>313.94999999999993</v>
      </c>
      <c r="G263" s="11">
        <f t="shared" si="296"/>
        <v>24</v>
      </c>
      <c r="H263" s="11">
        <f t="shared" si="297"/>
        <v>672</v>
      </c>
      <c r="I263" s="11">
        <f t="shared" si="298"/>
        <v>35.212499999999999</v>
      </c>
      <c r="J263" s="11">
        <f t="shared" si="299"/>
        <v>985.94999999999993</v>
      </c>
      <c r="K263" s="35"/>
      <c r="L263" s="3"/>
      <c r="N263" s="30">
        <v>9.75</v>
      </c>
      <c r="O263" s="31">
        <f t="shared" si="300"/>
        <v>1.1499999999999999</v>
      </c>
      <c r="P263" s="32">
        <f t="shared" si="301"/>
        <v>11.212499999999999</v>
      </c>
      <c r="Q263" s="29"/>
      <c r="R263" s="29"/>
      <c r="S263" s="33">
        <v>20</v>
      </c>
      <c r="T263" s="34">
        <f t="shared" si="302"/>
        <v>1.2</v>
      </c>
      <c r="U263" s="33">
        <f t="shared" si="303"/>
        <v>24</v>
      </c>
      <c r="Y263">
        <f t="shared" si="221"/>
        <v>273</v>
      </c>
      <c r="AA263">
        <f t="shared" si="222"/>
        <v>560</v>
      </c>
    </row>
    <row r="264" spans="1:27">
      <c r="A264" s="6" t="s">
        <v>484</v>
      </c>
      <c r="B264" s="6" t="s">
        <v>485</v>
      </c>
      <c r="C264" s="6" t="s">
        <v>65</v>
      </c>
      <c r="D264" s="11">
        <v>28</v>
      </c>
      <c r="E264" s="11">
        <f t="shared" si="294"/>
        <v>246.60599999999997</v>
      </c>
      <c r="F264" s="11">
        <f t="shared" si="295"/>
        <v>6904.9679999999989</v>
      </c>
      <c r="G264" s="11">
        <f t="shared" si="296"/>
        <v>96</v>
      </c>
      <c r="H264" s="11">
        <f t="shared" si="297"/>
        <v>2688</v>
      </c>
      <c r="I264" s="11">
        <f t="shared" si="298"/>
        <v>342.60599999999999</v>
      </c>
      <c r="J264" s="11">
        <f t="shared" si="299"/>
        <v>9592.9679999999989</v>
      </c>
      <c r="K264" s="35"/>
      <c r="L264" s="3"/>
      <c r="N264" s="30">
        <v>214.44</v>
      </c>
      <c r="O264" s="31">
        <f t="shared" si="300"/>
        <v>1.1499999999999999</v>
      </c>
      <c r="P264" s="32">
        <f t="shared" si="301"/>
        <v>246.60599999999997</v>
      </c>
      <c r="Q264" s="29"/>
      <c r="R264" s="29"/>
      <c r="S264" s="33">
        <v>80</v>
      </c>
      <c r="T264" s="34">
        <f t="shared" si="302"/>
        <v>1.2</v>
      </c>
      <c r="U264" s="33">
        <f t="shared" si="303"/>
        <v>96</v>
      </c>
      <c r="Y264">
        <f t="shared" si="221"/>
        <v>6004.32</v>
      </c>
      <c r="AA264">
        <f t="shared" si="222"/>
        <v>2240</v>
      </c>
    </row>
    <row r="265" spans="1:27">
      <c r="A265" s="15" t="s">
        <v>486</v>
      </c>
      <c r="B265" s="15" t="s">
        <v>487</v>
      </c>
      <c r="C265" s="15" t="s">
        <v>15</v>
      </c>
      <c r="D265" s="16"/>
      <c r="E265" s="16"/>
      <c r="F265" s="16"/>
      <c r="G265" s="16"/>
      <c r="H265" s="16"/>
      <c r="I265" s="16"/>
      <c r="J265" s="16"/>
      <c r="K265" s="35"/>
      <c r="L265" s="3"/>
      <c r="Y265">
        <f t="shared" ref="Y265:Y315" si="304">SUM(N265*D265)</f>
        <v>0</v>
      </c>
      <c r="AA265">
        <f t="shared" ref="AA265:AA315" si="305">SUM(S265*D265)</f>
        <v>0</v>
      </c>
    </row>
    <row r="266" spans="1:27">
      <c r="A266" s="6" t="s">
        <v>488</v>
      </c>
      <c r="B266" s="6" t="s">
        <v>489</v>
      </c>
      <c r="C266" s="6" t="s">
        <v>65</v>
      </c>
      <c r="D266" s="11">
        <v>180</v>
      </c>
      <c r="E266" s="11">
        <f t="shared" ref="E266:E267" si="306">SUM(P266)</f>
        <v>0</v>
      </c>
      <c r="F266" s="11">
        <f t="shared" ref="F266:F267" si="307">D266*E266</f>
        <v>0</v>
      </c>
      <c r="G266" s="11">
        <f t="shared" ref="G266:G267" si="308">SUM(U266)</f>
        <v>42</v>
      </c>
      <c r="H266" s="11">
        <f t="shared" ref="H266:H267" si="309">D266*G266</f>
        <v>7560</v>
      </c>
      <c r="I266" s="11">
        <f t="shared" ref="I266:I267" si="310">E266+G266</f>
        <v>42</v>
      </c>
      <c r="J266" s="11">
        <f t="shared" ref="J266:J267" si="311">F266+H266</f>
        <v>7560</v>
      </c>
      <c r="K266" s="35"/>
      <c r="L266" s="3"/>
      <c r="N266" s="30"/>
      <c r="O266" s="31">
        <f t="shared" ref="O266:O267" si="312">$O$1</f>
        <v>1.1499999999999999</v>
      </c>
      <c r="P266" s="32">
        <f t="shared" ref="P266:P267" si="313">SUM(O266*N266)</f>
        <v>0</v>
      </c>
      <c r="Q266" s="29"/>
      <c r="R266" s="29"/>
      <c r="S266" s="33">
        <v>35</v>
      </c>
      <c r="T266" s="34">
        <f t="shared" ref="T266:T267" si="314">$T$1</f>
        <v>1.2</v>
      </c>
      <c r="U266" s="33">
        <f t="shared" ref="U266:U267" si="315">SUM(T266*S266)</f>
        <v>42</v>
      </c>
      <c r="Y266">
        <f t="shared" si="304"/>
        <v>0</v>
      </c>
      <c r="AA266">
        <f t="shared" si="305"/>
        <v>6300</v>
      </c>
    </row>
    <row r="267" spans="1:27">
      <c r="A267" s="6" t="s">
        <v>15</v>
      </c>
      <c r="B267" s="6" t="s">
        <v>490</v>
      </c>
      <c r="C267" s="6" t="s">
        <v>65</v>
      </c>
      <c r="D267" s="11">
        <v>110</v>
      </c>
      <c r="E267" s="11">
        <f t="shared" si="306"/>
        <v>0</v>
      </c>
      <c r="F267" s="11">
        <f t="shared" si="307"/>
        <v>0</v>
      </c>
      <c r="G267" s="11">
        <f t="shared" si="308"/>
        <v>144</v>
      </c>
      <c r="H267" s="11">
        <f t="shared" si="309"/>
        <v>15840</v>
      </c>
      <c r="I267" s="11">
        <f t="shared" si="310"/>
        <v>144</v>
      </c>
      <c r="J267" s="11">
        <f t="shared" si="311"/>
        <v>15840</v>
      </c>
      <c r="K267" s="35"/>
      <c r="L267" s="3"/>
      <c r="N267" s="30"/>
      <c r="O267" s="31">
        <f t="shared" si="312"/>
        <v>1.1499999999999999</v>
      </c>
      <c r="P267" s="32">
        <f t="shared" si="313"/>
        <v>0</v>
      </c>
      <c r="Q267" s="29"/>
      <c r="R267" s="29"/>
      <c r="S267" s="33">
        <v>120</v>
      </c>
      <c r="T267" s="34">
        <f t="shared" si="314"/>
        <v>1.2</v>
      </c>
      <c r="U267" s="33">
        <f t="shared" si="315"/>
        <v>144</v>
      </c>
      <c r="Y267">
        <f t="shared" si="304"/>
        <v>0</v>
      </c>
      <c r="AA267">
        <f t="shared" si="305"/>
        <v>13200</v>
      </c>
    </row>
    <row r="268" spans="1:27">
      <c r="A268" s="15" t="s">
        <v>491</v>
      </c>
      <c r="B268" s="15" t="s">
        <v>492</v>
      </c>
      <c r="C268" s="15" t="s">
        <v>15</v>
      </c>
      <c r="D268" s="17"/>
      <c r="E268" s="17"/>
      <c r="F268" s="17"/>
      <c r="G268" s="17"/>
      <c r="H268" s="17"/>
      <c r="I268" s="17"/>
      <c r="J268" s="17"/>
      <c r="K268" s="35"/>
      <c r="L268" s="3"/>
      <c r="Y268">
        <f t="shared" si="304"/>
        <v>0</v>
      </c>
      <c r="AA268">
        <f t="shared" si="305"/>
        <v>0</v>
      </c>
    </row>
    <row r="269" spans="1:27">
      <c r="A269" s="6" t="s">
        <v>493</v>
      </c>
      <c r="B269" s="6" t="s">
        <v>494</v>
      </c>
      <c r="C269" s="6" t="s">
        <v>65</v>
      </c>
      <c r="D269" s="11">
        <v>1</v>
      </c>
      <c r="E269" s="11">
        <f>SUM(P269)</f>
        <v>0</v>
      </c>
      <c r="F269" s="11">
        <f>D269*E269</f>
        <v>0</v>
      </c>
      <c r="G269" s="11">
        <f>SUM(U269)</f>
        <v>3072</v>
      </c>
      <c r="H269" s="11">
        <f>D269*G269</f>
        <v>3072</v>
      </c>
      <c r="I269" s="11">
        <f>E269+G269</f>
        <v>3072</v>
      </c>
      <c r="J269" s="11">
        <f>F269+H269</f>
        <v>3072</v>
      </c>
      <c r="K269" s="35"/>
      <c r="L269" s="3"/>
      <c r="N269" s="30"/>
      <c r="O269" s="31">
        <f>$O$1</f>
        <v>1.1499999999999999</v>
      </c>
      <c r="P269" s="32">
        <f>SUM(O269*N269)</f>
        <v>0</v>
      </c>
      <c r="Q269" s="29"/>
      <c r="R269" s="29"/>
      <c r="S269" s="33">
        <v>2560</v>
      </c>
      <c r="T269" s="34">
        <f>$T$1</f>
        <v>1.2</v>
      </c>
      <c r="U269" s="33">
        <f>SUM(T269*S269)</f>
        <v>3072</v>
      </c>
      <c r="Y269">
        <f t="shared" si="304"/>
        <v>0</v>
      </c>
      <c r="AA269">
        <f t="shared" si="305"/>
        <v>2560</v>
      </c>
    </row>
    <row r="270" spans="1:27">
      <c r="A270" s="7" t="s">
        <v>15</v>
      </c>
      <c r="B270" s="7" t="s">
        <v>495</v>
      </c>
      <c r="C270" s="7" t="s">
        <v>15</v>
      </c>
      <c r="D270" s="14"/>
      <c r="E270" s="14"/>
      <c r="F270" s="14">
        <f>SUM(F233:F269)</f>
        <v>155439.54759999999</v>
      </c>
      <c r="G270" s="14"/>
      <c r="H270" s="14">
        <f>SUM(H233:H269)</f>
        <v>261420</v>
      </c>
      <c r="I270" s="14"/>
      <c r="J270" s="14">
        <f>SUM(J233:J269)</f>
        <v>416859.54759999993</v>
      </c>
      <c r="K270" s="35"/>
      <c r="L270" s="3"/>
      <c r="Y270">
        <f t="shared" si="304"/>
        <v>0</v>
      </c>
      <c r="AA270">
        <f t="shared" si="305"/>
        <v>0</v>
      </c>
    </row>
    <row r="271" spans="1:27">
      <c r="A271" s="6" t="s">
        <v>15</v>
      </c>
      <c r="B271" s="6" t="s">
        <v>15</v>
      </c>
      <c r="C271" s="6" t="s">
        <v>15</v>
      </c>
      <c r="D271" s="18"/>
      <c r="E271" s="18"/>
      <c r="F271" s="18"/>
      <c r="G271" s="18"/>
      <c r="H271" s="18"/>
      <c r="I271" s="18">
        <f>E271+G271</f>
        <v>0</v>
      </c>
      <c r="J271" s="18">
        <f>F271+H271</f>
        <v>0</v>
      </c>
      <c r="K271" s="35"/>
      <c r="L271" s="3"/>
      <c r="Y271">
        <f t="shared" si="304"/>
        <v>0</v>
      </c>
      <c r="AA271">
        <f t="shared" si="305"/>
        <v>0</v>
      </c>
    </row>
    <row r="272" spans="1:27">
      <c r="A272" s="7" t="s">
        <v>15</v>
      </c>
      <c r="B272" s="7" t="s">
        <v>496</v>
      </c>
      <c r="C272" s="7" t="s">
        <v>15</v>
      </c>
      <c r="D272" s="14"/>
      <c r="E272" s="14"/>
      <c r="F272" s="14"/>
      <c r="G272" s="14"/>
      <c r="H272" s="14"/>
      <c r="I272" s="14"/>
      <c r="J272" s="14"/>
      <c r="K272" s="35"/>
      <c r="L272" s="3"/>
      <c r="Y272">
        <f t="shared" si="304"/>
        <v>0</v>
      </c>
      <c r="AA272">
        <f t="shared" si="305"/>
        <v>0</v>
      </c>
    </row>
    <row r="273" spans="1:27">
      <c r="A273" s="15" t="s">
        <v>497</v>
      </c>
      <c r="B273" s="15" t="s">
        <v>498</v>
      </c>
      <c r="C273" s="15" t="s">
        <v>15</v>
      </c>
      <c r="D273" s="16"/>
      <c r="E273" s="16"/>
      <c r="F273" s="16"/>
      <c r="G273" s="16"/>
      <c r="H273" s="16"/>
      <c r="I273" s="16"/>
      <c r="J273" s="16"/>
      <c r="K273" s="35"/>
      <c r="L273" s="3"/>
      <c r="Y273">
        <f t="shared" si="304"/>
        <v>0</v>
      </c>
      <c r="AA273">
        <f t="shared" si="305"/>
        <v>0</v>
      </c>
    </row>
    <row r="274" spans="1:27">
      <c r="A274" s="6" t="s">
        <v>499</v>
      </c>
      <c r="B274" s="6" t="s">
        <v>500</v>
      </c>
      <c r="C274" s="6" t="s">
        <v>84</v>
      </c>
      <c r="D274" s="11">
        <v>320</v>
      </c>
      <c r="E274" s="11">
        <f t="shared" ref="E274:E276" si="316">SUM(P274)</f>
        <v>12.423679999999999</v>
      </c>
      <c r="F274" s="11">
        <f t="shared" ref="F274:F276" si="317">D274*E274</f>
        <v>3975.5775999999996</v>
      </c>
      <c r="G274" s="11">
        <f t="shared" ref="G274:G276" si="318">SUM(U274)</f>
        <v>26.4</v>
      </c>
      <c r="H274" s="11">
        <f t="shared" ref="H274:H276" si="319">D274*G274</f>
        <v>8448</v>
      </c>
      <c r="I274" s="11">
        <f t="shared" ref="I274:I276" si="320">E274+G274</f>
        <v>38.823679999999996</v>
      </c>
      <c r="J274" s="11">
        <f t="shared" ref="J274:J276" si="321">F274+H274</f>
        <v>12423.577600000001</v>
      </c>
      <c r="K274" s="35"/>
      <c r="L274" s="3"/>
      <c r="N274" s="30">
        <v>10.8032</v>
      </c>
      <c r="O274" s="31">
        <f t="shared" ref="O274:O276" si="322">$O$1</f>
        <v>1.1499999999999999</v>
      </c>
      <c r="P274" s="32">
        <f t="shared" ref="P274:P276" si="323">SUM(O274*N274)</f>
        <v>12.423679999999999</v>
      </c>
      <c r="Q274" s="29"/>
      <c r="R274" s="29"/>
      <c r="S274" s="33">
        <v>22</v>
      </c>
      <c r="T274" s="34">
        <f t="shared" ref="T274:T276" si="324">$T$1</f>
        <v>1.2</v>
      </c>
      <c r="U274" s="33">
        <f t="shared" ref="U274:U276" si="325">SUM(T274*S274)</f>
        <v>26.4</v>
      </c>
      <c r="Y274">
        <f t="shared" si="304"/>
        <v>3457.0240000000003</v>
      </c>
      <c r="AA274">
        <f t="shared" si="305"/>
        <v>7040</v>
      </c>
    </row>
    <row r="275" spans="1:27">
      <c r="A275" s="6" t="s">
        <v>501</v>
      </c>
      <c r="B275" s="6" t="s">
        <v>502</v>
      </c>
      <c r="C275" s="6" t="s">
        <v>84</v>
      </c>
      <c r="D275" s="11">
        <v>240</v>
      </c>
      <c r="E275" s="11">
        <f t="shared" si="316"/>
        <v>18.606079999999999</v>
      </c>
      <c r="F275" s="11">
        <f t="shared" si="317"/>
        <v>4465.4591999999993</v>
      </c>
      <c r="G275" s="11">
        <f t="shared" si="318"/>
        <v>26.4</v>
      </c>
      <c r="H275" s="11">
        <f t="shared" si="319"/>
        <v>6336</v>
      </c>
      <c r="I275" s="11">
        <f t="shared" si="320"/>
        <v>45.006079999999997</v>
      </c>
      <c r="J275" s="11">
        <f t="shared" si="321"/>
        <v>10801.459199999999</v>
      </c>
      <c r="K275" s="35"/>
      <c r="L275" s="3"/>
      <c r="N275" s="30">
        <v>16.179200000000002</v>
      </c>
      <c r="O275" s="31">
        <f t="shared" si="322"/>
        <v>1.1499999999999999</v>
      </c>
      <c r="P275" s="32">
        <f t="shared" si="323"/>
        <v>18.606079999999999</v>
      </c>
      <c r="Q275" s="29"/>
      <c r="R275" s="29"/>
      <c r="S275" s="33">
        <v>22</v>
      </c>
      <c r="T275" s="34">
        <f t="shared" si="324"/>
        <v>1.2</v>
      </c>
      <c r="U275" s="33">
        <f t="shared" si="325"/>
        <v>26.4</v>
      </c>
      <c r="Y275">
        <f t="shared" si="304"/>
        <v>3883.0080000000003</v>
      </c>
      <c r="AA275">
        <f t="shared" si="305"/>
        <v>5280</v>
      </c>
    </row>
    <row r="276" spans="1:27">
      <c r="A276" s="6" t="s">
        <v>503</v>
      </c>
      <c r="B276" s="6" t="s">
        <v>504</v>
      </c>
      <c r="C276" s="6" t="s">
        <v>84</v>
      </c>
      <c r="D276" s="11">
        <v>180</v>
      </c>
      <c r="E276" s="11">
        <f t="shared" si="316"/>
        <v>48.863039999999998</v>
      </c>
      <c r="F276" s="11">
        <f t="shared" si="317"/>
        <v>8795.3472000000002</v>
      </c>
      <c r="G276" s="11">
        <f t="shared" si="318"/>
        <v>33.6</v>
      </c>
      <c r="H276" s="11">
        <f t="shared" si="319"/>
        <v>6048</v>
      </c>
      <c r="I276" s="11">
        <f t="shared" si="320"/>
        <v>82.463040000000007</v>
      </c>
      <c r="J276" s="11">
        <f t="shared" si="321"/>
        <v>14843.3472</v>
      </c>
      <c r="K276" s="35"/>
      <c r="L276" s="3"/>
      <c r="N276" s="30">
        <v>42.489600000000003</v>
      </c>
      <c r="O276" s="31">
        <f t="shared" si="322"/>
        <v>1.1499999999999999</v>
      </c>
      <c r="P276" s="32">
        <f t="shared" si="323"/>
        <v>48.863039999999998</v>
      </c>
      <c r="Q276" s="29"/>
      <c r="R276" s="29"/>
      <c r="S276" s="33">
        <v>28</v>
      </c>
      <c r="T276" s="34">
        <f t="shared" si="324"/>
        <v>1.2</v>
      </c>
      <c r="U276" s="33">
        <f t="shared" si="325"/>
        <v>33.6</v>
      </c>
      <c r="Y276">
        <f t="shared" si="304"/>
        <v>7648.1280000000006</v>
      </c>
      <c r="AA276">
        <f t="shared" si="305"/>
        <v>5040</v>
      </c>
    </row>
    <row r="277" spans="1:27">
      <c r="A277" s="15" t="s">
        <v>505</v>
      </c>
      <c r="B277" s="15" t="s">
        <v>449</v>
      </c>
      <c r="C277" s="15" t="s">
        <v>15</v>
      </c>
      <c r="D277" s="16"/>
      <c r="E277" s="16"/>
      <c r="F277" s="16"/>
      <c r="G277" s="16"/>
      <c r="H277" s="16"/>
      <c r="I277" s="16"/>
      <c r="J277" s="16"/>
      <c r="K277" s="35"/>
      <c r="L277" s="3"/>
      <c r="Y277">
        <f t="shared" si="304"/>
        <v>0</v>
      </c>
      <c r="AA277">
        <f t="shared" si="305"/>
        <v>0</v>
      </c>
    </row>
    <row r="278" spans="1:27">
      <c r="A278" s="6" t="s">
        <v>506</v>
      </c>
      <c r="B278" s="6" t="s">
        <v>507</v>
      </c>
      <c r="C278" s="6" t="s">
        <v>84</v>
      </c>
      <c r="D278" s="11">
        <v>80</v>
      </c>
      <c r="E278" s="11">
        <f>SUM(P278)</f>
        <v>24.328888888888887</v>
      </c>
      <c r="F278" s="11">
        <f>D278*E278</f>
        <v>1946.3111111111109</v>
      </c>
      <c r="G278" s="11">
        <f>SUM(U278)</f>
        <v>78</v>
      </c>
      <c r="H278" s="11">
        <f>D278*G278</f>
        <v>6240</v>
      </c>
      <c r="I278" s="11">
        <f>E278+G278</f>
        <v>102.32888888888888</v>
      </c>
      <c r="J278" s="11">
        <f>F278+H278</f>
        <v>8186.3111111111111</v>
      </c>
      <c r="K278" s="35"/>
      <c r="L278" s="3"/>
      <c r="N278" s="30">
        <f>SUM([1]List1!$F$154/90)</f>
        <v>21.155555555555555</v>
      </c>
      <c r="O278" s="31">
        <f>$O$1</f>
        <v>1.1499999999999999</v>
      </c>
      <c r="P278" s="32">
        <f>SUM(O278*N278)</f>
        <v>24.328888888888887</v>
      </c>
      <c r="Q278" s="29"/>
      <c r="R278" s="29"/>
      <c r="S278" s="33">
        <v>65</v>
      </c>
      <c r="T278" s="34">
        <f>$T$1</f>
        <v>1.2</v>
      </c>
      <c r="U278" s="33">
        <f>SUM(T278*S278)</f>
        <v>78</v>
      </c>
      <c r="Y278">
        <f t="shared" si="304"/>
        <v>1692.4444444444443</v>
      </c>
      <c r="AA278">
        <f t="shared" si="305"/>
        <v>5200</v>
      </c>
    </row>
    <row r="279" spans="1:27">
      <c r="A279" s="15" t="s">
        <v>508</v>
      </c>
      <c r="B279" s="15" t="s">
        <v>509</v>
      </c>
      <c r="C279" s="15" t="s">
        <v>15</v>
      </c>
      <c r="D279" s="16"/>
      <c r="E279" s="16"/>
      <c r="F279" s="16"/>
      <c r="G279" s="16"/>
      <c r="H279" s="16"/>
      <c r="I279" s="16"/>
      <c r="J279" s="16"/>
      <c r="K279" s="35"/>
      <c r="L279" s="3"/>
      <c r="Y279">
        <f t="shared" si="304"/>
        <v>0</v>
      </c>
      <c r="AA279">
        <f t="shared" si="305"/>
        <v>0</v>
      </c>
    </row>
    <row r="280" spans="1:27">
      <c r="A280" s="6" t="s">
        <v>510</v>
      </c>
      <c r="B280" s="6" t="s">
        <v>511</v>
      </c>
      <c r="C280" s="6" t="s">
        <v>65</v>
      </c>
      <c r="D280" s="11">
        <v>30</v>
      </c>
      <c r="E280" s="11">
        <f>SUM(P280)</f>
        <v>16.546199999999999</v>
      </c>
      <c r="F280" s="11">
        <f>D280*E280</f>
        <v>496.38599999999997</v>
      </c>
      <c r="G280" s="11">
        <f>SUM(U280)</f>
        <v>66</v>
      </c>
      <c r="H280" s="11">
        <f>D280*G280</f>
        <v>1980</v>
      </c>
      <c r="I280" s="11">
        <f>E280+G280</f>
        <v>82.546199999999999</v>
      </c>
      <c r="J280" s="11">
        <f>F280+H280</f>
        <v>2476.386</v>
      </c>
      <c r="K280" s="35"/>
      <c r="L280" s="3"/>
      <c r="N280" s="30">
        <v>14.388</v>
      </c>
      <c r="O280" s="31">
        <f>$O$1</f>
        <v>1.1499999999999999</v>
      </c>
      <c r="P280" s="32">
        <f>SUM(O280*N280)</f>
        <v>16.546199999999999</v>
      </c>
      <c r="Q280" s="29"/>
      <c r="R280" s="29"/>
      <c r="S280" s="33">
        <v>55</v>
      </c>
      <c r="T280" s="34">
        <f>$T$1</f>
        <v>1.2</v>
      </c>
      <c r="U280" s="33">
        <f>SUM(T280*S280)</f>
        <v>66</v>
      </c>
      <c r="Y280">
        <f t="shared" si="304"/>
        <v>431.64</v>
      </c>
      <c r="AA280">
        <f t="shared" si="305"/>
        <v>1650</v>
      </c>
    </row>
    <row r="281" spans="1:27">
      <c r="A281" s="15" t="s">
        <v>512</v>
      </c>
      <c r="B281" s="15" t="s">
        <v>513</v>
      </c>
      <c r="C281" s="15" t="s">
        <v>15</v>
      </c>
      <c r="D281" s="16"/>
      <c r="E281" s="16"/>
      <c r="F281" s="16"/>
      <c r="G281" s="16"/>
      <c r="H281" s="16"/>
      <c r="I281" s="16"/>
      <c r="J281" s="16"/>
      <c r="K281" s="35"/>
      <c r="L281" s="3"/>
      <c r="Y281">
        <f t="shared" si="304"/>
        <v>0</v>
      </c>
      <c r="AA281">
        <f t="shared" si="305"/>
        <v>0</v>
      </c>
    </row>
    <row r="282" spans="1:27">
      <c r="A282" s="6" t="s">
        <v>514</v>
      </c>
      <c r="B282" s="6" t="s">
        <v>515</v>
      </c>
      <c r="C282" s="6" t="s">
        <v>65</v>
      </c>
      <c r="D282" s="11">
        <v>15</v>
      </c>
      <c r="E282" s="11">
        <f>SUM(P282)</f>
        <v>12.525441199999999</v>
      </c>
      <c r="F282" s="11">
        <f>D282*E282</f>
        <v>187.881618</v>
      </c>
      <c r="G282" s="11">
        <f>SUM(U282)</f>
        <v>66</v>
      </c>
      <c r="H282" s="11">
        <f>D282*G282</f>
        <v>990</v>
      </c>
      <c r="I282" s="11">
        <f>E282+G282</f>
        <v>78.525441200000003</v>
      </c>
      <c r="J282" s="11">
        <f>F282+H282</f>
        <v>1177.8816179999999</v>
      </c>
      <c r="K282" s="35"/>
      <c r="L282" s="3"/>
      <c r="N282" s="30">
        <v>10.891688</v>
      </c>
      <c r="O282" s="31">
        <f>$O$1</f>
        <v>1.1499999999999999</v>
      </c>
      <c r="P282" s="32">
        <f>SUM(O282*N282)</f>
        <v>12.525441199999999</v>
      </c>
      <c r="Q282" s="29"/>
      <c r="R282" s="29"/>
      <c r="S282" s="33">
        <v>55</v>
      </c>
      <c r="T282" s="34">
        <f>$T$1</f>
        <v>1.2</v>
      </c>
      <c r="U282" s="33">
        <f>SUM(T282*S282)</f>
        <v>66</v>
      </c>
      <c r="Y282">
        <f t="shared" si="304"/>
        <v>163.37532000000002</v>
      </c>
      <c r="AA282">
        <f t="shared" si="305"/>
        <v>825</v>
      </c>
    </row>
    <row r="283" spans="1:27">
      <c r="A283" s="6" t="s">
        <v>516</v>
      </c>
      <c r="B283" s="6" t="s">
        <v>517</v>
      </c>
      <c r="C283" s="6" t="s">
        <v>65</v>
      </c>
      <c r="D283" s="11">
        <v>15</v>
      </c>
      <c r="E283" s="11">
        <f>SUM(P283)</f>
        <v>17.077499999999997</v>
      </c>
      <c r="F283" s="11">
        <f>D283*E283</f>
        <v>256.16249999999997</v>
      </c>
      <c r="G283" s="11">
        <f>SUM(U283)</f>
        <v>108</v>
      </c>
      <c r="H283" s="11">
        <f>D283*G283</f>
        <v>1620</v>
      </c>
      <c r="I283" s="11">
        <f>E283+G283</f>
        <v>125.0775</v>
      </c>
      <c r="J283" s="11">
        <f>F283+H283</f>
        <v>1876.1624999999999</v>
      </c>
      <c r="K283" s="35"/>
      <c r="L283" s="3"/>
      <c r="N283" s="30">
        <v>14.85</v>
      </c>
      <c r="O283" s="31">
        <f>$O$1</f>
        <v>1.1499999999999999</v>
      </c>
      <c r="P283" s="32">
        <f>SUM(O283*N283)</f>
        <v>17.077499999999997</v>
      </c>
      <c r="Q283" s="29"/>
      <c r="R283" s="29"/>
      <c r="S283" s="33">
        <v>90</v>
      </c>
      <c r="T283" s="34">
        <f>$T$1</f>
        <v>1.2</v>
      </c>
      <c r="U283" s="33">
        <f>SUM(T283*S283)</f>
        <v>108</v>
      </c>
      <c r="Y283">
        <f t="shared" si="304"/>
        <v>222.75</v>
      </c>
      <c r="AA283">
        <f t="shared" si="305"/>
        <v>1350</v>
      </c>
    </row>
    <row r="284" spans="1:27">
      <c r="A284" s="15" t="s">
        <v>518</v>
      </c>
      <c r="B284" s="15" t="s">
        <v>519</v>
      </c>
      <c r="C284" s="15" t="s">
        <v>15</v>
      </c>
      <c r="D284" s="16"/>
      <c r="E284" s="16"/>
      <c r="F284" s="16"/>
      <c r="G284" s="16"/>
      <c r="H284" s="16"/>
      <c r="I284" s="16"/>
      <c r="J284" s="16"/>
      <c r="K284" s="35"/>
      <c r="L284" s="3"/>
      <c r="Y284">
        <f t="shared" si="304"/>
        <v>0</v>
      </c>
      <c r="AA284">
        <f t="shared" si="305"/>
        <v>0</v>
      </c>
    </row>
    <row r="285" spans="1:27">
      <c r="A285" s="6" t="s">
        <v>520</v>
      </c>
      <c r="B285" s="6" t="s">
        <v>521</v>
      </c>
      <c r="C285" s="6" t="s">
        <v>65</v>
      </c>
      <c r="D285" s="11">
        <v>3</v>
      </c>
      <c r="E285" s="11">
        <f>SUM(P285)</f>
        <v>218.84039999999999</v>
      </c>
      <c r="F285" s="11">
        <f>D285*E285</f>
        <v>656.52119999999991</v>
      </c>
      <c r="G285" s="11">
        <f>SUM(U285)</f>
        <v>180</v>
      </c>
      <c r="H285" s="11">
        <f>D285*G285</f>
        <v>540</v>
      </c>
      <c r="I285" s="11">
        <f>E285+G285</f>
        <v>398.84039999999999</v>
      </c>
      <c r="J285" s="11">
        <f>F285+H285</f>
        <v>1196.5211999999999</v>
      </c>
      <c r="K285" s="35"/>
      <c r="L285" s="3"/>
      <c r="N285" s="30">
        <v>190.29599999999999</v>
      </c>
      <c r="O285" s="31">
        <f>$O$1</f>
        <v>1.1499999999999999</v>
      </c>
      <c r="P285" s="32">
        <f>SUM(O285*N285)</f>
        <v>218.84039999999999</v>
      </c>
      <c r="Q285" s="29"/>
      <c r="R285" s="29"/>
      <c r="S285" s="33">
        <v>150</v>
      </c>
      <c r="T285" s="34">
        <f>$T$1</f>
        <v>1.2</v>
      </c>
      <c r="U285" s="33">
        <f>SUM(T285*S285)</f>
        <v>180</v>
      </c>
      <c r="Y285">
        <f t="shared" si="304"/>
        <v>570.88799999999992</v>
      </c>
      <c r="AA285">
        <f t="shared" si="305"/>
        <v>450</v>
      </c>
    </row>
    <row r="286" spans="1:27">
      <c r="A286" s="15" t="s">
        <v>522</v>
      </c>
      <c r="B286" s="15" t="s">
        <v>523</v>
      </c>
      <c r="C286" s="15" t="s">
        <v>15</v>
      </c>
      <c r="D286" s="16"/>
      <c r="E286" s="16"/>
      <c r="F286" s="16"/>
      <c r="G286" s="16"/>
      <c r="H286" s="16"/>
      <c r="I286" s="16"/>
      <c r="J286" s="16"/>
      <c r="K286" s="35"/>
      <c r="L286" s="3"/>
      <c r="Y286">
        <f t="shared" si="304"/>
        <v>0</v>
      </c>
      <c r="AA286">
        <f t="shared" si="305"/>
        <v>0</v>
      </c>
    </row>
    <row r="287" spans="1:27">
      <c r="A287" s="6" t="s">
        <v>524</v>
      </c>
      <c r="B287" s="6" t="s">
        <v>317</v>
      </c>
      <c r="C287" s="6" t="s">
        <v>65</v>
      </c>
      <c r="D287" s="11">
        <v>840</v>
      </c>
      <c r="E287" s="11">
        <f>SUM(P287)</f>
        <v>0</v>
      </c>
      <c r="F287" s="11">
        <f>D287*E287</f>
        <v>0</v>
      </c>
      <c r="G287" s="11">
        <f>SUM(U287)</f>
        <v>9.6</v>
      </c>
      <c r="H287" s="11">
        <f>D287*G287</f>
        <v>8064</v>
      </c>
      <c r="I287" s="11">
        <f>E287+G287</f>
        <v>9.6</v>
      </c>
      <c r="J287" s="11">
        <f>F287+H287</f>
        <v>8064</v>
      </c>
      <c r="K287" s="35"/>
      <c r="L287" s="3"/>
      <c r="N287" s="30"/>
      <c r="O287" s="31">
        <f>$O$1</f>
        <v>1.1499999999999999</v>
      </c>
      <c r="P287" s="32">
        <f>SUM(O287*N287)</f>
        <v>0</v>
      </c>
      <c r="Q287" s="29"/>
      <c r="R287" s="29"/>
      <c r="S287" s="33">
        <v>8</v>
      </c>
      <c r="T287" s="34">
        <f>$T$1</f>
        <v>1.2</v>
      </c>
      <c r="U287" s="33">
        <f>SUM(T287*S287)</f>
        <v>9.6</v>
      </c>
      <c r="Y287">
        <f t="shared" si="304"/>
        <v>0</v>
      </c>
      <c r="AA287">
        <f t="shared" si="305"/>
        <v>6720</v>
      </c>
    </row>
    <row r="288" spans="1:27">
      <c r="A288" s="15" t="s">
        <v>525</v>
      </c>
      <c r="B288" s="15" t="s">
        <v>526</v>
      </c>
      <c r="C288" s="15" t="s">
        <v>15</v>
      </c>
      <c r="D288" s="16"/>
      <c r="E288" s="16"/>
      <c r="F288" s="16"/>
      <c r="G288" s="16"/>
      <c r="H288" s="16"/>
      <c r="I288" s="16"/>
      <c r="J288" s="16"/>
      <c r="K288" s="35"/>
      <c r="L288" s="3"/>
      <c r="Y288">
        <f t="shared" si="304"/>
        <v>0</v>
      </c>
      <c r="AA288">
        <f t="shared" si="305"/>
        <v>0</v>
      </c>
    </row>
    <row r="289" spans="1:27">
      <c r="A289" s="6" t="s">
        <v>527</v>
      </c>
      <c r="B289" s="6" t="s">
        <v>528</v>
      </c>
      <c r="C289" s="6" t="s">
        <v>65</v>
      </c>
      <c r="D289" s="11">
        <v>40</v>
      </c>
      <c r="E289" s="11">
        <f>SUM(P289)</f>
        <v>0</v>
      </c>
      <c r="F289" s="11">
        <f>D289*E289</f>
        <v>0</v>
      </c>
      <c r="G289" s="11">
        <f>SUM(U289)</f>
        <v>18</v>
      </c>
      <c r="H289" s="11">
        <f>D289*G289</f>
        <v>720</v>
      </c>
      <c r="I289" s="11">
        <f>E289+G289</f>
        <v>18</v>
      </c>
      <c r="J289" s="11">
        <f>F289+H289</f>
        <v>720</v>
      </c>
      <c r="K289" s="35"/>
      <c r="L289" s="3"/>
      <c r="N289" s="30"/>
      <c r="O289" s="31">
        <f>$O$1</f>
        <v>1.1499999999999999</v>
      </c>
      <c r="P289" s="32">
        <f>SUM(O289*N289)</f>
        <v>0</v>
      </c>
      <c r="Q289" s="29"/>
      <c r="R289" s="29"/>
      <c r="S289" s="33">
        <v>15</v>
      </c>
      <c r="T289" s="34">
        <f>$T$1</f>
        <v>1.2</v>
      </c>
      <c r="U289" s="33">
        <f>SUM(T289*S289)</f>
        <v>18</v>
      </c>
      <c r="Y289">
        <f t="shared" si="304"/>
        <v>0</v>
      </c>
      <c r="AA289">
        <f t="shared" si="305"/>
        <v>600</v>
      </c>
    </row>
    <row r="290" spans="1:27">
      <c r="A290" s="6" t="s">
        <v>529</v>
      </c>
      <c r="B290" s="6" t="s">
        <v>530</v>
      </c>
      <c r="C290" s="6" t="s">
        <v>65</v>
      </c>
      <c r="D290" s="11">
        <v>10</v>
      </c>
      <c r="E290" s="11">
        <f>SUM(P290)</f>
        <v>0</v>
      </c>
      <c r="F290" s="11">
        <f>D290*E290</f>
        <v>0</v>
      </c>
      <c r="G290" s="11">
        <f>SUM(U290)</f>
        <v>24</v>
      </c>
      <c r="H290" s="11">
        <f>D290*G290</f>
        <v>240</v>
      </c>
      <c r="I290" s="11">
        <f>E290+G290</f>
        <v>24</v>
      </c>
      <c r="J290" s="11">
        <f>F290+H290</f>
        <v>240</v>
      </c>
      <c r="K290" s="35"/>
      <c r="L290" s="3"/>
      <c r="N290" s="30"/>
      <c r="O290" s="31">
        <f>$O$1</f>
        <v>1.1499999999999999</v>
      </c>
      <c r="P290" s="32">
        <f>SUM(O290*N290)</f>
        <v>0</v>
      </c>
      <c r="Q290" s="29"/>
      <c r="R290" s="29"/>
      <c r="S290" s="33">
        <v>20</v>
      </c>
      <c r="T290" s="34">
        <f>$T$1</f>
        <v>1.2</v>
      </c>
      <c r="U290" s="33">
        <f>SUM(T290*S290)</f>
        <v>24</v>
      </c>
      <c r="Y290">
        <f t="shared" si="304"/>
        <v>0</v>
      </c>
      <c r="AA290">
        <f t="shared" si="305"/>
        <v>200</v>
      </c>
    </row>
    <row r="291" spans="1:27">
      <c r="A291" s="7" t="s">
        <v>15</v>
      </c>
      <c r="B291" s="7" t="s">
        <v>531</v>
      </c>
      <c r="C291" s="7" t="s">
        <v>15</v>
      </c>
      <c r="D291" s="14"/>
      <c r="E291" s="14"/>
      <c r="F291" s="14">
        <f>SUM(F273:F290)</f>
        <v>20779.646429111104</v>
      </c>
      <c r="G291" s="14"/>
      <c r="H291" s="14">
        <f>SUM(H273:H290)</f>
        <v>41226</v>
      </c>
      <c r="I291" s="14"/>
      <c r="J291" s="14">
        <f>SUM(J273:J290)</f>
        <v>62005.646429111119</v>
      </c>
      <c r="K291" s="35"/>
      <c r="L291" s="3"/>
      <c r="Y291">
        <f t="shared" si="304"/>
        <v>0</v>
      </c>
      <c r="AA291">
        <f t="shared" si="305"/>
        <v>0</v>
      </c>
    </row>
    <row r="292" spans="1:27">
      <c r="A292" s="6" t="s">
        <v>15</v>
      </c>
      <c r="B292" s="6" t="s">
        <v>15</v>
      </c>
      <c r="C292" s="6" t="s">
        <v>15</v>
      </c>
      <c r="D292" s="11"/>
      <c r="E292" s="11"/>
      <c r="F292" s="11"/>
      <c r="G292" s="11"/>
      <c r="H292" s="11"/>
      <c r="I292" s="11">
        <f>E292+G292</f>
        <v>0</v>
      </c>
      <c r="J292" s="11">
        <f>F292+H292</f>
        <v>0</v>
      </c>
      <c r="K292" s="35"/>
      <c r="L292" s="3"/>
      <c r="Y292">
        <f t="shared" si="304"/>
        <v>0</v>
      </c>
      <c r="AA292">
        <f t="shared" si="305"/>
        <v>0</v>
      </c>
    </row>
    <row r="293" spans="1:27">
      <c r="A293" s="7" t="s">
        <v>15</v>
      </c>
      <c r="B293" s="7" t="s">
        <v>532</v>
      </c>
      <c r="C293" s="7" t="s">
        <v>15</v>
      </c>
      <c r="D293" s="14"/>
      <c r="E293" s="14"/>
      <c r="F293" s="14"/>
      <c r="G293" s="14"/>
      <c r="H293" s="14"/>
      <c r="I293" s="14"/>
      <c r="J293" s="14"/>
      <c r="K293" s="35"/>
      <c r="L293" s="3"/>
      <c r="Y293">
        <f t="shared" si="304"/>
        <v>0</v>
      </c>
      <c r="AA293">
        <f t="shared" si="305"/>
        <v>0</v>
      </c>
    </row>
    <row r="294" spans="1:27">
      <c r="A294" s="15" t="s">
        <v>533</v>
      </c>
      <c r="B294" s="15" t="s">
        <v>534</v>
      </c>
      <c r="C294" s="15" t="s">
        <v>15</v>
      </c>
      <c r="D294" s="16"/>
      <c r="E294" s="16"/>
      <c r="F294" s="16"/>
      <c r="G294" s="16"/>
      <c r="H294" s="16"/>
      <c r="I294" s="16"/>
      <c r="J294" s="16"/>
      <c r="K294" s="35"/>
      <c r="L294" s="3"/>
      <c r="Y294">
        <f t="shared" si="304"/>
        <v>0</v>
      </c>
      <c r="AA294">
        <f t="shared" si="305"/>
        <v>0</v>
      </c>
    </row>
    <row r="295" spans="1:27">
      <c r="A295" s="15" t="s">
        <v>535</v>
      </c>
      <c r="B295" s="15" t="s">
        <v>536</v>
      </c>
      <c r="C295" s="15" t="s">
        <v>15</v>
      </c>
      <c r="D295" s="16"/>
      <c r="E295" s="16"/>
      <c r="F295" s="16"/>
      <c r="G295" s="16"/>
      <c r="H295" s="16"/>
      <c r="I295" s="16"/>
      <c r="J295" s="16"/>
      <c r="K295" s="35"/>
      <c r="L295" s="3"/>
      <c r="Y295">
        <f t="shared" si="304"/>
        <v>0</v>
      </c>
      <c r="AA295">
        <f t="shared" si="305"/>
        <v>0</v>
      </c>
    </row>
    <row r="296" spans="1:27">
      <c r="A296" s="6" t="s">
        <v>537</v>
      </c>
      <c r="B296" s="6" t="s">
        <v>538</v>
      </c>
      <c r="C296" s="6" t="s">
        <v>539</v>
      </c>
      <c r="D296" s="11">
        <v>80</v>
      </c>
      <c r="E296" s="11">
        <f t="shared" ref="E296:E297" si="326">SUM(P296)</f>
        <v>0</v>
      </c>
      <c r="F296" s="11">
        <f t="shared" ref="F296:F297" si="327">D296*E296</f>
        <v>0</v>
      </c>
      <c r="G296" s="11">
        <f t="shared" ref="G296:G297" si="328">SUM(U296)</f>
        <v>780</v>
      </c>
      <c r="H296" s="11">
        <f t="shared" ref="H296:H297" si="329">D296*G296</f>
        <v>62400</v>
      </c>
      <c r="I296" s="11">
        <f t="shared" ref="I296:I297" si="330">E296+G296</f>
        <v>780</v>
      </c>
      <c r="J296" s="11">
        <f t="shared" ref="J296:J297" si="331">F296+H296</f>
        <v>62400</v>
      </c>
      <c r="K296" s="35"/>
      <c r="L296" s="3"/>
      <c r="N296" s="30"/>
      <c r="O296" s="31">
        <f t="shared" ref="O296:O297" si="332">$O$1</f>
        <v>1.1499999999999999</v>
      </c>
      <c r="P296" s="32">
        <f t="shared" ref="P296:P297" si="333">SUM(O296*N296)</f>
        <v>0</v>
      </c>
      <c r="Q296" s="29"/>
      <c r="R296" s="29"/>
      <c r="S296" s="33">
        <v>650</v>
      </c>
      <c r="T296" s="34">
        <f t="shared" ref="T296:T297" si="334">$T$1</f>
        <v>1.2</v>
      </c>
      <c r="U296" s="33">
        <f t="shared" ref="U296:U297" si="335">SUM(T296*S296)</f>
        <v>780</v>
      </c>
      <c r="Y296">
        <f t="shared" si="304"/>
        <v>0</v>
      </c>
      <c r="AA296">
        <f t="shared" si="305"/>
        <v>52000</v>
      </c>
    </row>
    <row r="297" spans="1:27">
      <c r="A297" s="6" t="s">
        <v>540</v>
      </c>
      <c r="B297" s="6" t="s">
        <v>541</v>
      </c>
      <c r="C297" s="6" t="s">
        <v>539</v>
      </c>
      <c r="D297" s="11">
        <v>10</v>
      </c>
      <c r="E297" s="11">
        <f t="shared" si="326"/>
        <v>0</v>
      </c>
      <c r="F297" s="11">
        <f t="shared" si="327"/>
        <v>0</v>
      </c>
      <c r="G297" s="11">
        <f t="shared" si="328"/>
        <v>540</v>
      </c>
      <c r="H297" s="11">
        <f t="shared" si="329"/>
        <v>5400</v>
      </c>
      <c r="I297" s="11">
        <f t="shared" si="330"/>
        <v>540</v>
      </c>
      <c r="J297" s="11">
        <f t="shared" si="331"/>
        <v>5400</v>
      </c>
      <c r="K297" s="35"/>
      <c r="L297" s="3"/>
      <c r="N297" s="30"/>
      <c r="O297" s="31">
        <f t="shared" si="332"/>
        <v>1.1499999999999999</v>
      </c>
      <c r="P297" s="32">
        <f t="shared" si="333"/>
        <v>0</v>
      </c>
      <c r="Q297" s="29"/>
      <c r="R297" s="29"/>
      <c r="S297" s="33">
        <v>450</v>
      </c>
      <c r="T297" s="34">
        <f t="shared" si="334"/>
        <v>1.2</v>
      </c>
      <c r="U297" s="33">
        <f t="shared" si="335"/>
        <v>540</v>
      </c>
      <c r="Y297">
        <f t="shared" si="304"/>
        <v>0</v>
      </c>
      <c r="AA297">
        <f t="shared" si="305"/>
        <v>4500</v>
      </c>
    </row>
    <row r="298" spans="1:27">
      <c r="A298" s="7" t="s">
        <v>15</v>
      </c>
      <c r="B298" s="7" t="s">
        <v>542</v>
      </c>
      <c r="C298" s="7" t="s">
        <v>15</v>
      </c>
      <c r="D298" s="14"/>
      <c r="E298" s="14"/>
      <c r="F298" s="14">
        <f>SUM(F294:F297)</f>
        <v>0</v>
      </c>
      <c r="G298" s="14"/>
      <c r="H298" s="14">
        <f>SUM(H294:H297)</f>
        <v>67800</v>
      </c>
      <c r="I298" s="14"/>
      <c r="J298" s="14">
        <f>SUM(J294:J297)</f>
        <v>67800</v>
      </c>
      <c r="K298" s="35"/>
      <c r="L298" s="3"/>
      <c r="Y298">
        <f t="shared" si="304"/>
        <v>0</v>
      </c>
      <c r="AA298">
        <f t="shared" si="305"/>
        <v>0</v>
      </c>
    </row>
    <row r="299" spans="1:27">
      <c r="A299" s="6" t="s">
        <v>15</v>
      </c>
      <c r="B299" s="6" t="s">
        <v>15</v>
      </c>
      <c r="C299" s="6" t="s">
        <v>15</v>
      </c>
      <c r="D299" s="11"/>
      <c r="E299" s="11"/>
      <c r="F299" s="11"/>
      <c r="G299" s="11"/>
      <c r="H299" s="11"/>
      <c r="I299" s="11">
        <f>E299+G299</f>
        <v>0</v>
      </c>
      <c r="J299" s="11">
        <f>F299+H299</f>
        <v>0</v>
      </c>
      <c r="K299" s="35"/>
      <c r="L299" s="3"/>
      <c r="Y299">
        <f t="shared" si="304"/>
        <v>0</v>
      </c>
      <c r="AA299">
        <f t="shared" si="305"/>
        <v>0</v>
      </c>
    </row>
    <row r="300" spans="1:27">
      <c r="A300" s="7" t="s">
        <v>15</v>
      </c>
      <c r="B300" s="7" t="s">
        <v>543</v>
      </c>
      <c r="C300" s="7" t="s">
        <v>15</v>
      </c>
      <c r="D300" s="14"/>
      <c r="E300" s="14"/>
      <c r="F300" s="14"/>
      <c r="G300" s="14"/>
      <c r="H300" s="14"/>
      <c r="I300" s="14"/>
      <c r="J300" s="14"/>
      <c r="K300" s="35"/>
      <c r="L300" s="3"/>
      <c r="Y300">
        <f t="shared" si="304"/>
        <v>0</v>
      </c>
      <c r="AA300">
        <f t="shared" si="305"/>
        <v>0</v>
      </c>
    </row>
    <row r="301" spans="1:27">
      <c r="A301" s="15" t="s">
        <v>544</v>
      </c>
      <c r="B301" s="15" t="s">
        <v>545</v>
      </c>
      <c r="C301" s="15" t="s">
        <v>15</v>
      </c>
      <c r="D301" s="16"/>
      <c r="E301" s="16"/>
      <c r="F301" s="16"/>
      <c r="G301" s="16"/>
      <c r="H301" s="16"/>
      <c r="I301" s="16"/>
      <c r="J301" s="16"/>
      <c r="K301" s="35"/>
      <c r="L301" s="3"/>
      <c r="Y301">
        <f t="shared" si="304"/>
        <v>0</v>
      </c>
      <c r="AA301">
        <f t="shared" si="305"/>
        <v>0</v>
      </c>
    </row>
    <row r="302" spans="1:27">
      <c r="A302" s="6" t="s">
        <v>15</v>
      </c>
      <c r="B302" s="6" t="s">
        <v>546</v>
      </c>
      <c r="C302" s="6" t="s">
        <v>79</v>
      </c>
      <c r="D302" s="11">
        <v>1</v>
      </c>
      <c r="E302" s="11">
        <f t="shared" ref="E302:E310" si="336">SUM(P302)</f>
        <v>9200</v>
      </c>
      <c r="F302" s="11">
        <f t="shared" ref="F302:F310" si="337">D302*E302</f>
        <v>9200</v>
      </c>
      <c r="G302" s="11">
        <f t="shared" ref="G302:G310" si="338">SUM(U302)</f>
        <v>0</v>
      </c>
      <c r="H302" s="11">
        <f t="shared" ref="H302:H310" si="339">D302*G302</f>
        <v>0</v>
      </c>
      <c r="I302" s="11">
        <f t="shared" ref="I302:I310" si="340">E302+G302</f>
        <v>9200</v>
      </c>
      <c r="J302" s="11">
        <f t="shared" ref="J302:J310" si="341">F302+H302</f>
        <v>9200</v>
      </c>
      <c r="K302" s="35"/>
      <c r="L302" s="3"/>
      <c r="N302" s="30">
        <v>8000</v>
      </c>
      <c r="O302" s="31">
        <f t="shared" ref="O302:O310" si="342">$O$1</f>
        <v>1.1499999999999999</v>
      </c>
      <c r="P302" s="32">
        <f t="shared" ref="P302:P310" si="343">SUM(O302*N302)</f>
        <v>9200</v>
      </c>
      <c r="Q302" s="29"/>
      <c r="R302" s="29"/>
      <c r="S302" s="33"/>
      <c r="T302" s="34">
        <v>1.3</v>
      </c>
      <c r="U302" s="33">
        <f t="shared" ref="U302:U310" si="344">SUM(T302*S302)</f>
        <v>0</v>
      </c>
      <c r="Y302">
        <f t="shared" si="304"/>
        <v>8000</v>
      </c>
      <c r="AA302">
        <f t="shared" si="305"/>
        <v>0</v>
      </c>
    </row>
    <row r="303" spans="1:27">
      <c r="A303" s="6" t="s">
        <v>547</v>
      </c>
      <c r="B303" s="6" t="s">
        <v>548</v>
      </c>
      <c r="C303" s="6" t="s">
        <v>65</v>
      </c>
      <c r="D303" s="11">
        <v>74</v>
      </c>
      <c r="E303" s="11">
        <f t="shared" si="336"/>
        <v>0</v>
      </c>
      <c r="F303" s="11">
        <f t="shared" si="337"/>
        <v>0</v>
      </c>
      <c r="G303" s="11">
        <f t="shared" si="338"/>
        <v>97.5</v>
      </c>
      <c r="H303" s="11">
        <f t="shared" si="339"/>
        <v>7215</v>
      </c>
      <c r="I303" s="11">
        <f t="shared" si="340"/>
        <v>97.5</v>
      </c>
      <c r="J303" s="11">
        <f t="shared" si="341"/>
        <v>7215</v>
      </c>
      <c r="K303" s="35"/>
      <c r="L303" s="3"/>
      <c r="N303" s="30"/>
      <c r="O303" s="31">
        <f t="shared" si="342"/>
        <v>1.1499999999999999</v>
      </c>
      <c r="P303" s="32">
        <f t="shared" si="343"/>
        <v>0</v>
      </c>
      <c r="Q303" s="29"/>
      <c r="R303" s="29"/>
      <c r="S303" s="33">
        <v>75</v>
      </c>
      <c r="T303" s="34">
        <v>1.3</v>
      </c>
      <c r="U303" s="33">
        <f t="shared" si="344"/>
        <v>97.5</v>
      </c>
      <c r="Y303">
        <f t="shared" si="304"/>
        <v>0</v>
      </c>
      <c r="AA303">
        <f t="shared" si="305"/>
        <v>5550</v>
      </c>
    </row>
    <row r="304" spans="1:27">
      <c r="A304" s="6" t="s">
        <v>549</v>
      </c>
      <c r="B304" s="6" t="s">
        <v>550</v>
      </c>
      <c r="C304" s="6" t="s">
        <v>65</v>
      </c>
      <c r="D304" s="11">
        <v>10</v>
      </c>
      <c r="E304" s="11">
        <f t="shared" si="336"/>
        <v>0</v>
      </c>
      <c r="F304" s="11">
        <f t="shared" si="337"/>
        <v>0</v>
      </c>
      <c r="G304" s="11">
        <f t="shared" si="338"/>
        <v>169</v>
      </c>
      <c r="H304" s="11">
        <f t="shared" si="339"/>
        <v>1690</v>
      </c>
      <c r="I304" s="11">
        <f t="shared" si="340"/>
        <v>169</v>
      </c>
      <c r="J304" s="11">
        <f t="shared" si="341"/>
        <v>1690</v>
      </c>
      <c r="K304" s="35"/>
      <c r="L304" s="3"/>
      <c r="N304" s="30"/>
      <c r="O304" s="31">
        <f t="shared" si="342"/>
        <v>1.1499999999999999</v>
      </c>
      <c r="P304" s="32">
        <f t="shared" si="343"/>
        <v>0</v>
      </c>
      <c r="Q304" s="29"/>
      <c r="R304" s="29"/>
      <c r="S304" s="33">
        <v>130</v>
      </c>
      <c r="T304" s="34">
        <v>1.3</v>
      </c>
      <c r="U304" s="33">
        <f t="shared" si="344"/>
        <v>169</v>
      </c>
      <c r="Y304">
        <f t="shared" si="304"/>
        <v>0</v>
      </c>
      <c r="AA304">
        <f t="shared" si="305"/>
        <v>1300</v>
      </c>
    </row>
    <row r="305" spans="1:27">
      <c r="A305" s="6" t="s">
        <v>15</v>
      </c>
      <c r="B305" s="6" t="s">
        <v>551</v>
      </c>
      <c r="C305" s="6" t="s">
        <v>552</v>
      </c>
      <c r="D305" s="11">
        <v>1</v>
      </c>
      <c r="E305" s="11">
        <f t="shared" si="336"/>
        <v>0</v>
      </c>
      <c r="F305" s="11">
        <f t="shared" si="337"/>
        <v>0</v>
      </c>
      <c r="G305" s="11">
        <f t="shared" si="338"/>
        <v>26000</v>
      </c>
      <c r="H305" s="11">
        <f t="shared" si="339"/>
        <v>26000</v>
      </c>
      <c r="I305" s="11">
        <f t="shared" si="340"/>
        <v>26000</v>
      </c>
      <c r="J305" s="11">
        <f t="shared" si="341"/>
        <v>26000</v>
      </c>
      <c r="K305" s="35"/>
      <c r="L305" s="3"/>
      <c r="N305" s="30"/>
      <c r="O305" s="31">
        <f t="shared" si="342"/>
        <v>1.1499999999999999</v>
      </c>
      <c r="P305" s="32">
        <f t="shared" si="343"/>
        <v>0</v>
      </c>
      <c r="Q305" s="29"/>
      <c r="R305" s="29"/>
      <c r="S305" s="33">
        <v>20000</v>
      </c>
      <c r="T305" s="34">
        <v>1.3</v>
      </c>
      <c r="U305" s="33">
        <f t="shared" si="344"/>
        <v>26000</v>
      </c>
      <c r="Y305">
        <f t="shared" si="304"/>
        <v>0</v>
      </c>
      <c r="AA305">
        <f t="shared" si="305"/>
        <v>20000</v>
      </c>
    </row>
    <row r="306" spans="1:27">
      <c r="A306" s="6" t="s">
        <v>15</v>
      </c>
      <c r="B306" s="6" t="s">
        <v>553</v>
      </c>
      <c r="C306" s="6" t="s">
        <v>554</v>
      </c>
      <c r="D306" s="11">
        <v>15</v>
      </c>
      <c r="E306" s="11">
        <f t="shared" si="336"/>
        <v>0</v>
      </c>
      <c r="F306" s="11">
        <f t="shared" si="337"/>
        <v>0</v>
      </c>
      <c r="G306" s="11">
        <f t="shared" si="338"/>
        <v>3380</v>
      </c>
      <c r="H306" s="11">
        <f t="shared" si="339"/>
        <v>50700</v>
      </c>
      <c r="I306" s="11">
        <f t="shared" si="340"/>
        <v>3380</v>
      </c>
      <c r="J306" s="11">
        <f t="shared" si="341"/>
        <v>50700</v>
      </c>
      <c r="K306" s="35"/>
      <c r="L306" s="3"/>
      <c r="N306" s="30"/>
      <c r="O306" s="31">
        <f t="shared" si="342"/>
        <v>1.1499999999999999</v>
      </c>
      <c r="P306" s="32">
        <f t="shared" si="343"/>
        <v>0</v>
      </c>
      <c r="Q306" s="29"/>
      <c r="R306" s="29"/>
      <c r="S306" s="33">
        <v>2600</v>
      </c>
      <c r="T306" s="34">
        <v>1.3</v>
      </c>
      <c r="U306" s="33">
        <f t="shared" si="344"/>
        <v>3380</v>
      </c>
      <c r="Y306">
        <f t="shared" si="304"/>
        <v>0</v>
      </c>
      <c r="AA306">
        <f t="shared" si="305"/>
        <v>39000</v>
      </c>
    </row>
    <row r="307" spans="1:27">
      <c r="A307" s="6" t="s">
        <v>15</v>
      </c>
      <c r="B307" s="6" t="s">
        <v>555</v>
      </c>
      <c r="C307" s="6" t="s">
        <v>552</v>
      </c>
      <c r="D307" s="11">
        <v>1</v>
      </c>
      <c r="E307" s="11">
        <f t="shared" si="336"/>
        <v>0</v>
      </c>
      <c r="F307" s="11">
        <f t="shared" si="337"/>
        <v>0</v>
      </c>
      <c r="G307" s="11">
        <f t="shared" si="338"/>
        <v>9750</v>
      </c>
      <c r="H307" s="11">
        <f t="shared" si="339"/>
        <v>9750</v>
      </c>
      <c r="I307" s="11">
        <f t="shared" si="340"/>
        <v>9750</v>
      </c>
      <c r="J307" s="11">
        <f t="shared" si="341"/>
        <v>9750</v>
      </c>
      <c r="K307" s="35"/>
      <c r="L307" s="3"/>
      <c r="N307" s="30"/>
      <c r="O307" s="31">
        <f t="shared" si="342"/>
        <v>1.1499999999999999</v>
      </c>
      <c r="P307" s="32">
        <f t="shared" si="343"/>
        <v>0</v>
      </c>
      <c r="Q307" s="29"/>
      <c r="R307" s="29"/>
      <c r="S307" s="33">
        <v>7500</v>
      </c>
      <c r="T307" s="34">
        <v>1.3</v>
      </c>
      <c r="U307" s="33">
        <f t="shared" si="344"/>
        <v>9750</v>
      </c>
      <c r="Y307">
        <f t="shared" si="304"/>
        <v>0</v>
      </c>
      <c r="AA307">
        <f t="shared" si="305"/>
        <v>7500</v>
      </c>
    </row>
    <row r="308" spans="1:27">
      <c r="A308" s="6" t="s">
        <v>15</v>
      </c>
      <c r="B308" s="6" t="s">
        <v>556</v>
      </c>
      <c r="C308" s="6" t="s">
        <v>557</v>
      </c>
      <c r="D308" s="11">
        <v>30</v>
      </c>
      <c r="E308" s="11">
        <f t="shared" si="336"/>
        <v>0</v>
      </c>
      <c r="F308" s="11">
        <f t="shared" si="337"/>
        <v>0</v>
      </c>
      <c r="G308" s="11">
        <f t="shared" si="338"/>
        <v>6565</v>
      </c>
      <c r="H308" s="11">
        <f t="shared" si="339"/>
        <v>196950</v>
      </c>
      <c r="I308" s="11">
        <f t="shared" si="340"/>
        <v>6565</v>
      </c>
      <c r="J308" s="11">
        <f t="shared" si="341"/>
        <v>196950</v>
      </c>
      <c r="K308" s="35"/>
      <c r="L308" s="3"/>
      <c r="N308" s="30"/>
      <c r="O308" s="31">
        <f t="shared" si="342"/>
        <v>1.1499999999999999</v>
      </c>
      <c r="P308" s="32">
        <f t="shared" si="343"/>
        <v>0</v>
      </c>
      <c r="Q308" s="29"/>
      <c r="R308" s="29"/>
      <c r="S308" s="33">
        <v>5050</v>
      </c>
      <c r="T308" s="34">
        <v>1.3</v>
      </c>
      <c r="U308" s="33">
        <f t="shared" si="344"/>
        <v>6565</v>
      </c>
      <c r="Y308">
        <f t="shared" si="304"/>
        <v>0</v>
      </c>
      <c r="AA308">
        <f t="shared" si="305"/>
        <v>151500</v>
      </c>
    </row>
    <row r="309" spans="1:27">
      <c r="A309" s="6" t="s">
        <v>15</v>
      </c>
      <c r="B309" s="6" t="s">
        <v>558</v>
      </c>
      <c r="C309" s="6" t="s">
        <v>552</v>
      </c>
      <c r="D309" s="11">
        <v>1</v>
      </c>
      <c r="E309" s="11">
        <f t="shared" si="336"/>
        <v>0</v>
      </c>
      <c r="F309" s="11">
        <f t="shared" si="337"/>
        <v>0</v>
      </c>
      <c r="G309" s="11">
        <f t="shared" si="338"/>
        <v>15600</v>
      </c>
      <c r="H309" s="11">
        <f t="shared" si="339"/>
        <v>15600</v>
      </c>
      <c r="I309" s="11">
        <f t="shared" si="340"/>
        <v>15600</v>
      </c>
      <c r="J309" s="11">
        <f t="shared" si="341"/>
        <v>15600</v>
      </c>
      <c r="K309" s="35"/>
      <c r="L309" s="3"/>
      <c r="N309" s="30"/>
      <c r="O309" s="31">
        <f t="shared" si="342"/>
        <v>1.1499999999999999</v>
      </c>
      <c r="P309" s="32">
        <f t="shared" si="343"/>
        <v>0</v>
      </c>
      <c r="Q309" s="29"/>
      <c r="R309" s="29"/>
      <c r="S309" s="33">
        <v>12000</v>
      </c>
      <c r="T309" s="34">
        <v>1.3</v>
      </c>
      <c r="U309" s="33">
        <f t="shared" si="344"/>
        <v>15600</v>
      </c>
      <c r="Y309">
        <f t="shared" si="304"/>
        <v>0</v>
      </c>
      <c r="AA309">
        <f t="shared" si="305"/>
        <v>12000</v>
      </c>
    </row>
    <row r="310" spans="1:27">
      <c r="A310" s="6" t="s">
        <v>15</v>
      </c>
      <c r="B310" s="6" t="s">
        <v>559</v>
      </c>
      <c r="C310" s="6" t="s">
        <v>552</v>
      </c>
      <c r="D310" s="11">
        <v>1</v>
      </c>
      <c r="E310" s="11">
        <f t="shared" si="336"/>
        <v>0</v>
      </c>
      <c r="F310" s="11">
        <f t="shared" si="337"/>
        <v>0</v>
      </c>
      <c r="G310" s="11">
        <f t="shared" si="338"/>
        <v>41600</v>
      </c>
      <c r="H310" s="11">
        <f t="shared" si="339"/>
        <v>41600</v>
      </c>
      <c r="I310" s="11">
        <f t="shared" si="340"/>
        <v>41600</v>
      </c>
      <c r="J310" s="11">
        <f t="shared" si="341"/>
        <v>41600</v>
      </c>
      <c r="K310" s="35"/>
      <c r="L310" s="3"/>
      <c r="N310" s="30"/>
      <c r="O310" s="31">
        <f t="shared" si="342"/>
        <v>1.1499999999999999</v>
      </c>
      <c r="P310" s="32">
        <f t="shared" si="343"/>
        <v>0</v>
      </c>
      <c r="Q310" s="29"/>
      <c r="R310" s="29"/>
      <c r="S310" s="33">
        <v>32000</v>
      </c>
      <c r="T310" s="34">
        <v>1.3</v>
      </c>
      <c r="U310" s="33">
        <f t="shared" si="344"/>
        <v>41600</v>
      </c>
      <c r="Y310">
        <f t="shared" si="304"/>
        <v>0</v>
      </c>
      <c r="AA310">
        <f t="shared" si="305"/>
        <v>32000</v>
      </c>
    </row>
    <row r="311" spans="1:27">
      <c r="A311" s="7" t="s">
        <v>15</v>
      </c>
      <c r="B311" s="7" t="s">
        <v>560</v>
      </c>
      <c r="C311" s="7" t="s">
        <v>15</v>
      </c>
      <c r="D311" s="14"/>
      <c r="E311" s="14"/>
      <c r="F311" s="14">
        <f>SUM(F301:F310)</f>
        <v>9200</v>
      </c>
      <c r="G311" s="14"/>
      <c r="H311" s="14">
        <f>SUM(H301:H310)</f>
        <v>349505</v>
      </c>
      <c r="I311" s="14"/>
      <c r="J311" s="14">
        <f>SUM(J301:J310)</f>
        <v>358705</v>
      </c>
      <c r="K311" s="35"/>
      <c r="L311" s="3"/>
      <c r="Y311">
        <f t="shared" si="304"/>
        <v>0</v>
      </c>
      <c r="AA311">
        <f t="shared" si="305"/>
        <v>0</v>
      </c>
    </row>
    <row r="312" spans="1:27">
      <c r="A312" s="6" t="s">
        <v>15</v>
      </c>
      <c r="B312" s="6" t="s">
        <v>15</v>
      </c>
      <c r="C312" s="6" t="s">
        <v>15</v>
      </c>
      <c r="D312" s="11"/>
      <c r="E312" s="11"/>
      <c r="F312" s="11"/>
      <c r="G312" s="11"/>
      <c r="H312" s="11"/>
      <c r="I312" s="11">
        <f>E312+G312</f>
        <v>0</v>
      </c>
      <c r="J312" s="11">
        <f>F312+H312</f>
        <v>0</v>
      </c>
      <c r="K312" s="35"/>
      <c r="L312" s="3"/>
      <c r="Y312">
        <f t="shared" si="304"/>
        <v>0</v>
      </c>
      <c r="AA312">
        <f t="shared" si="305"/>
        <v>0</v>
      </c>
    </row>
    <row r="313" spans="1:27" ht="24.6">
      <c r="A313" s="5" t="s">
        <v>15</v>
      </c>
      <c r="B313" s="19" t="s">
        <v>561</v>
      </c>
      <c r="C313" s="5" t="s">
        <v>15</v>
      </c>
      <c r="D313" s="13"/>
      <c r="E313" s="13"/>
      <c r="F313" s="13">
        <f>SUM(F6,F8:F13,F15,F17:F47,F49,F51:F65,F67,F69:F139,F141,F143,F145,F147:F164,F166,F168:F178,F180,F182:F219,F221,F223:F229,F231,F233:F269,F271,F273:F290,F292,F294:F297,F299,F301:F310,F312:F312)</f>
        <v>1543165.9828691108</v>
      </c>
      <c r="G313" s="13"/>
      <c r="H313" s="13">
        <f>SUM(H6,H8:H13,H15,H17:H47,H49,H51:H65,H67,H69:H139,H141,H143,H145,H147:H164,H166,H168:H178,H180,H182:H219,H221,H223:H229,H231,H233:H269,H271,H273:H290,H292,H294:H297,H299,H301:H310,H312:H312)</f>
        <v>1961710.4</v>
      </c>
      <c r="I313" s="13"/>
      <c r="J313" s="13">
        <f>SUM(J6,J8:J13,J15,J17:J47,J49,J51:J65,J67,J69:J139,J141,J143,J145,J147:J164,J166,J168:J178,J180,J182:J219,J221,J223:J229,J231,J233:J269,J271,J273:J290,J292,J294:J297,J299,J301:J310,J312:J312)</f>
        <v>3504876.3828691109</v>
      </c>
      <c r="K313" s="35"/>
      <c r="L313" s="3"/>
      <c r="Y313">
        <f t="shared" si="304"/>
        <v>0</v>
      </c>
      <c r="AA313">
        <f t="shared" si="305"/>
        <v>0</v>
      </c>
    </row>
    <row r="314" spans="1:27">
      <c r="A314" s="6" t="s">
        <v>15</v>
      </c>
      <c r="B314" s="6" t="s">
        <v>15</v>
      </c>
      <c r="C314" s="6" t="s">
        <v>15</v>
      </c>
      <c r="D314" s="11"/>
      <c r="E314" s="11"/>
      <c r="F314" s="11"/>
      <c r="G314" s="11"/>
      <c r="H314" s="11"/>
      <c r="I314" s="11">
        <f>E314+G314</f>
        <v>0</v>
      </c>
      <c r="J314" s="11">
        <f>F314+H314</f>
        <v>0</v>
      </c>
      <c r="K314" s="35"/>
      <c r="L314" s="3"/>
      <c r="Y314">
        <f t="shared" si="304"/>
        <v>0</v>
      </c>
      <c r="AA314">
        <f t="shared" si="305"/>
        <v>0</v>
      </c>
    </row>
    <row r="315" spans="1:27">
      <c r="A315" s="6" t="s">
        <v>15</v>
      </c>
      <c r="B315" s="6" t="s">
        <v>562</v>
      </c>
      <c r="C315" s="6" t="s">
        <v>15</v>
      </c>
      <c r="D315" s="11"/>
      <c r="E315" s="11">
        <f>SUM(P315)</f>
        <v>0</v>
      </c>
      <c r="F315" s="11">
        <f>D315*E315</f>
        <v>0</v>
      </c>
      <c r="G315" s="11">
        <f>SUM(U315)</f>
        <v>0</v>
      </c>
      <c r="H315" s="11">
        <f>D315*G315</f>
        <v>0</v>
      </c>
      <c r="I315" s="11">
        <f>E315+G315</f>
        <v>0</v>
      </c>
      <c r="J315" s="11">
        <f>F315+H315</f>
        <v>0</v>
      </c>
      <c r="K315" s="35"/>
      <c r="L315" s="3"/>
      <c r="N315" s="30"/>
      <c r="O315" s="31">
        <f>$O$1</f>
        <v>1.1499999999999999</v>
      </c>
      <c r="P315" s="32">
        <f>SUM(O315*N315)</f>
        <v>0</v>
      </c>
      <c r="Q315" s="29"/>
      <c r="R315" s="29"/>
      <c r="S315" s="33"/>
      <c r="T315" s="34">
        <f>$T$1</f>
        <v>1.2</v>
      </c>
      <c r="U315" s="33">
        <f>SUM(T315*S315)</f>
        <v>0</v>
      </c>
      <c r="Y315">
        <f t="shared" si="304"/>
        <v>0</v>
      </c>
      <c r="AA315">
        <f t="shared" si="305"/>
        <v>0</v>
      </c>
    </row>
    <row r="316" spans="1:27">
      <c r="A316" s="4" t="s">
        <v>15</v>
      </c>
      <c r="B316" s="4" t="s">
        <v>563</v>
      </c>
      <c r="C316" s="4" t="s">
        <v>15</v>
      </c>
      <c r="D316" s="12"/>
      <c r="E316" s="12"/>
      <c r="F316" s="12">
        <f>SUM(F4,F6,F8:F13,F15,F17:F47,F49,F51:F65,F67,F69:F139,F141,F143,F145,F147:F164,F166,F168:F178,F180,F182:F219,F221,F223:F229,F231,F233:F269,F271,F273:F290,F292,F294:F297,F299,F301:F310,F312,F314:F315)</f>
        <v>1543165.9828691108</v>
      </c>
      <c r="G316" s="12"/>
      <c r="H316" s="12">
        <f>SUM(H4,H6,H8:H13,H15,H17:H47,H49,H51:H65,H67,H69:H139,H141,H143,H145,H147:H164,H166,H168:H178,H180,H182:H219,H221,H223:H229,H231,H233:H269,H271,H273:H290,H292,H294:H297,H299,H301:H310,H312,H314:H315)</f>
        <v>1961710.4</v>
      </c>
      <c r="I316" s="12"/>
      <c r="J316" s="12">
        <f>SUM(J4,J6,J8:J13,J15,J17:J47,J49,J51:J65,J67,J69:J139,J141,J143,J145,J147:J164,J166,J168:J178,J180,J182:J219,J221,J223:J229,J231,J233:J269,J271,J273:J290,J292,J294:J297,J299,J301:J310,J312,J314:J315)</f>
        <v>3504876.3828691109</v>
      </c>
      <c r="K316" s="35"/>
      <c r="L316" s="3"/>
    </row>
    <row r="317" spans="1:27">
      <c r="A317" s="6" t="s">
        <v>15</v>
      </c>
      <c r="B317" s="6" t="s">
        <v>15</v>
      </c>
      <c r="C317" s="6" t="s">
        <v>15</v>
      </c>
      <c r="D317" s="11"/>
      <c r="E317" s="11"/>
      <c r="F317" s="11"/>
      <c r="G317" s="11"/>
      <c r="H317" s="11"/>
      <c r="I317" s="11">
        <f>E317+G317</f>
        <v>0</v>
      </c>
      <c r="J317" s="11">
        <f>F317+H317</f>
        <v>0</v>
      </c>
      <c r="K317" s="35"/>
      <c r="L317" s="3"/>
    </row>
    <row r="318" spans="1:27">
      <c r="A318" s="4" t="s">
        <v>15</v>
      </c>
      <c r="B318" s="4" t="s">
        <v>564</v>
      </c>
      <c r="C318" s="4" t="s">
        <v>15</v>
      </c>
      <c r="D318" s="12"/>
      <c r="E318" s="12"/>
      <c r="F318" s="12"/>
      <c r="G318" s="12"/>
      <c r="H318" s="12"/>
      <c r="I318" s="12"/>
      <c r="J318" s="12"/>
      <c r="K318" s="35"/>
      <c r="L318" s="3"/>
    </row>
    <row r="319" spans="1:27">
      <c r="A319" s="6" t="s">
        <v>15</v>
      </c>
      <c r="B319" s="6" t="s">
        <v>15</v>
      </c>
      <c r="C319" s="6" t="s">
        <v>15</v>
      </c>
      <c r="D319" s="11"/>
      <c r="E319" s="11"/>
      <c r="F319" s="11"/>
      <c r="G319" s="11"/>
      <c r="H319" s="11"/>
      <c r="I319" s="11">
        <f>E319+G319</f>
        <v>0</v>
      </c>
      <c r="J319" s="11">
        <f>F319+H319</f>
        <v>0</v>
      </c>
      <c r="K319" s="35"/>
      <c r="L319" s="3"/>
    </row>
    <row r="320" spans="1:27">
      <c r="A320" s="15" t="s">
        <v>565</v>
      </c>
      <c r="B320" s="15" t="s">
        <v>566</v>
      </c>
      <c r="C320" s="15" t="s">
        <v>15</v>
      </c>
      <c r="D320" s="16"/>
      <c r="E320" s="16"/>
      <c r="F320" s="16"/>
      <c r="G320" s="16"/>
      <c r="H320" s="16"/>
      <c r="I320" s="16"/>
      <c r="J320" s="16"/>
      <c r="K320" s="35"/>
      <c r="L320" s="3"/>
    </row>
    <row r="321" spans="1:32" s="24" customFormat="1">
      <c r="A321" s="21" t="s">
        <v>567</v>
      </c>
      <c r="B321" s="21" t="s">
        <v>568</v>
      </c>
      <c r="C321" s="21" t="s">
        <v>84</v>
      </c>
      <c r="D321" s="22">
        <v>360</v>
      </c>
      <c r="E321" s="22"/>
      <c r="F321" s="22">
        <f>D321*E321</f>
        <v>0</v>
      </c>
      <c r="G321" s="22"/>
      <c r="H321" s="22">
        <f>D321*G321</f>
        <v>0</v>
      </c>
      <c r="I321" s="22">
        <f>E321+G321</f>
        <v>0</v>
      </c>
      <c r="J321" s="22">
        <f>F321+H321</f>
        <v>0</v>
      </c>
      <c r="K321" s="37"/>
      <c r="L321" s="23"/>
    </row>
    <row r="322" spans="1:32">
      <c r="A322" s="15" t="s">
        <v>569</v>
      </c>
      <c r="B322" s="15" t="s">
        <v>570</v>
      </c>
      <c r="C322" s="15" t="s">
        <v>15</v>
      </c>
      <c r="D322" s="16"/>
      <c r="E322" s="16"/>
      <c r="F322" s="16"/>
      <c r="G322" s="16"/>
      <c r="H322" s="16"/>
      <c r="I322" s="16"/>
      <c r="J322" s="16"/>
      <c r="K322" s="35"/>
      <c r="L322" s="3"/>
    </row>
    <row r="323" spans="1:32" s="24" customFormat="1">
      <c r="A323" s="21" t="s">
        <v>571</v>
      </c>
      <c r="B323" s="21" t="s">
        <v>568</v>
      </c>
      <c r="C323" s="21" t="s">
        <v>84</v>
      </c>
      <c r="D323" s="22">
        <v>360</v>
      </c>
      <c r="E323" s="22"/>
      <c r="F323" s="22">
        <f>D323*E323</f>
        <v>0</v>
      </c>
      <c r="G323" s="22"/>
      <c r="H323" s="22">
        <f>D323*G323</f>
        <v>0</v>
      </c>
      <c r="I323" s="22">
        <f>E323+G323</f>
        <v>0</v>
      </c>
      <c r="J323" s="22">
        <f>F323+H323</f>
        <v>0</v>
      </c>
      <c r="K323" s="37"/>
      <c r="L323" s="23"/>
    </row>
    <row r="324" spans="1:32">
      <c r="A324" s="6" t="s">
        <v>15</v>
      </c>
      <c r="B324" s="6" t="s">
        <v>15</v>
      </c>
      <c r="C324" s="6" t="s">
        <v>15</v>
      </c>
      <c r="D324" s="11"/>
      <c r="E324" s="11"/>
      <c r="F324" s="11"/>
      <c r="G324" s="11"/>
      <c r="H324" s="11"/>
      <c r="I324" s="11">
        <f>E324+G324</f>
        <v>0</v>
      </c>
      <c r="J324" s="11">
        <f>F324+H324</f>
        <v>0</v>
      </c>
      <c r="K324" s="35"/>
      <c r="L324" s="3"/>
    </row>
    <row r="325" spans="1:32">
      <c r="A325" s="4" t="s">
        <v>15</v>
      </c>
      <c r="B325" s="4" t="s">
        <v>572</v>
      </c>
      <c r="C325" s="4" t="s">
        <v>15</v>
      </c>
      <c r="D325" s="12"/>
      <c r="E325" s="12"/>
      <c r="F325" s="12">
        <f>SUM(F319:F324)</f>
        <v>0</v>
      </c>
      <c r="G325" s="12"/>
      <c r="H325" s="12">
        <f>SUM(H319:H324)</f>
        <v>0</v>
      </c>
      <c r="I325" s="12"/>
      <c r="J325" s="12">
        <f>SUM(J319:J324)</f>
        <v>0</v>
      </c>
      <c r="K325" s="35"/>
      <c r="L325" s="3"/>
      <c r="Y325" s="39">
        <f>SUM(Y8:Y324)</f>
        <v>1341883.463364444</v>
      </c>
      <c r="Z325" s="39"/>
      <c r="AA325" s="39">
        <f>SUM(AA8:AA324)</f>
        <v>1612354.5</v>
      </c>
    </row>
    <row r="326" spans="1:32">
      <c r="A326" s="6" t="s">
        <v>15</v>
      </c>
      <c r="B326" s="6" t="s">
        <v>15</v>
      </c>
      <c r="C326" s="6" t="s">
        <v>15</v>
      </c>
      <c r="D326" s="11"/>
      <c r="E326" s="11"/>
      <c r="F326" s="11"/>
      <c r="G326" s="11"/>
      <c r="H326" s="11"/>
      <c r="I326" s="11">
        <f>E326+G326</f>
        <v>0</v>
      </c>
      <c r="J326" s="11">
        <f>F326+H326</f>
        <v>0</v>
      </c>
      <c r="K326" s="35"/>
      <c r="L326" s="3"/>
    </row>
    <row r="327" spans="1:32">
      <c r="Y327" s="41">
        <f>SUM(Y325:AA325)</f>
        <v>2954237.9633644437</v>
      </c>
      <c r="Z327" s="42"/>
      <c r="AA327" s="42"/>
      <c r="AC327" s="43" t="e">
        <f>SUM(Rekapitulace!C24)</f>
        <v>#VALUE!</v>
      </c>
      <c r="AD327" s="42"/>
      <c r="AF327" s="40" t="e">
        <f>(AC327/Y327)-1</f>
        <v>#VALUE!</v>
      </c>
    </row>
  </sheetData>
  <mergeCells count="2">
    <mergeCell ref="Y327:AA327"/>
    <mergeCell ref="AC327:AD327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4"/>
  <sheetViews>
    <sheetView workbookViewId="0"/>
  </sheetViews>
  <sheetFormatPr defaultRowHeight="15.6"/>
  <cols>
    <col min="1" max="1" width="22.19921875" style="1" bestFit="1" customWidth="1"/>
    <col min="2" max="2" width="75.09765625" style="1" bestFit="1" customWidth="1"/>
    <col min="4" max="4" width="0" hidden="1" customWidth="1"/>
  </cols>
  <sheetData>
    <row r="1" spans="1:3">
      <c r="A1" s="2" t="s">
        <v>0</v>
      </c>
      <c r="B1" s="2" t="s">
        <v>1</v>
      </c>
      <c r="C1" s="3"/>
    </row>
    <row r="2" spans="1:3">
      <c r="A2" s="2" t="s">
        <v>2</v>
      </c>
      <c r="B2" s="4" t="s">
        <v>3</v>
      </c>
      <c r="C2" s="3"/>
    </row>
    <row r="3" spans="1:3">
      <c r="A3" s="2" t="s">
        <v>4</v>
      </c>
      <c r="B3" s="5" t="s">
        <v>5</v>
      </c>
      <c r="C3" s="3"/>
    </row>
    <row r="4" spans="1:3">
      <c r="A4" s="2" t="s">
        <v>6</v>
      </c>
      <c r="B4" s="5" t="s">
        <v>7</v>
      </c>
      <c r="C4" s="3"/>
    </row>
    <row r="5" spans="1:3">
      <c r="A5" s="2" t="s">
        <v>8</v>
      </c>
      <c r="B5" s="5" t="s">
        <v>9</v>
      </c>
      <c r="C5" s="3"/>
    </row>
    <row r="6" spans="1:3">
      <c r="A6" s="2" t="s">
        <v>10</v>
      </c>
      <c r="B6" s="5" t="s">
        <v>11</v>
      </c>
      <c r="C6" s="3"/>
    </row>
    <row r="7" spans="1:3">
      <c r="A7" s="2" t="s">
        <v>12</v>
      </c>
      <c r="B7" s="5" t="s">
        <v>13</v>
      </c>
      <c r="C7" s="3"/>
    </row>
    <row r="8" spans="1:3">
      <c r="A8" s="2" t="s">
        <v>14</v>
      </c>
      <c r="B8" s="5" t="s">
        <v>15</v>
      </c>
      <c r="C8" s="3"/>
    </row>
    <row r="9" spans="1:3">
      <c r="A9" s="2" t="s">
        <v>16</v>
      </c>
      <c r="B9" s="5" t="s">
        <v>17</v>
      </c>
      <c r="C9" s="3"/>
    </row>
    <row r="10" spans="1:3">
      <c r="A10" s="2" t="s">
        <v>18</v>
      </c>
      <c r="B10" s="5" t="s">
        <v>17</v>
      </c>
      <c r="C10" s="3"/>
    </row>
    <row r="11" spans="1:3">
      <c r="A11" s="2" t="s">
        <v>19</v>
      </c>
      <c r="B11" s="5" t="s">
        <v>20</v>
      </c>
      <c r="C11" s="3"/>
    </row>
    <row r="12" spans="1:3">
      <c r="A12" s="2" t="s">
        <v>21</v>
      </c>
      <c r="B12" s="5" t="s">
        <v>22</v>
      </c>
      <c r="C12" s="3"/>
    </row>
    <row r="13" spans="1:3">
      <c r="A13" s="2" t="s">
        <v>23</v>
      </c>
      <c r="B13" s="5" t="s">
        <v>24</v>
      </c>
      <c r="C13" s="3"/>
    </row>
    <row r="14" spans="1:3">
      <c r="A14" s="2" t="s">
        <v>25</v>
      </c>
      <c r="B14" s="5" t="s">
        <v>26</v>
      </c>
      <c r="C14" s="3"/>
    </row>
    <row r="15" spans="1:3">
      <c r="A15" s="2" t="s">
        <v>15</v>
      </c>
      <c r="B15" s="6" t="s">
        <v>15</v>
      </c>
      <c r="C15" s="3"/>
    </row>
    <row r="16" spans="1:3">
      <c r="A16" s="2" t="s">
        <v>27</v>
      </c>
      <c r="B16" s="7" t="s">
        <v>28</v>
      </c>
      <c r="C16" s="3"/>
    </row>
    <row r="17" spans="1:3">
      <c r="A17" s="2" t="s">
        <v>29</v>
      </c>
      <c r="B17" s="7" t="s">
        <v>30</v>
      </c>
      <c r="C17" s="3"/>
    </row>
    <row r="18" spans="1:3">
      <c r="A18" s="2" t="s">
        <v>31</v>
      </c>
      <c r="B18" s="7" t="s">
        <v>30</v>
      </c>
      <c r="C18" s="3"/>
    </row>
    <row r="19" spans="1:3">
      <c r="A19" s="2" t="s">
        <v>32</v>
      </c>
      <c r="B19" s="7" t="s">
        <v>33</v>
      </c>
      <c r="C19" s="3"/>
    </row>
    <row r="20" spans="1:3">
      <c r="A20" s="2" t="s">
        <v>34</v>
      </c>
      <c r="B20" s="7" t="s">
        <v>33</v>
      </c>
      <c r="C20" s="3"/>
    </row>
    <row r="21" spans="1:3">
      <c r="A21" s="2" t="s">
        <v>35</v>
      </c>
      <c r="B21" s="7" t="s">
        <v>33</v>
      </c>
      <c r="C21" s="3"/>
    </row>
    <row r="22" spans="1:3">
      <c r="A22" s="2" t="s">
        <v>36</v>
      </c>
      <c r="B22" s="7" t="s">
        <v>33</v>
      </c>
      <c r="C22" s="3"/>
    </row>
    <row r="23" spans="1:3">
      <c r="A23" s="2" t="s">
        <v>37</v>
      </c>
      <c r="B23" s="7" t="s">
        <v>33</v>
      </c>
      <c r="C23" s="3"/>
    </row>
    <row r="24" spans="1:3">
      <c r="A24" s="2" t="s">
        <v>38</v>
      </c>
      <c r="B24" s="7" t="s">
        <v>33</v>
      </c>
      <c r="C24" s="3"/>
    </row>
    <row r="25" spans="1:3">
      <c r="A25" s="2" t="s">
        <v>39</v>
      </c>
      <c r="B25" s="7" t="s">
        <v>33</v>
      </c>
      <c r="C25" s="3"/>
    </row>
    <row r="26" spans="1:3">
      <c r="A26" s="2" t="s">
        <v>40</v>
      </c>
      <c r="B26" s="7" t="s">
        <v>41</v>
      </c>
      <c r="C26" s="3"/>
    </row>
    <row r="27" spans="1:3">
      <c r="A27" s="2" t="s">
        <v>42</v>
      </c>
      <c r="B27" s="7" t="s">
        <v>33</v>
      </c>
      <c r="C27" s="3"/>
    </row>
    <row r="28" spans="1:3">
      <c r="A28" s="2" t="s">
        <v>43</v>
      </c>
      <c r="B28" s="7" t="s">
        <v>33</v>
      </c>
      <c r="C28" s="3"/>
    </row>
    <row r="29" spans="1:3">
      <c r="A29" s="2" t="s">
        <v>44</v>
      </c>
      <c r="B29" s="7" t="s">
        <v>33</v>
      </c>
      <c r="C29" s="3"/>
    </row>
    <row r="30" spans="1:3">
      <c r="A30" s="2" t="s">
        <v>45</v>
      </c>
      <c r="B30" s="7" t="s">
        <v>33</v>
      </c>
      <c r="C30" s="3"/>
    </row>
    <row r="31" spans="1:3" ht="21.6">
      <c r="A31" s="8" t="s">
        <v>46</v>
      </c>
      <c r="B31" s="7" t="s">
        <v>47</v>
      </c>
      <c r="C31" s="3"/>
    </row>
    <row r="32" spans="1:3">
      <c r="A32" s="2" t="s">
        <v>48</v>
      </c>
      <c r="B32" s="7" t="s">
        <v>49</v>
      </c>
      <c r="C32" s="3"/>
    </row>
    <row r="33" spans="1:2">
      <c r="A33" s="1" t="s">
        <v>50</v>
      </c>
      <c r="B33" s="1">
        <v>1</v>
      </c>
    </row>
    <row r="34" spans="1:2">
      <c r="A34" s="1" t="s">
        <v>51</v>
      </c>
      <c r="B34" s="1">
        <v>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Rekapitulace</vt:lpstr>
      <vt:lpstr>Rozpočet</vt:lpstr>
      <vt:lpstr>Parametry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zemo</dc:creator>
  <cp:lastModifiedBy>Miloslav Brožík</cp:lastModifiedBy>
  <dcterms:created xsi:type="dcterms:W3CDTF">2024-04-08T13:22:18Z</dcterms:created>
  <dcterms:modified xsi:type="dcterms:W3CDTF">2025-01-21T22:14:40Z</dcterms:modified>
</cp:coreProperties>
</file>