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raterasro-my.sharepoint.com/personal/martinhrabcik_straterasro_onmicrosoft_com/Documents/Stratera/01_Zakázky/02_Cenění/2025_cenění/25012_DEKMETAL/03_Rozpočty/"/>
    </mc:Choice>
  </mc:AlternateContent>
  <xr:revisionPtr revIDLastSave="326" documentId="8_{F30D5FEA-8B51-4DFB-A8A0-10979C48960F}" xr6:coauthVersionLast="47" xr6:coauthVersionMax="47" xr10:uidLastSave="{2D7C37DA-D773-4592-9565-42EBD3D5D846}"/>
  <bookViews>
    <workbookView xWindow="28680" yWindow="-120" windowWidth="51840" windowHeight="21120" activeTab="1" xr2:uid="{00000000-000D-0000-FFFF-FFFF00000000}"/>
  </bookViews>
  <sheets>
    <sheet name="Krycí list" sheetId="1" r:id="rId1"/>
    <sheet name="elektro" sheetId="2" r:id="rId2"/>
  </sheets>
  <definedNames>
    <definedName name="_xlnm.Print_Area" localSheetId="1">elektro!$A$1:$K$77</definedName>
    <definedName name="_xlnm.Print_Area" localSheetId="0">'Krycí list'!$A$1:$C$25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8" i="2" l="1"/>
  <c r="H48" i="2" s="1"/>
  <c r="G39" i="2"/>
  <c r="H39" i="2" s="1"/>
  <c r="G38" i="2"/>
  <c r="H38" i="2" s="1"/>
  <c r="G19" i="2"/>
  <c r="H19" i="2" s="1"/>
  <c r="G12" i="2" l="1"/>
  <c r="H12" i="2" s="1"/>
  <c r="G15" i="2"/>
  <c r="H15" i="2" s="1"/>
  <c r="G14" i="2"/>
  <c r="H14" i="2" s="1"/>
  <c r="G13" i="2"/>
  <c r="H13" i="2" s="1"/>
  <c r="G11" i="2"/>
  <c r="H11" i="2" s="1"/>
  <c r="G10" i="2"/>
  <c r="H10" i="2" s="1"/>
  <c r="G47" i="2"/>
  <c r="H47" i="2" s="1"/>
  <c r="G46" i="2"/>
  <c r="H46" i="2" s="1"/>
  <c r="G45" i="2"/>
  <c r="H45" i="2" s="1"/>
  <c r="G44" i="2"/>
  <c r="G43" i="2"/>
  <c r="H43" i="2" s="1"/>
  <c r="G42" i="2"/>
  <c r="H42" i="2" s="1"/>
  <c r="H44" i="2"/>
  <c r="G53" i="2" l="1"/>
  <c r="H53" i="2" s="1"/>
  <c r="G71" i="2"/>
  <c r="H71" i="2" s="1"/>
  <c r="G70" i="2"/>
  <c r="H70" i="2" s="1"/>
  <c r="G52" i="2"/>
  <c r="H52" i="2" s="1"/>
  <c r="G51" i="2"/>
  <c r="H51" i="2" s="1"/>
  <c r="G60" i="2"/>
  <c r="H60" i="2" s="1"/>
  <c r="G57" i="2"/>
  <c r="H57" i="2" s="1"/>
  <c r="G58" i="2"/>
  <c r="H58" i="2" s="1"/>
  <c r="G59" i="2"/>
  <c r="H59" i="2" s="1"/>
  <c r="G28" i="2"/>
  <c r="H28" i="2" s="1"/>
  <c r="H40" i="2"/>
  <c r="H41" i="2"/>
  <c r="G37" i="2" l="1"/>
  <c r="H37" i="2" s="1"/>
  <c r="G36" i="2"/>
  <c r="H36" i="2" s="1"/>
  <c r="G35" i="2"/>
  <c r="H35" i="2" s="1"/>
  <c r="G34" i="2"/>
  <c r="H34" i="2" s="1"/>
  <c r="G33" i="2"/>
  <c r="H33" i="2" s="1"/>
  <c r="G20" i="2" l="1"/>
  <c r="H20" i="2" s="1"/>
  <c r="G73" i="2"/>
  <c r="H73" i="2" s="1"/>
  <c r="G74" i="2"/>
  <c r="H74" i="2" s="1"/>
  <c r="G72" i="2"/>
  <c r="H72" i="2" s="1"/>
  <c r="H68" i="2" l="1"/>
  <c r="C13" i="1" s="1"/>
  <c r="G21" i="2"/>
  <c r="H21" i="2" s="1"/>
  <c r="G27" i="2"/>
  <c r="H27" i="2" s="1"/>
  <c r="G24" i="2"/>
  <c r="H24" i="2" s="1"/>
  <c r="G18" i="2"/>
  <c r="H18" i="2" s="1"/>
  <c r="G26" i="2"/>
  <c r="H26" i="2" s="1"/>
  <c r="G22" i="2"/>
  <c r="H22" i="2" s="1"/>
  <c r="G23" i="2"/>
  <c r="H23" i="2" s="1"/>
  <c r="G25" i="2"/>
  <c r="H25" i="2" s="1"/>
  <c r="H8" i="2" l="1"/>
  <c r="C12" i="1" s="1"/>
  <c r="C15" i="1" s="1"/>
</calcChain>
</file>

<file path=xl/sharedStrings.xml><?xml version="1.0" encoding="utf-8"?>
<sst xmlns="http://schemas.openxmlformats.org/spreadsheetml/2006/main" count="142" uniqueCount="101">
  <si>
    <t>Datum vypracování:</t>
  </si>
  <si>
    <t>Akce:</t>
  </si>
  <si>
    <t>Obchodní nabídka - rekapitulace</t>
  </si>
  <si>
    <t>Položky</t>
  </si>
  <si>
    <t>vypracoval :</t>
  </si>
  <si>
    <t>mob. :</t>
  </si>
  <si>
    <t>e-mail :</t>
  </si>
  <si>
    <t>SOUPIS PRACÍ A DODÁVEK</t>
  </si>
  <si>
    <t>Popis</t>
  </si>
  <si>
    <t>MJ</t>
  </si>
  <si>
    <t>5</t>
  </si>
  <si>
    <t>6</t>
  </si>
  <si>
    <t>7</t>
  </si>
  <si>
    <t>8</t>
  </si>
  <si>
    <t>9</t>
  </si>
  <si>
    <t>Cena celkem bez DPH</t>
  </si>
  <si>
    <t>Brožík Miloslav</t>
  </si>
  <si>
    <t>miloslav@stratera.cz</t>
  </si>
  <si>
    <t>Ostatní úkony</t>
  </si>
  <si>
    <t>STRATERA s.r.o.</t>
  </si>
  <si>
    <t>IČ: 04290054</t>
  </si>
  <si>
    <t>Množství</t>
  </si>
  <si>
    <t>Dodávka</t>
  </si>
  <si>
    <t>Montáž</t>
  </si>
  <si>
    <t>Cena D+M</t>
  </si>
  <si>
    <t>Cena celkem</t>
  </si>
  <si>
    <t>Popis nabízeného</t>
  </si>
  <si>
    <t>kpl</t>
  </si>
  <si>
    <t>Poznámka:</t>
  </si>
  <si>
    <t>CENA CELKEM ELEKTRO bez DPH</t>
  </si>
  <si>
    <t xml:space="preserve">Projekt:  DEPO DEK </t>
  </si>
  <si>
    <t>Položky elektroinstalace</t>
  </si>
  <si>
    <t>Ostatní</t>
  </si>
  <si>
    <t>Podnikatelská 565</t>
  </si>
  <si>
    <t>190 11, Praha 9</t>
  </si>
  <si>
    <t xml:space="preserve">Položky </t>
  </si>
  <si>
    <t>Oprava hromosvodu</t>
  </si>
  <si>
    <t>Drát AlMgSi průměr 8 mm měkký, bal.20kg</t>
  </si>
  <si>
    <t>JP 20 Al O 16 Jímací tyč O 16</t>
  </si>
  <si>
    <t>ks</t>
  </si>
  <si>
    <t>Pod-bet - D 337 + klín Podstavec</t>
  </si>
  <si>
    <t>Plast podl D 370 Podložka</t>
  </si>
  <si>
    <t>Svorka k jímací tyči O</t>
  </si>
  <si>
    <t>PV 21 plast. pyr.o 8 Podpěra</t>
  </si>
  <si>
    <t xml:space="preserve">SU Svorka univerzální </t>
  </si>
  <si>
    <t xml:space="preserve">SS Svorka spojovací </t>
  </si>
  <si>
    <t>Návoz plošiny nůžkové 14M</t>
  </si>
  <si>
    <t>Odvoz plošiny nůžkové 14M</t>
  </si>
  <si>
    <t>Pronájem plošiny</t>
  </si>
  <si>
    <t>den</t>
  </si>
  <si>
    <t>2025_01</t>
  </si>
  <si>
    <t>Uzemnění</t>
  </si>
  <si>
    <t>Hromosvod</t>
  </si>
  <si>
    <t>Kabelové trasy</t>
  </si>
  <si>
    <t>Kabeláže</t>
  </si>
  <si>
    <t>Koncové prvky</t>
  </si>
  <si>
    <t>Osvětlení</t>
  </si>
  <si>
    <t>Rozvaděč</t>
  </si>
  <si>
    <t>ZP 30x4</t>
  </si>
  <si>
    <t>m</t>
  </si>
  <si>
    <t>Svorka pásek/pásek</t>
  </si>
  <si>
    <t>Svorka pásek/drát</t>
  </si>
  <si>
    <t>Fezn 10</t>
  </si>
  <si>
    <t>Náter asfaltový</t>
  </si>
  <si>
    <t>Svár- přivaření na sloup</t>
  </si>
  <si>
    <t>Drát AlMgSi průměr 8 mm měkký isolovaný</t>
  </si>
  <si>
    <t>Svorka zkušební</t>
  </si>
  <si>
    <t>poznámka:</t>
  </si>
  <si>
    <t>V projektu najsou řešeny jímače</t>
  </si>
  <si>
    <t>Kabelový žlab 200/100</t>
  </si>
  <si>
    <t>Konzoel 200 na zeď</t>
  </si>
  <si>
    <t>Konzole G200 pro zavěšení</t>
  </si>
  <si>
    <t>Lanko pro zavěšení konzole + UGY32SP300EC</t>
  </si>
  <si>
    <t>Kotvící materiál</t>
  </si>
  <si>
    <t>SOVERT,s.r.o. , SPIRIT-72 1,5ft PCc 8100/840 , 6981lm , 51W , IP66 , 4000K</t>
  </si>
  <si>
    <t>Lanko závěsné pro svítidlo</t>
  </si>
  <si>
    <t>Instalační materiál</t>
  </si>
  <si>
    <t>ZÁSUVKA NÁSTĚNNÁ - BALS typ 1015 (1x230V/16A,1x400V/16A)</t>
  </si>
  <si>
    <t>OVLADAČ NÁSTĚNNÝ VARIANT, 10A/250V,  ŘAZ.č.1/0 (tlačítko), IP44</t>
  </si>
  <si>
    <t>Trubka tuhá 25 včetně příslušenství</t>
  </si>
  <si>
    <t>R3</t>
  </si>
  <si>
    <t>bude oceněno po obdržení RPD</t>
  </si>
  <si>
    <t>Revize</t>
  </si>
  <si>
    <t xml:space="preserve">Doprava </t>
  </si>
  <si>
    <t>CYKY 3Ox1,5</t>
  </si>
  <si>
    <t>CYKY 5Jx1,5</t>
  </si>
  <si>
    <t>CYKY 5Jx4</t>
  </si>
  <si>
    <t>CXKH-V 5x2,5, (total stop)</t>
  </si>
  <si>
    <t>Krabice svorkovací IP</t>
  </si>
  <si>
    <t xml:space="preserve">kabelová žebřík stoupací </t>
  </si>
  <si>
    <t>CYKY 5Jx2,5</t>
  </si>
  <si>
    <t>vrata</t>
  </si>
  <si>
    <t>zásuvky</t>
  </si>
  <si>
    <t>světla</t>
  </si>
  <si>
    <t>ovládání</t>
  </si>
  <si>
    <t>total stop</t>
  </si>
  <si>
    <t>přívod R3</t>
  </si>
  <si>
    <t>Příchytka požárně odlná</t>
  </si>
  <si>
    <t>Sonap pro uchcení kabeláže</t>
  </si>
  <si>
    <t>Projekt:  DEK METAL</t>
  </si>
  <si>
    <t>Total stop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</si>
</sst>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9">
    <numFmt numFmtId="42" formatCode="_-* #,##0\ &quot;Kč&quot;_-;\-* #,##0\ &quot;Kč&quot;_-;_-* &quot;-&quot;\ &quot;Kč&quot;_-;_-@_-"/>
    <numFmt numFmtId="41" formatCode="_-* #,##0_-;\-* #,##0_-;_-* &quot;-&quot;_-;_-@_-"/>
    <numFmt numFmtId="44" formatCode="_-* #,##0.00\ &quot;Kč&quot;_-;\-* #,##0.00\ &quot;Kč&quot;_-;_-* &quot;-&quot;??\ &quot;Kč&quot;_-;_-@_-"/>
    <numFmt numFmtId="43" formatCode="_-* #,##0.00_-;\-* #,##0.00_-;_-* &quot;-&quot;??_-;_-@_-"/>
    <numFmt numFmtId="164" formatCode="_-* #,##0.00\ _K_č_-;\-* #,##0.00\ _K_č_-;_-* &quot;-&quot;??\ _K_č_-;_-@_-"/>
    <numFmt numFmtId="165" formatCode="&quot;$&quot;#,##0_);[Red]\(&quot;$&quot;#,##0\)"/>
    <numFmt numFmtId="166" formatCode="&quot;$&quot;#,##0.00_);[Red]\(&quot;$&quot;#,##0.00\)"/>
    <numFmt numFmtId="167" formatCode="_(&quot;$&quot;* #,##0_);_(&quot;$&quot;* \(#,##0\);_(&quot;$&quot;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(#,##0&quot;.&quot;_);;;_(@_)"/>
    <numFmt numFmtId="171" formatCode="_(#,##0.0??;\-\ #,##0.0??;&quot;–&quot;???;_(@_)"/>
    <numFmt numFmtId="172" formatCode="_(#,##0.00_);[Red]\-\ #,##0.00_);&quot;–&quot;??;_(@_)"/>
    <numFmt numFmtId="173" formatCode="_(#,##0_);[Red]\-\ #,##0_);&quot;–&quot;??;_(@_)"/>
    <numFmt numFmtId="174" formatCode="_(#,##0.0??;&quot;- &quot;#,##0.0??;\–???;_(@_)"/>
    <numFmt numFmtId="175" formatCode="_(#,##0.00_);[Red]&quot;- &quot;#,##0.00_);\–??;_(@_)"/>
    <numFmt numFmtId="176" formatCode="_(#,##0_);[Red]&quot;- &quot;#,##0_);\–??;_(@_)"/>
    <numFmt numFmtId="177" formatCode="_-* #,##0\ &quot;zł&quot;_-;\-* #,##0\ &quot;zł&quot;_-;_-* &quot;-&quot;\ &quot;zł&quot;_-;_-@_-"/>
    <numFmt numFmtId="178" formatCode="_-* #,##0&quot; zł&quot;_-;\-* #,##0&quot; zł&quot;_-;_-* &quot;- zł&quot;_-;_-@_-"/>
    <numFmt numFmtId="179" formatCode="_-* #,##0\ _z_ł_-;\-* #,##0\ _z_ł_-;_-* &quot;-&quot;\ _z_ł_-;_-@_-"/>
    <numFmt numFmtId="180" formatCode="_-* #,##0\ _z_ł_-;\-* #,##0\ _z_ł_-;_-* &quot;- &quot;_z_ł_-;_-@_-"/>
    <numFmt numFmtId="181" formatCode="_-* #,##0.00\ _z_ł_-;\-* #,##0.00\ _z_ł_-;_-* &quot;-&quot;??\ _z_ł_-;_-@_-"/>
    <numFmt numFmtId="182" formatCode="_-* #,##0.00\ _z_ł_-;\-* #,##0.00\ _z_ł_-;_-* \-??\ _z_ł_-;_-@_-"/>
    <numFmt numFmtId="183" formatCode="_-* #,##0.00\ &quot;zł&quot;_-;\-* #,##0.00\ &quot;zł&quot;_-;_-* &quot;-&quot;??\ &quot;zł&quot;_-;_-@_-"/>
    <numFmt numFmtId="184" formatCode="_-* #,##0.00&quot; zł&quot;_-;\-* #,##0.00&quot; zł&quot;_-;_-* \-??&quot; zł&quot;_-;_-@_-"/>
    <numFmt numFmtId="185" formatCode="0.0000"/>
    <numFmt numFmtId="186" formatCode="0.0"/>
    <numFmt numFmtId="187" formatCode="#,##0.00&quot; &quot;[$Kč-405];[Red]&quot;-&quot;#,##0.00&quot; &quot;[$Kč-405]"/>
    <numFmt numFmtId="188" formatCode="_-* #,##0\ &quot;z³&quot;_-;\-* #,##0\ &quot;z³&quot;_-;_-* &quot;-&quot;\ &quot;z³&quot;_-;_-@_-"/>
    <numFmt numFmtId="189" formatCode="_-* #,##0.00\ &quot;z³&quot;_-;\-* #,##0.00\ &quot;z³&quot;_-;_-* &quot;-&quot;??\ &quot;z³&quot;_-;_-@_-"/>
    <numFmt numFmtId="190" formatCode="0.000"/>
    <numFmt numFmtId="191" formatCode="#,##0\ "/>
    <numFmt numFmtId="192" formatCode="_-* #,##0.00\ _S_k_-;\-* #,##0.00\ _S_k_-;_-* &quot;-&quot;??\ _S_k_-;_-@_-"/>
    <numFmt numFmtId="193" formatCode="_-* #,##0.00\ &quot;Sk&quot;_-;\-* #,##0.00\ &quot;Sk&quot;_-;_-* &quot;-&quot;??\ &quot;Sk&quot;_-;_-@_-"/>
    <numFmt numFmtId="194" formatCode="0.0%"/>
    <numFmt numFmtId="195" formatCode="0%_);[Red]\(0%\)"/>
    <numFmt numFmtId="196" formatCode="0.0%_);[Red]\(0.0%\)"/>
    <numFmt numFmtId="197" formatCode="###,###,_);[Red]\(###,###,\)"/>
    <numFmt numFmtId="198" formatCode="###,###.0,_);[Red]\(###,###.0,\)"/>
    <numFmt numFmtId="199" formatCode="d\-mmm\-yy\ \ \ h:mm"/>
    <numFmt numFmtId="200" formatCode="#,##0.0_);[Red]\(#,##0.0\)"/>
    <numFmt numFmtId="201" formatCode="#,##0.0_);\(#,##0.0\)"/>
    <numFmt numFmtId="202" formatCode="0.00%;[Red]\-0.00%"/>
    <numFmt numFmtId="203" formatCode="mmm\-yy_)"/>
    <numFmt numFmtId="204" formatCode="0.0%;[Red]\-0.0%"/>
    <numFmt numFmtId="205" formatCode="0.0%;\(0.0%\)"/>
    <numFmt numFmtId="206" formatCode="###0_)"/>
    <numFmt numFmtId="207" formatCode="#,##0.000_);\(#,##0.000\)"/>
    <numFmt numFmtId="208" formatCode="_-* #,##0\ &quot;Kč&quot;_-;\-* #,##0\ &quot;Kč&quot;_-;_-* &quot;-&quot;??\ &quot;Kč&quot;_-;_-@_-"/>
  </numFmts>
  <fonts count="108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9"/>
      <color theme="1"/>
      <name val="Arial"/>
      <family val="2"/>
      <charset val="238"/>
    </font>
    <font>
      <b/>
      <sz val="9"/>
      <color indexed="18"/>
      <name val="Arial"/>
      <family val="2"/>
      <charset val="238"/>
    </font>
    <font>
      <b/>
      <sz val="12"/>
      <color indexed="25"/>
      <name val="Arial"/>
      <family val="2"/>
      <charset val="238"/>
    </font>
    <font>
      <sz val="9"/>
      <color indexed="8"/>
      <name val="Arial"/>
      <family val="2"/>
      <charset val="238"/>
    </font>
    <font>
      <sz val="9"/>
      <color indexed="8"/>
      <name val="Arial CE"/>
      <charset val="238"/>
    </font>
    <font>
      <b/>
      <sz val="12"/>
      <color rgb="FF000080"/>
      <name val="Arial"/>
      <family val="2"/>
      <charset val="238"/>
    </font>
    <font>
      <b/>
      <sz val="10"/>
      <color rgb="FF000080"/>
      <name val="Arial"/>
      <family val="2"/>
      <charset val="238"/>
    </font>
    <font>
      <sz val="10"/>
      <name val="Arial CE"/>
      <family val="2"/>
      <charset val="238"/>
    </font>
    <font>
      <sz val="10"/>
      <name val="Arial CE"/>
      <charset val="238"/>
    </font>
    <font>
      <sz val="10"/>
      <name val="Arial"/>
      <family val="2"/>
      <charset val="238"/>
    </font>
    <font>
      <sz val="8"/>
      <name val="MS Sans Serif"/>
      <family val="2"/>
      <charset val="238"/>
    </font>
    <font>
      <b/>
      <sz val="12"/>
      <color indexed="61"/>
      <name val="Arial"/>
      <family val="2"/>
      <charset val="238"/>
    </font>
    <font>
      <b/>
      <sz val="10"/>
      <color indexed="62"/>
      <name val="Arial"/>
      <family val="2"/>
      <charset val="238"/>
    </font>
    <font>
      <sz val="8"/>
      <name val="Arial"/>
      <family val="2"/>
    </font>
    <font>
      <sz val="10"/>
      <name val="Helv"/>
      <charset val="238"/>
    </font>
    <font>
      <sz val="12"/>
      <name val="formata"/>
    </font>
    <font>
      <b/>
      <sz val="12"/>
      <name val="Arial CE"/>
      <family val="2"/>
      <charset val="238"/>
    </font>
    <font>
      <sz val="10"/>
      <name val="Helv"/>
      <charset val="204"/>
    </font>
    <font>
      <sz val="10"/>
      <name val="Arial"/>
      <family val="2"/>
    </font>
    <font>
      <sz val="10"/>
      <name val="Helv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11"/>
      <color indexed="20"/>
      <name val="Calibri"/>
      <family val="2"/>
      <charset val="238"/>
    </font>
    <font>
      <b/>
      <sz val="11"/>
      <color indexed="52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color indexed="17"/>
      <name val="Calibri"/>
      <family val="2"/>
      <charset val="238"/>
    </font>
    <font>
      <b/>
      <i/>
      <sz val="16"/>
      <color rgb="FF000000"/>
      <name val="Arial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b/>
      <sz val="11"/>
      <color indexed="9"/>
      <name val="Calibri"/>
      <family val="2"/>
      <charset val="238"/>
    </font>
    <font>
      <sz val="11"/>
      <color indexed="62"/>
      <name val="Calibri"/>
      <family val="2"/>
      <charset val="238"/>
    </font>
    <font>
      <sz val="8"/>
      <color indexed="8"/>
      <name val=".HelveticaLightTTEE"/>
      <family val="2"/>
      <charset val="2"/>
    </font>
    <font>
      <sz val="11"/>
      <color indexed="52"/>
      <name val="Calibri"/>
      <family val="2"/>
      <charset val="238"/>
    </font>
    <font>
      <sz val="11"/>
      <color indexed="60"/>
      <name val="Calibri"/>
      <family val="2"/>
      <charset val="238"/>
    </font>
    <font>
      <b/>
      <sz val="10"/>
      <color indexed="8"/>
      <name val="Arial CE"/>
      <family val="2"/>
      <charset val="238"/>
    </font>
    <font>
      <sz val="9"/>
      <color rgb="FF000000"/>
      <name val="Arial"/>
      <family val="2"/>
      <charset val="238"/>
    </font>
    <font>
      <b/>
      <sz val="11"/>
      <color indexed="63"/>
      <name val="Calibri"/>
      <family val="2"/>
      <charset val="238"/>
    </font>
    <font>
      <sz val="8"/>
      <name val="Arial CE"/>
      <family val="2"/>
      <charset val="238"/>
    </font>
    <font>
      <b/>
      <sz val="8"/>
      <color indexed="8"/>
      <name val="Arial CE"/>
      <family val="2"/>
      <charset val="238"/>
    </font>
    <font>
      <b/>
      <sz val="8"/>
      <name val="Arial"/>
      <family val="2"/>
    </font>
    <font>
      <b/>
      <i/>
      <u/>
      <sz val="9"/>
      <color rgb="FF000000"/>
      <name val="Arial"/>
      <family val="2"/>
      <charset val="238"/>
    </font>
    <font>
      <i/>
      <sz val="10"/>
      <name val="Comic Sans MS"/>
      <family val="4"/>
    </font>
    <font>
      <sz val="12"/>
      <name val="Times New Roman"/>
      <family val="1"/>
      <charset val="238"/>
    </font>
    <font>
      <b/>
      <sz val="18"/>
      <color indexed="56"/>
      <name val="Cambria"/>
      <family val="2"/>
      <charset val="238"/>
    </font>
    <font>
      <b/>
      <sz val="11"/>
      <color indexed="8"/>
      <name val="Calibri"/>
      <family val="2"/>
      <charset val="238"/>
    </font>
    <font>
      <sz val="11"/>
      <color indexed="10"/>
      <name val="Calibri"/>
      <family val="2"/>
      <charset val="238"/>
    </font>
    <font>
      <b/>
      <sz val="10"/>
      <name val="Arial"/>
      <family val="2"/>
      <charset val="238"/>
    </font>
    <font>
      <sz val="8"/>
      <name val="Trebuchet MS"/>
      <family val="2"/>
      <charset val="238"/>
    </font>
    <font>
      <sz val="9"/>
      <name val="Arial CE"/>
      <family val="2"/>
      <charset val="238"/>
    </font>
    <font>
      <sz val="8"/>
      <name val="MS Sans Serif"/>
      <family val="2"/>
    </font>
    <font>
      <sz val="8"/>
      <name val="MS Sans Serif"/>
      <family val="2"/>
      <charset val="1"/>
    </font>
    <font>
      <sz val="12"/>
      <name val="Times New Roman CE"/>
      <family val="1"/>
      <charset val="238"/>
    </font>
    <font>
      <b/>
      <u/>
      <sz val="12"/>
      <name val="Times New Roman"/>
      <family val="1"/>
    </font>
    <font>
      <b/>
      <sz val="10"/>
      <name val="Times New Roman"/>
      <family val="1"/>
    </font>
    <font>
      <sz val="9"/>
      <name val="ＭＳ Ｐゴシック"/>
      <family val="3"/>
    </font>
    <font>
      <sz val="11"/>
      <name val="ＭＳ Ｐゴシック"/>
      <family val="3"/>
      <charset val="128"/>
    </font>
    <font>
      <b/>
      <sz val="12"/>
      <name val="Arial"/>
      <family val="2"/>
      <charset val="238"/>
    </font>
    <font>
      <b/>
      <sz val="12"/>
      <color indexed="12"/>
      <name val="formata"/>
      <charset val="238"/>
    </font>
    <font>
      <b/>
      <sz val="10"/>
      <name val="Arial CE"/>
      <charset val="238"/>
    </font>
    <font>
      <sz val="10"/>
      <name val="Arial Narrow"/>
      <family val="2"/>
      <charset val="238"/>
    </font>
    <font>
      <b/>
      <sz val="12"/>
      <name val="Arial CE"/>
      <charset val="238"/>
    </font>
    <font>
      <u/>
      <sz val="10"/>
      <color indexed="12"/>
      <name val="Arial"/>
      <family val="2"/>
      <charset val="238"/>
    </font>
    <font>
      <b/>
      <sz val="24"/>
      <name val="Tahoma"/>
      <family val="2"/>
      <charset val="238"/>
    </font>
    <font>
      <sz val="11"/>
      <name val="Arial CE"/>
      <family val="2"/>
      <charset val="238"/>
    </font>
    <font>
      <sz val="14"/>
      <name val="Tahoma"/>
      <family val="2"/>
      <charset val="238"/>
    </font>
    <font>
      <b/>
      <sz val="14"/>
      <name val="Arial CE"/>
      <charset val="238"/>
    </font>
    <font>
      <b/>
      <sz val="20"/>
      <name val="Arial"/>
      <family val="2"/>
    </font>
    <font>
      <b/>
      <sz val="11"/>
      <name val="Arial"/>
      <family val="2"/>
      <charset val="238"/>
    </font>
    <font>
      <sz val="10"/>
      <name val="MS Sans Serif"/>
      <family val="2"/>
      <charset val="238"/>
    </font>
    <font>
      <sz val="8"/>
      <name val="CG Times (E1)"/>
      <charset val="238"/>
    </font>
    <font>
      <sz val="8"/>
      <name val="Times New Roman"/>
      <family val="1"/>
      <charset val="238"/>
    </font>
    <font>
      <shadow/>
      <sz val="8"/>
      <color indexed="12"/>
      <name val="Times New Roman"/>
      <family val="1"/>
      <charset val="238"/>
    </font>
    <font>
      <sz val="10"/>
      <name val="Univers (WN)"/>
      <charset val="238"/>
    </font>
    <font>
      <sz val="11"/>
      <name val="Arial"/>
      <family val="2"/>
      <charset val="238"/>
    </font>
    <font>
      <sz val="10"/>
      <name val="Univers (E1)"/>
      <charset val="238"/>
    </font>
    <font>
      <b/>
      <sz val="12"/>
      <name val="Univers (WN)"/>
      <charset val="238"/>
    </font>
    <font>
      <b/>
      <sz val="10"/>
      <name val="Univers (WN)"/>
      <charset val="238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color indexed="16"/>
      <name val="Arial CE"/>
      <charset val="238"/>
    </font>
    <font>
      <sz val="11"/>
      <color theme="1"/>
      <name val="Calibri"/>
      <family val="2"/>
      <charset val="238"/>
      <scheme val="minor"/>
    </font>
    <font>
      <b/>
      <sz val="10"/>
      <name val="Arial CE"/>
      <charset val="238"/>
    </font>
    <font>
      <sz val="10"/>
      <name val="Arial CE"/>
      <charset val="238"/>
    </font>
    <font>
      <sz val="10"/>
      <name val="Arial Narrow"/>
      <family val="2"/>
      <charset val="238"/>
    </font>
    <font>
      <b/>
      <sz val="14"/>
      <color theme="1"/>
      <name val="Calibri"/>
      <family val="2"/>
      <charset val="238"/>
      <scheme val="minor"/>
    </font>
    <font>
      <b/>
      <sz val="10"/>
      <name val="Arial CE"/>
      <family val="2"/>
      <charset val="238"/>
    </font>
    <font>
      <b/>
      <sz val="18"/>
      <name val="Arial CE"/>
      <charset val="238"/>
    </font>
    <font>
      <b/>
      <sz val="16"/>
      <name val="Arial CE"/>
      <family val="2"/>
      <charset val="238"/>
    </font>
    <font>
      <b/>
      <sz val="10"/>
      <color indexed="9"/>
      <name val="Arial CE"/>
      <charset val="238"/>
    </font>
    <font>
      <b/>
      <sz val="12"/>
      <name val="Arial CE"/>
      <charset val="238"/>
    </font>
    <font>
      <b/>
      <sz val="9"/>
      <name val="Arial CE"/>
      <charset val="238"/>
    </font>
    <font>
      <sz val="9"/>
      <name val="Arial CE"/>
      <family val="2"/>
      <charset val="238"/>
    </font>
    <font>
      <i/>
      <sz val="9"/>
      <name val="Arial CE"/>
      <charset val="238"/>
    </font>
    <font>
      <i/>
      <sz val="8"/>
      <name val="Arial CE"/>
      <charset val="238"/>
    </font>
    <font>
      <i/>
      <u/>
      <sz val="10"/>
      <color indexed="12"/>
      <name val="Arial"/>
      <family val="2"/>
      <charset val="238"/>
    </font>
    <font>
      <sz val="9"/>
      <color theme="1"/>
      <name val="Calibri"/>
      <family val="2"/>
      <charset val="238"/>
      <scheme val="minor"/>
    </font>
    <font>
      <sz val="9"/>
      <name val="Arial CE"/>
      <charset val="238"/>
    </font>
    <font>
      <u/>
      <sz val="10"/>
      <color indexed="12"/>
      <name val="Arial"/>
      <family val="2"/>
      <charset val="238"/>
    </font>
    <font>
      <u/>
      <sz val="9"/>
      <color indexed="12"/>
      <name val="Arial"/>
      <family val="2"/>
      <charset val="238"/>
    </font>
    <font>
      <sz val="9"/>
      <name val="Arial Narrow"/>
      <family val="2"/>
      <charset val="238"/>
    </font>
    <font>
      <b/>
      <u/>
      <sz val="10"/>
      <color rgb="FF000080"/>
      <name val="Arial"/>
      <family val="2"/>
      <charset val="238"/>
    </font>
    <font>
      <sz val="10"/>
      <color indexed="64"/>
      <name val="Arial"/>
      <family val="2"/>
      <charset val="238"/>
    </font>
    <font>
      <b/>
      <u/>
      <sz val="9"/>
      <color indexed="8"/>
      <name val="Arial"/>
      <family val="2"/>
      <charset val="238"/>
    </font>
    <font>
      <sz val="9"/>
      <color rgb="FFFF0000"/>
      <name val="Arial"/>
      <family val="2"/>
      <charset val="238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00000"/>
        <bgColor indexed="64"/>
      </patternFill>
    </fill>
    <fill>
      <patternFill patternType="solid">
        <fgColor indexed="45"/>
        <bgColor indexed="29"/>
      </patternFill>
    </fill>
    <fill>
      <patternFill patternType="lightGray">
        <fgColor indexed="22"/>
      </patternFill>
    </fill>
    <fill>
      <patternFill patternType="lightGray">
        <fgColor indexed="22"/>
        <bgColor indexed="9"/>
      </patternFill>
    </fill>
    <fill>
      <patternFill patternType="solid">
        <fgColor indexed="13"/>
        <bgColor indexed="64"/>
      </patternFill>
    </fill>
    <fill>
      <patternFill patternType="gray0625"/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/>
      <right/>
      <top style="thin">
        <color indexed="55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</borders>
  <cellStyleXfs count="1030">
    <xf numFmtId="0" fontId="0" fillId="0" borderId="0"/>
    <xf numFmtId="0" fontId="2" fillId="0" borderId="0"/>
    <xf numFmtId="0" fontId="10" fillId="0" borderId="0"/>
    <xf numFmtId="0" fontId="10" fillId="0" borderId="0"/>
    <xf numFmtId="0" fontId="11" fillId="0" borderId="0"/>
    <xf numFmtId="0" fontId="13" fillId="0" borderId="0" applyAlignment="0">
      <alignment vertical="top" wrapText="1"/>
      <protection locked="0"/>
    </xf>
    <xf numFmtId="0" fontId="12" fillId="0" borderId="0"/>
    <xf numFmtId="0" fontId="1" fillId="0" borderId="0"/>
    <xf numFmtId="0" fontId="12" fillId="0" borderId="0"/>
    <xf numFmtId="44" fontId="12" fillId="0" borderId="0" applyFont="0" applyFill="0" applyBorder="0" applyAlignment="0" applyProtection="0"/>
    <xf numFmtId="0" fontId="11" fillId="0" borderId="0"/>
    <xf numFmtId="0" fontId="11" fillId="0" borderId="0"/>
    <xf numFmtId="0" fontId="1" fillId="0" borderId="0"/>
    <xf numFmtId="0" fontId="12" fillId="0" borderId="0"/>
    <xf numFmtId="0" fontId="10" fillId="0" borderId="0"/>
    <xf numFmtId="1" fontId="11" fillId="0" borderId="0">
      <alignment horizontal="center" vertical="center"/>
      <protection locked="0"/>
    </xf>
    <xf numFmtId="0" fontId="18" fillId="0" borderId="0"/>
    <xf numFmtId="49" fontId="19" fillId="0" borderId="4">
      <alignment horizontal="center" vertical="center" wrapText="1"/>
    </xf>
    <xf numFmtId="0" fontId="20" fillId="0" borderId="0"/>
    <xf numFmtId="177" fontId="12" fillId="0" borderId="0" applyFont="0" applyFill="0" applyBorder="0" applyAlignment="0" applyProtection="0"/>
    <xf numFmtId="177" fontId="12" fillId="0" borderId="0" applyFont="0" applyFill="0" applyBorder="0" applyAlignment="0" applyProtection="0"/>
    <xf numFmtId="178" fontId="21" fillId="0" borderId="0" applyFill="0" applyBorder="0" applyAlignment="0" applyProtection="0"/>
    <xf numFmtId="0" fontId="1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177" fontId="12" fillId="0" borderId="0" applyFont="0" applyFill="0" applyBorder="0" applyAlignment="0" applyProtection="0"/>
    <xf numFmtId="0" fontId="22" fillId="0" borderId="0"/>
    <xf numFmtId="0" fontId="20" fillId="0" borderId="0"/>
    <xf numFmtId="0" fontId="12" fillId="0" borderId="0"/>
    <xf numFmtId="179" fontId="12" fillId="0" borderId="0" applyFont="0" applyFill="0" applyBorder="0" applyAlignment="0" applyProtection="0"/>
    <xf numFmtId="180" fontId="21" fillId="0" borderId="0" applyFill="0" applyBorder="0" applyAlignment="0" applyProtection="0"/>
    <xf numFmtId="181" fontId="12" fillId="0" borderId="0" applyFont="0" applyFill="0" applyBorder="0" applyAlignment="0" applyProtection="0"/>
    <xf numFmtId="182" fontId="21" fillId="0" borderId="0" applyFill="0" applyBorder="0" applyAlignment="0" applyProtection="0"/>
    <xf numFmtId="183" fontId="12" fillId="0" borderId="0" applyFont="0" applyFill="0" applyBorder="0" applyAlignment="0" applyProtection="0"/>
    <xf numFmtId="184" fontId="21" fillId="0" borderId="0" applyFill="0" applyBorder="0" applyAlignment="0" applyProtection="0"/>
    <xf numFmtId="0" fontId="12" fillId="0" borderId="0"/>
    <xf numFmtId="0" fontId="12" fillId="0" borderId="0"/>
    <xf numFmtId="179" fontId="12" fillId="0" borderId="0" applyFont="0" applyFill="0" applyBorder="0" applyAlignment="0" applyProtection="0"/>
    <xf numFmtId="180" fontId="21" fillId="0" borderId="0" applyFill="0" applyBorder="0" applyAlignment="0" applyProtection="0"/>
    <xf numFmtId="181" fontId="12" fillId="0" borderId="0" applyFont="0" applyFill="0" applyBorder="0" applyAlignment="0" applyProtection="0"/>
    <xf numFmtId="182" fontId="21" fillId="0" borderId="0" applyFill="0" applyBorder="0" applyAlignment="0" applyProtection="0"/>
    <xf numFmtId="183" fontId="12" fillId="0" borderId="0" applyFont="0" applyFill="0" applyBorder="0" applyAlignment="0" applyProtection="0"/>
    <xf numFmtId="184" fontId="21" fillId="0" borderId="0" applyFill="0" applyBorder="0" applyAlignment="0" applyProtection="0"/>
    <xf numFmtId="0" fontId="12" fillId="0" borderId="0"/>
    <xf numFmtId="0" fontId="23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5" borderId="0" applyNumberFormat="0" applyBorder="0" applyAlignment="0" applyProtection="0"/>
    <xf numFmtId="0" fontId="23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5" borderId="0" applyNumberFormat="0" applyBorder="0" applyAlignment="0" applyProtection="0"/>
    <xf numFmtId="0" fontId="23" fillId="8" borderId="0" applyNumberFormat="0" applyBorder="0" applyAlignment="0" applyProtection="0"/>
    <xf numFmtId="0" fontId="23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3" borderId="0" applyNumberFormat="0" applyBorder="0" applyAlignment="0" applyProtection="0"/>
    <xf numFmtId="0" fontId="24" fillId="14" borderId="0" applyNumberFormat="0" applyBorder="0" applyAlignment="0" applyProtection="0"/>
    <xf numFmtId="0" fontId="24" fillId="15" borderId="0" applyNumberFormat="0" applyBorder="0" applyAlignment="0" applyProtection="0"/>
    <xf numFmtId="0" fontId="24" fillId="16" borderId="0" applyNumberFormat="0" applyBorder="0" applyAlignment="0" applyProtection="0"/>
    <xf numFmtId="0" fontId="24" fillId="17" borderId="0" applyNumberFormat="0" applyBorder="0" applyAlignment="0" applyProtection="0"/>
    <xf numFmtId="0" fontId="24" fillId="18" borderId="0" applyNumberFormat="0" applyBorder="0" applyAlignment="0" applyProtection="0"/>
    <xf numFmtId="0" fontId="24" fillId="13" borderId="0" applyNumberFormat="0" applyBorder="0" applyAlignment="0" applyProtection="0"/>
    <xf numFmtId="0" fontId="24" fillId="14" borderId="0" applyNumberFormat="0" applyBorder="0" applyAlignment="0" applyProtection="0"/>
    <xf numFmtId="0" fontId="24" fillId="19" borderId="0" applyNumberFormat="0" applyBorder="0" applyAlignment="0" applyProtection="0"/>
    <xf numFmtId="0" fontId="25" fillId="3" borderId="0" applyNumberFormat="0" applyBorder="0" applyAlignment="0" applyProtection="0"/>
    <xf numFmtId="185" fontId="10" fillId="0" borderId="0"/>
    <xf numFmtId="0" fontId="26" fillId="20" borderId="5" applyNumberFormat="0" applyAlignment="0" applyProtection="0"/>
    <xf numFmtId="3" fontId="10" fillId="0" borderId="0"/>
    <xf numFmtId="164" fontId="12" fillId="0" borderId="0" applyFont="0" applyFill="0" applyBorder="0" applyAlignment="0" applyProtection="0"/>
    <xf numFmtId="186" fontId="10" fillId="0" borderId="0"/>
    <xf numFmtId="179" fontId="10" fillId="0" borderId="0" applyFont="0" applyFill="0" applyBorder="0" applyAlignment="0" applyProtection="0"/>
    <xf numFmtId="181" fontId="10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4" borderId="0" applyNumberFormat="0" applyBorder="0" applyAlignment="0" applyProtection="0"/>
    <xf numFmtId="0" fontId="29" fillId="0" borderId="0" applyNumberFormat="0" applyBorder="0" applyProtection="0">
      <alignment horizontal="center"/>
    </xf>
    <xf numFmtId="0" fontId="30" fillId="0" borderId="6" applyNumberFormat="0" applyFill="0" applyAlignment="0" applyProtection="0"/>
    <xf numFmtId="0" fontId="31" fillId="0" borderId="7" applyNumberFormat="0" applyFill="0" applyAlignment="0" applyProtection="0"/>
    <xf numFmtId="0" fontId="32" fillId="0" borderId="8" applyNumberFormat="0" applyFill="0" applyAlignment="0" applyProtection="0"/>
    <xf numFmtId="0" fontId="32" fillId="0" borderId="0" applyNumberFormat="0" applyFill="0" applyBorder="0" applyAlignment="0" applyProtection="0"/>
    <xf numFmtId="0" fontId="29" fillId="0" borderId="0" applyNumberFormat="0" applyBorder="0" applyProtection="0">
      <alignment horizontal="center" textRotation="90"/>
    </xf>
    <xf numFmtId="0" fontId="33" fillId="21" borderId="9" applyNumberFormat="0" applyAlignment="0" applyProtection="0"/>
    <xf numFmtId="0" fontId="34" fillId="7" borderId="5" applyNumberFormat="0" applyAlignment="0" applyProtection="0"/>
    <xf numFmtId="0" fontId="35" fillId="0" borderId="3" applyNumberFormat="0" applyFont="0" applyFill="0" applyAlignment="0" applyProtection="0">
      <alignment horizontal="left"/>
    </xf>
    <xf numFmtId="0" fontId="36" fillId="0" borderId="10" applyNumberFormat="0" applyFill="0" applyAlignment="0" applyProtection="0"/>
    <xf numFmtId="44" fontId="11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2" fillId="0" borderId="0" applyFont="0" applyFill="0" applyBorder="0" applyAlignment="0" applyProtection="0"/>
    <xf numFmtId="0" fontId="37" fillId="22" borderId="0" applyNumberFormat="0" applyBorder="0" applyAlignment="0" applyProtection="0"/>
    <xf numFmtId="0" fontId="38" fillId="0" borderId="11">
      <alignment horizontal="justify" vertical="center" wrapText="1"/>
      <protection locked="0"/>
    </xf>
    <xf numFmtId="0" fontId="12" fillId="0" borderId="0"/>
    <xf numFmtId="0" fontId="11" fillId="0" borderId="0"/>
    <xf numFmtId="0" fontId="11" fillId="0" borderId="0"/>
    <xf numFmtId="0" fontId="3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2" fillId="0" borderId="0"/>
    <xf numFmtId="0" fontId="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0" fillId="23" borderId="12" applyNumberFormat="0" applyFont="0" applyAlignment="0" applyProtection="0"/>
    <xf numFmtId="0" fontId="40" fillId="20" borderId="13" applyNumberFormat="0" applyAlignment="0" applyProtection="0"/>
    <xf numFmtId="0" fontId="41" fillId="0" borderId="14">
      <alignment horizontal="center" vertical="center" wrapText="1"/>
    </xf>
    <xf numFmtId="0" fontId="38" fillId="0" borderId="15" applyNumberFormat="0" applyFont="0" applyFill="0" applyAlignment="0" applyProtection="0"/>
    <xf numFmtId="0" fontId="42" fillId="0" borderId="11">
      <alignment horizontal="justify" vertical="center" wrapText="1"/>
      <protection locked="0"/>
    </xf>
    <xf numFmtId="9" fontId="12" fillId="0" borderId="0" applyFont="0" applyFill="0" applyBorder="0" applyAlignment="0" applyProtection="0"/>
    <xf numFmtId="0" fontId="16" fillId="0" borderId="11">
      <alignment horizontal="left" vertical="center" wrapText="1" indent="1"/>
    </xf>
    <xf numFmtId="0" fontId="43" fillId="0" borderId="16">
      <alignment horizontal="left" vertical="center" wrapText="1"/>
    </xf>
    <xf numFmtId="0" fontId="44" fillId="0" borderId="0" applyNumberFormat="0" applyBorder="0" applyProtection="0"/>
    <xf numFmtId="187" fontId="44" fillId="0" borderId="0" applyBorder="0" applyProtection="0"/>
    <xf numFmtId="0" fontId="45" fillId="0" borderId="0"/>
    <xf numFmtId="0" fontId="10" fillId="0" borderId="0"/>
    <xf numFmtId="0" fontId="21" fillId="0" borderId="0"/>
    <xf numFmtId="0" fontId="21" fillId="0" borderId="0"/>
    <xf numFmtId="0" fontId="21" fillId="0" borderId="0"/>
    <xf numFmtId="0" fontId="1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46" fillId="0" borderId="0"/>
    <xf numFmtId="49" fontId="10" fillId="0" borderId="0" applyFill="0" applyProtection="0"/>
    <xf numFmtId="0" fontId="47" fillId="0" borderId="0" applyNumberFormat="0" applyFill="0" applyBorder="0" applyAlignment="0" applyProtection="0"/>
    <xf numFmtId="0" fontId="48" fillId="0" borderId="17" applyNumberFormat="0" applyFill="0" applyAlignment="0" applyProtection="0"/>
    <xf numFmtId="0" fontId="10" fillId="0" borderId="16">
      <alignment horizontal="center" vertical="center"/>
      <protection locked="0"/>
    </xf>
    <xf numFmtId="177" fontId="10" fillId="0" borderId="0" applyFont="0" applyFill="0" applyBorder="0" applyAlignment="0" applyProtection="0"/>
    <xf numFmtId="183" fontId="10" fillId="0" borderId="0" applyFont="0" applyFill="0" applyBorder="0" applyAlignment="0" applyProtection="0"/>
    <xf numFmtId="0" fontId="49" fillId="0" borderId="0" applyNumberFormat="0" applyFill="0" applyBorder="0" applyAlignment="0" applyProtection="0"/>
    <xf numFmtId="188" fontId="10" fillId="0" borderId="0" applyFont="0" applyFill="0" applyBorder="0" applyAlignment="0" applyProtection="0"/>
    <xf numFmtId="189" fontId="10" fillId="0" borderId="0" applyFont="0" applyFill="0" applyBorder="0" applyAlignment="0" applyProtection="0"/>
    <xf numFmtId="0" fontId="18" fillId="0" borderId="0"/>
    <xf numFmtId="0" fontId="12" fillId="0" borderId="0"/>
    <xf numFmtId="44" fontId="12" fillId="0" borderId="0" applyFont="0" applyFill="0" applyBorder="0" applyAlignment="0" applyProtection="0"/>
    <xf numFmtId="177" fontId="12" fillId="0" borderId="0" applyFont="0" applyFill="0" applyBorder="0" applyAlignment="0" applyProtection="0"/>
    <xf numFmtId="177" fontId="12" fillId="0" borderId="0" applyFont="0" applyFill="0" applyBorder="0" applyAlignment="0" applyProtection="0"/>
    <xf numFmtId="177" fontId="12" fillId="0" borderId="0" applyFont="0" applyFill="0" applyBorder="0" applyAlignment="0" applyProtection="0"/>
    <xf numFmtId="0" fontId="12" fillId="0" borderId="0"/>
    <xf numFmtId="179" fontId="12" fillId="0" borderId="0" applyFont="0" applyFill="0" applyBorder="0" applyAlignment="0" applyProtection="0"/>
    <xf numFmtId="181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0" fontId="12" fillId="0" borderId="0"/>
    <xf numFmtId="0" fontId="12" fillId="0" borderId="0"/>
    <xf numFmtId="179" fontId="12" fillId="0" borderId="0" applyFont="0" applyFill="0" applyBorder="0" applyAlignment="0" applyProtection="0"/>
    <xf numFmtId="181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0" fontId="12" fillId="0" borderId="0"/>
    <xf numFmtId="16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20" fillId="0" borderId="0"/>
    <xf numFmtId="0" fontId="13" fillId="0" borderId="0" applyAlignment="0">
      <alignment vertical="top" wrapText="1"/>
      <protection locked="0"/>
    </xf>
    <xf numFmtId="0" fontId="11" fillId="0" borderId="0"/>
    <xf numFmtId="0" fontId="1" fillId="0" borderId="0"/>
    <xf numFmtId="0" fontId="6" fillId="0" borderId="0"/>
    <xf numFmtId="0" fontId="23" fillId="0" borderId="0"/>
    <xf numFmtId="0" fontId="2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1" fillId="0" borderId="0"/>
    <xf numFmtId="0" fontId="12" fillId="0" borderId="0"/>
    <xf numFmtId="0" fontId="3" fillId="0" borderId="0"/>
    <xf numFmtId="0" fontId="3" fillId="0" borderId="0"/>
    <xf numFmtId="0" fontId="13" fillId="0" borderId="0" applyAlignment="0">
      <alignment vertical="top" wrapText="1"/>
      <protection locked="0"/>
    </xf>
    <xf numFmtId="0" fontId="10" fillId="0" borderId="0"/>
    <xf numFmtId="0" fontId="10" fillId="0" borderId="0"/>
    <xf numFmtId="0" fontId="13" fillId="0" borderId="0" applyAlignment="0">
      <alignment vertical="top" wrapText="1"/>
      <protection locked="0"/>
    </xf>
    <xf numFmtId="0" fontId="13" fillId="0" borderId="0" applyAlignment="0">
      <alignment vertical="top" wrapText="1"/>
      <protection locked="0"/>
    </xf>
    <xf numFmtId="0" fontId="13" fillId="0" borderId="0" applyAlignment="0">
      <alignment vertical="top" wrapText="1"/>
      <protection locked="0"/>
    </xf>
    <xf numFmtId="0" fontId="11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2" fillId="0" borderId="0"/>
    <xf numFmtId="0" fontId="13" fillId="0" borderId="0" applyAlignment="0">
      <alignment vertical="top" wrapText="1"/>
      <protection locked="0"/>
    </xf>
    <xf numFmtId="1" fontId="11" fillId="0" borderId="0">
      <alignment horizontal="center" vertical="center"/>
      <protection locked="0"/>
    </xf>
    <xf numFmtId="0" fontId="51" fillId="0" borderId="0" applyAlignment="0">
      <alignment vertical="top" wrapText="1"/>
      <protection locked="0"/>
    </xf>
    <xf numFmtId="0" fontId="12" fillId="0" borderId="0"/>
    <xf numFmtId="0" fontId="1" fillId="0" borderId="0"/>
    <xf numFmtId="0" fontId="1" fillId="0" borderId="0"/>
    <xf numFmtId="0" fontId="12" fillId="0" borderId="0"/>
    <xf numFmtId="0" fontId="10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0" borderId="0"/>
    <xf numFmtId="0" fontId="13" fillId="0" borderId="0" applyAlignment="0">
      <alignment vertical="top" wrapText="1"/>
      <protection locked="0"/>
    </xf>
    <xf numFmtId="0" fontId="12" fillId="0" borderId="0"/>
    <xf numFmtId="0" fontId="11" fillId="0" borderId="0"/>
    <xf numFmtId="0" fontId="11" fillId="0" borderId="0"/>
    <xf numFmtId="0" fontId="11" fillId="0" borderId="0"/>
    <xf numFmtId="9" fontId="3" fillId="0" borderId="0" applyFont="0" applyFill="0" applyBorder="0" applyAlignment="0" applyProtection="0"/>
    <xf numFmtId="0" fontId="20" fillId="0" borderId="0"/>
    <xf numFmtId="0" fontId="12" fillId="0" borderId="0"/>
    <xf numFmtId="0" fontId="3" fillId="0" borderId="0"/>
    <xf numFmtId="0" fontId="1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12" fillId="0" borderId="0"/>
    <xf numFmtId="0" fontId="1" fillId="0" borderId="0"/>
    <xf numFmtId="0" fontId="1" fillId="0" borderId="0"/>
    <xf numFmtId="190" fontId="10" fillId="0" borderId="18" applyBorder="0" applyAlignment="0"/>
    <xf numFmtId="0" fontId="1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5" borderId="0" applyNumberFormat="0" applyBorder="0" applyAlignment="0" applyProtection="0"/>
    <xf numFmtId="0" fontId="23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5" borderId="0" applyNumberFormat="0" applyBorder="0" applyAlignment="0" applyProtection="0"/>
    <xf numFmtId="0" fontId="23" fillId="8" borderId="0" applyNumberFormat="0" applyBorder="0" applyAlignment="0" applyProtection="0"/>
    <xf numFmtId="0" fontId="23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3" borderId="0" applyNumberFormat="0" applyBorder="0" applyAlignment="0" applyProtection="0"/>
    <xf numFmtId="0" fontId="24" fillId="14" borderId="0" applyNumberFormat="0" applyBorder="0" applyAlignment="0" applyProtection="0"/>
    <xf numFmtId="0" fontId="24" fillId="15" borderId="0" applyNumberFormat="0" applyBorder="0" applyAlignment="0" applyProtection="0"/>
    <xf numFmtId="191" fontId="52" fillId="0" borderId="0" applyFont="0" applyFill="0" applyBorder="0">
      <alignment horizontal="right" vertical="center"/>
    </xf>
    <xf numFmtId="0" fontId="25" fillId="3" borderId="0" applyNumberFormat="0" applyBorder="0" applyAlignment="0" applyProtection="0"/>
    <xf numFmtId="0" fontId="33" fillId="21" borderId="9" applyNumberFormat="0" applyAlignment="0" applyProtection="0"/>
    <xf numFmtId="0" fontId="30" fillId="0" borderId="6" applyNumberFormat="0" applyFill="0" applyAlignment="0" applyProtection="0"/>
    <xf numFmtId="0" fontId="31" fillId="0" borderId="7" applyNumberFormat="0" applyFill="0" applyAlignment="0" applyProtection="0"/>
    <xf numFmtId="0" fontId="32" fillId="0" borderId="8" applyNumberFormat="0" applyFill="0" applyAlignment="0" applyProtection="0"/>
    <xf numFmtId="0" fontId="32" fillId="0" borderId="0" applyNumberFormat="0" applyFill="0" applyBorder="0" applyAlignment="0" applyProtection="0"/>
    <xf numFmtId="0" fontId="37" fillId="22" borderId="0" applyNumberFormat="0" applyBorder="0" applyAlignment="0" applyProtection="0"/>
    <xf numFmtId="0" fontId="53" fillId="0" borderId="0" applyAlignment="0">
      <alignment vertical="top" wrapText="1"/>
      <protection locked="0"/>
    </xf>
    <xf numFmtId="0" fontId="54" fillId="0" borderId="0">
      <alignment vertical="top" wrapText="1"/>
      <protection locked="0"/>
    </xf>
    <xf numFmtId="0" fontId="12" fillId="0" borderId="0"/>
    <xf numFmtId="0" fontId="23" fillId="23" borderId="12" applyNumberFormat="0" applyFont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36" fillId="0" borderId="10" applyNumberFormat="0" applyFill="0" applyAlignment="0" applyProtection="0"/>
    <xf numFmtId="0" fontId="55" fillId="0" borderId="0"/>
    <xf numFmtId="0" fontId="28" fillId="4" borderId="0" applyNumberFormat="0" applyBorder="0" applyAlignment="0" applyProtection="0"/>
    <xf numFmtId="0" fontId="22" fillId="0" borderId="0"/>
    <xf numFmtId="0" fontId="12" fillId="0" borderId="0"/>
    <xf numFmtId="0" fontId="12" fillId="0" borderId="0"/>
    <xf numFmtId="0" fontId="12" fillId="0" borderId="0"/>
    <xf numFmtId="0" fontId="47" fillId="0" borderId="0" applyNumberFormat="0" applyFill="0" applyBorder="0" applyAlignment="0" applyProtection="0"/>
    <xf numFmtId="0" fontId="56" fillId="0" borderId="19">
      <alignment horizontal="center" wrapText="1"/>
    </xf>
    <xf numFmtId="0" fontId="57" fillId="0" borderId="20">
      <alignment horizontal="center" wrapText="1"/>
    </xf>
    <xf numFmtId="0" fontId="48" fillId="0" borderId="17" applyNumberFormat="0" applyFill="0" applyAlignment="0" applyProtection="0"/>
    <xf numFmtId="0" fontId="34" fillId="7" borderId="5" applyNumberFormat="0" applyAlignment="0" applyProtection="0"/>
    <xf numFmtId="0" fontId="26" fillId="20" borderId="5" applyNumberFormat="0" applyAlignment="0" applyProtection="0"/>
    <xf numFmtId="0" fontId="40" fillId="20" borderId="13" applyNumberFormat="0" applyAlignment="0" applyProtection="0"/>
    <xf numFmtId="0" fontId="2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24" fillId="16" borderId="0" applyNumberFormat="0" applyBorder="0" applyAlignment="0" applyProtection="0"/>
    <xf numFmtId="0" fontId="24" fillId="17" borderId="0" applyNumberFormat="0" applyBorder="0" applyAlignment="0" applyProtection="0"/>
    <xf numFmtId="0" fontId="24" fillId="18" borderId="0" applyNumberFormat="0" applyBorder="0" applyAlignment="0" applyProtection="0"/>
    <xf numFmtId="0" fontId="24" fillId="13" borderId="0" applyNumberFormat="0" applyBorder="0" applyAlignment="0" applyProtection="0"/>
    <xf numFmtId="0" fontId="24" fillId="14" borderId="0" applyNumberFormat="0" applyBorder="0" applyAlignment="0" applyProtection="0"/>
    <xf numFmtId="0" fontId="24" fillId="19" borderId="0" applyNumberFormat="0" applyBorder="0" applyAlignment="0" applyProtection="0"/>
    <xf numFmtId="169" fontId="58" fillId="0" borderId="0" applyFont="0" applyFill="0" applyBorder="0" applyAlignment="0" applyProtection="0"/>
    <xf numFmtId="38" fontId="59" fillId="0" borderId="0" applyFont="0" applyFill="0" applyBorder="0" applyAlignment="0" applyProtection="0"/>
    <xf numFmtId="0" fontId="58" fillId="0" borderId="0"/>
    <xf numFmtId="0" fontId="54" fillId="0" borderId="0">
      <alignment vertical="top" wrapText="1"/>
      <protection locked="0"/>
    </xf>
    <xf numFmtId="0" fontId="12" fillId="0" borderId="0"/>
    <xf numFmtId="0" fontId="12" fillId="0" borderId="0"/>
    <xf numFmtId="0" fontId="12" fillId="0" borderId="0"/>
    <xf numFmtId="0" fontId="54" fillId="0" borderId="0">
      <alignment vertical="top" wrapText="1"/>
      <protection locked="0"/>
    </xf>
    <xf numFmtId="0" fontId="12" fillId="0" borderId="0"/>
    <xf numFmtId="0" fontId="54" fillId="0" borderId="0">
      <alignment vertical="top" wrapText="1"/>
      <protection locked="0"/>
    </xf>
    <xf numFmtId="0" fontId="12" fillId="0" borderId="0"/>
    <xf numFmtId="0" fontId="12" fillId="0" borderId="0"/>
    <xf numFmtId="0" fontId="12" fillId="0" borderId="0"/>
    <xf numFmtId="0" fontId="54" fillId="0" borderId="0">
      <alignment vertical="top" wrapText="1"/>
      <protection locked="0"/>
    </xf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4" fillId="0" borderId="0">
      <alignment vertical="top" wrapText="1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2" fillId="0" borderId="0"/>
    <xf numFmtId="0" fontId="12" fillId="0" borderId="0"/>
    <xf numFmtId="9" fontId="3" fillId="0" borderId="0" applyFont="0" applyFill="0" applyBorder="0" applyAlignment="0" applyProtection="0"/>
    <xf numFmtId="0" fontId="12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1" fillId="0" borderId="0"/>
    <xf numFmtId="0" fontId="18" fillId="0" borderId="0"/>
    <xf numFmtId="0" fontId="61" fillId="0" borderId="0" applyNumberFormat="0" applyBorder="0" applyProtection="0">
      <alignment horizontal="left" vertical="center" indent="1"/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63" fillId="0" borderId="0"/>
    <xf numFmtId="0" fontId="1" fillId="0" borderId="0"/>
    <xf numFmtId="0" fontId="12" fillId="0" borderId="0"/>
    <xf numFmtId="0" fontId="65" fillId="0" borderId="0" applyNumberFormat="0" applyFill="0" applyBorder="0" applyAlignment="0" applyProtection="0">
      <alignment vertical="top"/>
      <protection locked="0"/>
    </xf>
    <xf numFmtId="0" fontId="17" fillId="0" borderId="0"/>
    <xf numFmtId="0" fontId="22" fillId="0" borderId="0"/>
    <xf numFmtId="0" fontId="12" fillId="0" borderId="0"/>
    <xf numFmtId="0" fontId="12" fillId="0" borderId="0"/>
    <xf numFmtId="0" fontId="17" fillId="0" borderId="0"/>
    <xf numFmtId="0" fontId="2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192" fontId="63" fillId="0" borderId="0" applyFont="0" applyFill="0" applyBorder="0" applyAlignment="0" applyProtection="0"/>
    <xf numFmtId="192" fontId="63" fillId="0" borderId="0" applyFont="0" applyFill="0" applyBorder="0" applyAlignment="0" applyProtection="0"/>
    <xf numFmtId="0" fontId="64" fillId="0" borderId="0"/>
    <xf numFmtId="0" fontId="64" fillId="0" borderId="0"/>
    <xf numFmtId="0" fontId="66" fillId="0" borderId="0"/>
    <xf numFmtId="0" fontId="65" fillId="0" borderId="0" applyNumberFormat="0" applyFill="0" applyBorder="0" applyAlignment="0" applyProtection="0">
      <alignment vertical="top"/>
      <protection locked="0"/>
    </xf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193" fontId="63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63" fillId="0" borderId="0"/>
    <xf numFmtId="0" fontId="12" fillId="0" borderId="0"/>
    <xf numFmtId="0" fontId="11" fillId="0" borderId="0"/>
    <xf numFmtId="0" fontId="23" fillId="0" borderId="0"/>
    <xf numFmtId="0" fontId="23" fillId="0" borderId="0"/>
    <xf numFmtId="0" fontId="11" fillId="0" borderId="0"/>
    <xf numFmtId="0" fontId="11" fillId="0" borderId="0"/>
    <xf numFmtId="0" fontId="67" fillId="0" borderId="0"/>
    <xf numFmtId="0" fontId="68" fillId="0" borderId="0"/>
    <xf numFmtId="9" fontId="63" fillId="0" borderId="0" applyFont="0" applyFill="0" applyBorder="0" applyAlignment="0" applyProtection="0"/>
    <xf numFmtId="0" fontId="63" fillId="0" borderId="0"/>
    <xf numFmtId="0" fontId="62" fillId="26" borderId="0">
      <alignment horizontal="left"/>
    </xf>
    <xf numFmtId="0" fontId="62" fillId="26" borderId="0">
      <alignment horizontal="left"/>
    </xf>
    <xf numFmtId="0" fontId="69" fillId="27" borderId="0"/>
    <xf numFmtId="0" fontId="69" fillId="27" borderId="0"/>
    <xf numFmtId="0" fontId="22" fillId="0" borderId="0"/>
    <xf numFmtId="49" fontId="12" fillId="0" borderId="16">
      <alignment horizontal="left" vertical="top" indent="1"/>
    </xf>
    <xf numFmtId="49" fontId="12" fillId="0" borderId="16">
      <alignment horizontal="left" vertical="top" indent="1"/>
    </xf>
    <xf numFmtId="49" fontId="12" fillId="0" borderId="16">
      <alignment horizontal="left" vertical="top" indent="1"/>
    </xf>
    <xf numFmtId="49" fontId="12" fillId="0" borderId="16">
      <alignment horizontal="left" vertical="top" indent="1"/>
    </xf>
    <xf numFmtId="0" fontId="62" fillId="0" borderId="0"/>
    <xf numFmtId="0" fontId="62" fillId="0" borderId="0"/>
    <xf numFmtId="0" fontId="70" fillId="28" borderId="21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7" fillId="0" borderId="0"/>
    <xf numFmtId="0" fontId="17" fillId="0" borderId="0"/>
    <xf numFmtId="200" fontId="71" fillId="0" borderId="0" applyNumberFormat="0" applyFill="0" applyBorder="0" applyAlignment="0"/>
    <xf numFmtId="41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65" fontId="72" fillId="0" borderId="0" applyFont="0" applyFill="0" applyBorder="0" applyAlignment="0" applyProtection="0"/>
    <xf numFmtId="166" fontId="72" fillId="0" borderId="0" applyFont="0" applyFill="0" applyBorder="0" applyAlignment="0" applyProtection="0"/>
    <xf numFmtId="167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5" fontId="72" fillId="0" borderId="0" applyFont="0" applyFill="0" applyBorder="0" applyAlignment="0" applyProtection="0">
      <alignment horizontal="left"/>
    </xf>
    <xf numFmtId="199" fontId="72" fillId="0" borderId="0" applyFont="0" applyFill="0" applyBorder="0" applyProtection="0">
      <alignment horizontal="left"/>
    </xf>
    <xf numFmtId="201" fontId="73" fillId="0" borderId="0" applyFont="0" applyFill="0" applyBorder="0" applyAlignment="0" applyProtection="0">
      <protection locked="0"/>
    </xf>
    <xf numFmtId="39" fontId="17" fillId="0" borderId="0" applyFont="0" applyFill="0" applyBorder="0" applyAlignment="0" applyProtection="0"/>
    <xf numFmtId="207" fontId="74" fillId="0" borderId="0" applyFont="0" applyFill="0" applyBorder="0" applyAlignment="0"/>
    <xf numFmtId="37" fontId="75" fillId="0" borderId="0" applyFill="0" applyBorder="0" applyAlignment="0">
      <protection locked="0"/>
    </xf>
    <xf numFmtId="194" fontId="75" fillId="0" borderId="20" applyFill="0" applyBorder="0" applyAlignment="0">
      <alignment horizontal="center"/>
      <protection locked="0"/>
    </xf>
    <xf numFmtId="201" fontId="75" fillId="0" borderId="0" applyFill="0" applyBorder="0" applyAlignment="0">
      <protection locked="0"/>
    </xf>
    <xf numFmtId="207" fontId="75" fillId="0" borderId="0" applyFill="0" applyBorder="0" applyAlignment="0" applyProtection="0">
      <protection locked="0"/>
    </xf>
    <xf numFmtId="203" fontId="76" fillId="0" borderId="0" applyFont="0" applyFill="0" applyBorder="0" applyAlignment="0" applyProtection="0"/>
    <xf numFmtId="200" fontId="77" fillId="0" borderId="0" applyFill="0" applyBorder="0" applyAlignment="0"/>
    <xf numFmtId="38" fontId="72" fillId="0" borderId="0"/>
    <xf numFmtId="205" fontId="74" fillId="0" borderId="22" applyFont="0" applyFill="0" applyBorder="0" applyAlignment="0" applyProtection="0">
      <alignment horizontal="right"/>
    </xf>
    <xf numFmtId="195" fontId="72" fillId="0" borderId="0" applyFont="0" applyFill="0" applyBorder="0" applyAlignment="0" applyProtection="0"/>
    <xf numFmtId="196" fontId="72" fillId="0" borderId="0" applyFont="0" applyFill="0" applyBorder="0" applyAlignment="0" applyProtection="0"/>
    <xf numFmtId="204" fontId="78" fillId="0" borderId="0" applyFont="0" applyFill="0" applyBorder="0" applyAlignment="0" applyProtection="0"/>
    <xf numFmtId="202" fontId="78" fillId="0" borderId="0" applyFont="0" applyFill="0" applyBorder="0" applyAlignment="0" applyProtection="0"/>
    <xf numFmtId="10" fontId="72" fillId="0" borderId="0" applyFont="0" applyFill="0" applyBorder="0" applyAlignment="0" applyProtection="0"/>
    <xf numFmtId="38" fontId="72" fillId="29" borderId="0" applyNumberFormat="0" applyFont="0" applyBorder="0" applyAlignment="0" applyProtection="0"/>
    <xf numFmtId="38" fontId="79" fillId="0" borderId="0" applyFill="0" applyBorder="0" applyAlignment="0" applyProtection="0"/>
    <xf numFmtId="204" fontId="80" fillId="0" borderId="0" applyFill="0" applyBorder="0" applyAlignment="0" applyProtection="0"/>
    <xf numFmtId="197" fontId="72" fillId="0" borderId="0" applyFont="0" applyFill="0" applyBorder="0" applyAlignment="0" applyProtection="0"/>
    <xf numFmtId="198" fontId="72" fillId="0" borderId="0" applyFont="0" applyFill="0" applyBorder="0" applyAlignment="0" applyProtection="0"/>
    <xf numFmtId="18" fontId="73" fillId="0" borderId="0" applyFont="0" applyFill="0" applyBorder="0" applyAlignment="0" applyProtection="0">
      <alignment horizontal="left"/>
    </xf>
    <xf numFmtId="38" fontId="72" fillId="0" borderId="23" applyNumberFormat="0" applyFont="0" applyFill="0" applyAlignment="0" applyProtection="0"/>
    <xf numFmtId="10" fontId="78" fillId="0" borderId="24" applyNumberFormat="0" applyFont="0" applyFill="0" applyAlignment="0" applyProtection="0"/>
    <xf numFmtId="206" fontId="50" fillId="0" borderId="25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5" fontId="74" fillId="0" borderId="22" applyFont="0" applyFill="0" applyBorder="0" applyAlignment="0" applyProtection="0">
      <alignment horizontal="right"/>
    </xf>
    <xf numFmtId="206" fontId="50" fillId="0" borderId="25" applyFont="0" applyFill="0" applyBorder="0" applyAlignment="0" applyProtection="0"/>
    <xf numFmtId="0" fontId="1" fillId="0" borderId="0"/>
    <xf numFmtId="0" fontId="12" fillId="0" borderId="0"/>
    <xf numFmtId="0" fontId="12" fillId="0" borderId="0"/>
    <xf numFmtId="0" fontId="11" fillId="0" borderId="0"/>
    <xf numFmtId="0" fontId="12" fillId="23" borderId="12" applyNumberFormat="0" applyFont="0" applyAlignment="0" applyProtection="0"/>
    <xf numFmtId="0" fontId="12" fillId="23" borderId="12" applyNumberFormat="0" applyFont="0" applyAlignment="0" applyProtection="0"/>
    <xf numFmtId="0" fontId="12" fillId="23" borderId="12" applyNumberFormat="0" applyFont="0" applyAlignment="0" applyProtection="0"/>
    <xf numFmtId="0" fontId="12" fillId="23" borderId="12" applyNumberFormat="0" applyFont="0" applyAlignment="0" applyProtection="0"/>
    <xf numFmtId="0" fontId="12" fillId="23" borderId="12" applyNumberFormat="0" applyFont="0" applyAlignment="0" applyProtection="0"/>
    <xf numFmtId="0" fontId="12" fillId="23" borderId="12" applyNumberFormat="0" applyFont="0" applyAlignment="0" applyProtection="0"/>
    <xf numFmtId="0" fontId="12" fillId="23" borderId="12" applyNumberFormat="0" applyFont="0" applyAlignment="0" applyProtection="0"/>
    <xf numFmtId="0" fontId="10" fillId="0" borderId="0"/>
    <xf numFmtId="0" fontId="11" fillId="0" borderId="0"/>
    <xf numFmtId="0" fontId="10" fillId="0" borderId="0"/>
    <xf numFmtId="0" fontId="11" fillId="0" borderId="0"/>
    <xf numFmtId="0" fontId="2" fillId="0" borderId="0"/>
    <xf numFmtId="0" fontId="11" fillId="0" borderId="0"/>
    <xf numFmtId="0" fontId="10" fillId="0" borderId="0"/>
    <xf numFmtId="0" fontId="12" fillId="0" borderId="0"/>
    <xf numFmtId="0" fontId="81" fillId="0" borderId="0"/>
    <xf numFmtId="0" fontId="1" fillId="0" borderId="0"/>
    <xf numFmtId="0" fontId="2" fillId="0" borderId="0"/>
    <xf numFmtId="0" fontId="2" fillId="0" borderId="0"/>
    <xf numFmtId="44" fontId="2" fillId="0" borderId="0" applyFont="0" applyFill="0" applyBorder="0" applyAlignment="0" applyProtection="0"/>
    <xf numFmtId="0" fontId="2" fillId="0" borderId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2" fillId="0" borderId="0"/>
    <xf numFmtId="179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0" fontId="2" fillId="0" borderId="0"/>
    <xf numFmtId="0" fontId="2" fillId="0" borderId="0"/>
    <xf numFmtId="179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2" fillId="0" borderId="0"/>
    <xf numFmtId="179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0" fontId="2" fillId="0" borderId="0"/>
    <xf numFmtId="0" fontId="2" fillId="0" borderId="0"/>
    <xf numFmtId="179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9" fontId="2" fillId="0" borderId="16">
      <alignment horizontal="left" vertical="top" indent="1"/>
    </xf>
    <xf numFmtId="49" fontId="2" fillId="0" borderId="16">
      <alignment horizontal="left" vertical="top" indent="1"/>
    </xf>
    <xf numFmtId="49" fontId="2" fillId="0" borderId="16">
      <alignment horizontal="left" vertical="top" indent="1"/>
    </xf>
    <xf numFmtId="49" fontId="2" fillId="0" borderId="16">
      <alignment horizontal="left" vertical="top" indent="1"/>
    </xf>
    <xf numFmtId="0" fontId="2" fillId="0" borderId="0"/>
    <xf numFmtId="0" fontId="2" fillId="0" borderId="0"/>
    <xf numFmtId="0" fontId="2" fillId="0" borderId="0"/>
    <xf numFmtId="0" fontId="2" fillId="23" borderId="12" applyNumberFormat="0" applyFont="0" applyAlignment="0" applyProtection="0"/>
    <xf numFmtId="0" fontId="2" fillId="23" borderId="12" applyNumberFormat="0" applyFont="0" applyAlignment="0" applyProtection="0"/>
    <xf numFmtId="0" fontId="2" fillId="23" borderId="12" applyNumberFormat="0" applyFont="0" applyAlignment="0" applyProtection="0"/>
    <xf numFmtId="0" fontId="2" fillId="23" borderId="12" applyNumberFormat="0" applyFont="0" applyAlignment="0" applyProtection="0"/>
    <xf numFmtId="0" fontId="2" fillId="23" borderId="12" applyNumberFormat="0" applyFont="0" applyAlignment="0" applyProtection="0"/>
    <xf numFmtId="0" fontId="2" fillId="23" borderId="12" applyNumberFormat="0" applyFont="0" applyAlignment="0" applyProtection="0"/>
    <xf numFmtId="0" fontId="2" fillId="23" borderId="12" applyNumberFormat="0" applyFont="0" applyAlignment="0" applyProtection="0"/>
    <xf numFmtId="0" fontId="2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5" fillId="0" borderId="0"/>
    <xf numFmtId="0" fontId="105" fillId="0" borderId="0"/>
    <xf numFmtId="0" fontId="105" fillId="0" borderId="0"/>
    <xf numFmtId="0" fontId="105" fillId="0" borderId="0"/>
  </cellStyleXfs>
  <cellXfs count="91">
    <xf numFmtId="0" fontId="0" fillId="0" borderId="0" xfId="0"/>
    <xf numFmtId="0" fontId="2" fillId="0" borderId="0" xfId="106"/>
    <xf numFmtId="0" fontId="11" fillId="0" borderId="0" xfId="824"/>
    <xf numFmtId="171" fontId="8" fillId="0" borderId="0" xfId="8" applyNumberFormat="1" applyFont="1"/>
    <xf numFmtId="170" fontId="8" fillId="0" borderId="0" xfId="106" applyNumberFormat="1" applyFont="1" applyAlignment="1">
      <alignment horizontal="left" indent="1"/>
    </xf>
    <xf numFmtId="171" fontId="14" fillId="0" borderId="0" xfId="824" applyNumberFormat="1" applyFont="1"/>
    <xf numFmtId="173" fontId="14" fillId="0" borderId="0" xfId="824" applyNumberFormat="1" applyFont="1"/>
    <xf numFmtId="49" fontId="9" fillId="0" borderId="0" xfId="3" applyNumberFormat="1" applyFont="1" applyAlignment="1">
      <alignment horizontal="left"/>
    </xf>
    <xf numFmtId="176" fontId="9" fillId="0" borderId="0" xfId="824" applyNumberFormat="1" applyFont="1"/>
    <xf numFmtId="0" fontId="14" fillId="0" borderId="0" xfId="824" applyFont="1" applyAlignment="1">
      <alignment horizontal="left"/>
    </xf>
    <xf numFmtId="175" fontId="15" fillId="0" borderId="0" xfId="3" applyNumberFormat="1" applyFont="1"/>
    <xf numFmtId="172" fontId="6" fillId="0" borderId="1" xfId="824" applyNumberFormat="1" applyFont="1" applyBorder="1" applyAlignment="1">
      <alignment horizontal="right" vertical="top"/>
    </xf>
    <xf numFmtId="172" fontId="8" fillId="0" borderId="0" xfId="8" applyNumberFormat="1" applyFont="1"/>
    <xf numFmtId="49" fontId="8" fillId="0" borderId="0" xfId="8" applyNumberFormat="1" applyFont="1" applyAlignment="1">
      <alignment horizontal="center"/>
    </xf>
    <xf numFmtId="170" fontId="8" fillId="0" borderId="0" xfId="8" applyNumberFormat="1" applyFont="1"/>
    <xf numFmtId="49" fontId="4" fillId="0" borderId="16" xfId="8" applyNumberFormat="1" applyFont="1" applyBorder="1" applyAlignment="1">
      <alignment horizontal="center"/>
    </xf>
    <xf numFmtId="49" fontId="4" fillId="0" borderId="16" xfId="8" applyNumberFormat="1" applyFont="1" applyBorder="1" applyAlignment="1">
      <alignment horizontal="center" wrapText="1"/>
    </xf>
    <xf numFmtId="49" fontId="60" fillId="0" borderId="0" xfId="106" applyNumberFormat="1" applyFont="1" applyAlignment="1">
      <alignment horizontal="left"/>
    </xf>
    <xf numFmtId="171" fontId="60" fillId="0" borderId="0" xfId="106" applyNumberFormat="1" applyFont="1"/>
    <xf numFmtId="172" fontId="60" fillId="0" borderId="0" xfId="106" applyNumberFormat="1" applyFont="1"/>
    <xf numFmtId="173" fontId="60" fillId="0" borderId="0" xfId="106" applyNumberFormat="1" applyFont="1"/>
    <xf numFmtId="49" fontId="4" fillId="0" borderId="16" xfId="824" applyNumberFormat="1" applyFont="1" applyBorder="1" applyAlignment="1">
      <alignment horizontal="center" wrapText="1"/>
    </xf>
    <xf numFmtId="171" fontId="7" fillId="0" borderId="1" xfId="146" applyNumberFormat="1" applyFont="1" applyBorder="1" applyAlignment="1">
      <alignment horizontal="right" vertical="top"/>
    </xf>
    <xf numFmtId="172" fontId="6" fillId="0" borderId="1" xfId="8" applyNumberFormat="1" applyFont="1" applyBorder="1" applyAlignment="1">
      <alignment horizontal="right" vertical="top"/>
    </xf>
    <xf numFmtId="49" fontId="6" fillId="0" borderId="1" xfId="146" applyNumberFormat="1" applyFont="1" applyBorder="1" applyAlignment="1">
      <alignment vertical="top"/>
    </xf>
    <xf numFmtId="176" fontId="6" fillId="0" borderId="2" xfId="3" applyNumberFormat="1" applyFont="1" applyBorder="1" applyAlignment="1">
      <alignment horizontal="right" vertical="top"/>
    </xf>
    <xf numFmtId="49" fontId="8" fillId="0" borderId="0" xfId="8" applyNumberFormat="1" applyFont="1" applyAlignment="1">
      <alignment wrapText="1"/>
    </xf>
    <xf numFmtId="0" fontId="4" fillId="0" borderId="16" xfId="8" applyFont="1" applyBorder="1" applyAlignment="1">
      <alignment horizontal="center" wrapText="1"/>
    </xf>
    <xf numFmtId="0" fontId="60" fillId="0" borderId="0" xfId="106" applyFont="1" applyAlignment="1">
      <alignment horizontal="left" wrapText="1"/>
    </xf>
    <xf numFmtId="49" fontId="5" fillId="0" borderId="0" xfId="824" applyNumberFormat="1" applyFont="1" applyAlignment="1">
      <alignment wrapText="1"/>
    </xf>
    <xf numFmtId="0" fontId="0" fillId="0" borderId="0" xfId="0" applyAlignment="1">
      <alignment wrapText="1"/>
    </xf>
    <xf numFmtId="170" fontId="8" fillId="0" borderId="0" xfId="106" applyNumberFormat="1" applyFont="1" applyAlignment="1">
      <alignment horizontal="left" vertical="center"/>
    </xf>
    <xf numFmtId="49" fontId="4" fillId="0" borderId="16" xfId="8" applyNumberFormat="1" applyFont="1" applyBorder="1" applyAlignment="1">
      <alignment horizontal="center" vertical="center"/>
    </xf>
    <xf numFmtId="49" fontId="60" fillId="0" borderId="0" xfId="106" applyNumberFormat="1" applyFont="1" applyAlignment="1">
      <alignment horizontal="center" vertical="center"/>
    </xf>
    <xf numFmtId="49" fontId="14" fillId="0" borderId="0" xfId="824" applyNumberFormat="1" applyFont="1" applyAlignment="1">
      <alignment horizontal="center" vertical="center"/>
    </xf>
    <xf numFmtId="174" fontId="15" fillId="0" borderId="0" xfId="3" applyNumberFormat="1" applyFont="1" applyAlignment="1">
      <alignment horizontal="center" vertical="center"/>
    </xf>
    <xf numFmtId="49" fontId="6" fillId="0" borderId="1" xfId="146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49" fontId="6" fillId="0" borderId="0" xfId="146" applyNumberFormat="1" applyFont="1" applyAlignment="1">
      <alignment vertical="top"/>
    </xf>
    <xf numFmtId="49" fontId="6" fillId="0" borderId="0" xfId="146" applyNumberFormat="1" applyFont="1" applyAlignment="1">
      <alignment horizontal="center" vertical="center"/>
    </xf>
    <xf numFmtId="171" fontId="7" fillId="0" borderId="0" xfId="146" applyNumberFormat="1" applyFont="1" applyAlignment="1">
      <alignment horizontal="right" vertical="top"/>
    </xf>
    <xf numFmtId="172" fontId="6" fillId="0" borderId="0" xfId="824" applyNumberFormat="1" applyFont="1" applyAlignment="1">
      <alignment horizontal="right" vertical="top"/>
    </xf>
    <xf numFmtId="172" fontId="6" fillId="0" borderId="0" xfId="8" applyNumberFormat="1" applyFont="1" applyAlignment="1">
      <alignment horizontal="right" vertical="top"/>
    </xf>
    <xf numFmtId="176" fontId="6" fillId="0" borderId="0" xfId="3" applyNumberFormat="1" applyFont="1" applyAlignment="1">
      <alignment horizontal="right" vertical="top"/>
    </xf>
    <xf numFmtId="0" fontId="4" fillId="0" borderId="16" xfId="8" applyFont="1" applyBorder="1" applyAlignment="1">
      <alignment horizontal="center" vertical="center" wrapText="1"/>
    </xf>
    <xf numFmtId="49" fontId="4" fillId="0" borderId="16" xfId="8" applyNumberFormat="1" applyFont="1" applyBorder="1" applyAlignment="1">
      <alignment horizontal="center" vertical="center" wrapText="1"/>
    </xf>
    <xf numFmtId="49" fontId="4" fillId="0" borderId="16" xfId="824" applyNumberFormat="1" applyFont="1" applyBorder="1" applyAlignment="1">
      <alignment horizontal="center" vertical="center" wrapText="1"/>
    </xf>
    <xf numFmtId="0" fontId="82" fillId="0" borderId="0" xfId="1" applyFont="1"/>
    <xf numFmtId="49" fontId="83" fillId="0" borderId="0" xfId="618" applyNumberFormat="1" applyFont="1" applyAlignment="1">
      <alignment horizontal="right"/>
    </xf>
    <xf numFmtId="0" fontId="84" fillId="0" borderId="0" xfId="0" applyFont="1"/>
    <xf numFmtId="0" fontId="85" fillId="0" borderId="0" xfId="618" applyFont="1" applyAlignment="1">
      <alignment horizontal="right"/>
    </xf>
    <xf numFmtId="0" fontId="86" fillId="0" borderId="0" xfId="618" applyFont="1"/>
    <xf numFmtId="0" fontId="87" fillId="0" borderId="0" xfId="619" applyFont="1"/>
    <xf numFmtId="0" fontId="89" fillId="0" borderId="0" xfId="621" applyFont="1" applyProtection="1">
      <protection locked="0"/>
    </xf>
    <xf numFmtId="0" fontId="90" fillId="0" borderId="0" xfId="618" applyFont="1" applyAlignment="1">
      <alignment vertical="center"/>
    </xf>
    <xf numFmtId="0" fontId="91" fillId="0" borderId="0" xfId="618" applyFont="1" applyAlignment="1">
      <alignment vertical="center"/>
    </xf>
    <xf numFmtId="0" fontId="92" fillId="24" borderId="0" xfId="618" applyFont="1" applyFill="1" applyAlignment="1">
      <alignment horizontal="left" vertical="center" wrapText="1"/>
    </xf>
    <xf numFmtId="0" fontId="92" fillId="24" borderId="0" xfId="618" applyFont="1" applyFill="1" applyAlignment="1">
      <alignment horizontal="center" vertical="center" wrapText="1"/>
    </xf>
    <xf numFmtId="0" fontId="86" fillId="0" borderId="0" xfId="618" applyFont="1" applyAlignment="1">
      <alignment horizontal="left"/>
    </xf>
    <xf numFmtId="0" fontId="93" fillId="0" borderId="0" xfId="618" applyFont="1"/>
    <xf numFmtId="42" fontId="85" fillId="0" borderId="0" xfId="618" applyNumberFormat="1" applyFont="1"/>
    <xf numFmtId="42" fontId="86" fillId="0" borderId="0" xfId="618" applyNumberFormat="1" applyFont="1"/>
    <xf numFmtId="42" fontId="84" fillId="0" borderId="0" xfId="0" applyNumberFormat="1" applyFont="1"/>
    <xf numFmtId="208" fontId="92" fillId="24" borderId="0" xfId="1025" applyNumberFormat="1" applyFont="1" applyFill="1" applyBorder="1" applyAlignment="1">
      <alignment horizontal="left" vertical="center" wrapText="1"/>
    </xf>
    <xf numFmtId="0" fontId="94" fillId="0" borderId="0" xfId="618" applyFont="1"/>
    <xf numFmtId="0" fontId="95" fillId="0" borderId="0" xfId="618" applyFont="1"/>
    <xf numFmtId="0" fontId="96" fillId="0" borderId="0" xfId="618" applyFont="1" applyAlignment="1">
      <alignment horizontal="left"/>
    </xf>
    <xf numFmtId="0" fontId="97" fillId="0" borderId="0" xfId="618" applyFont="1" applyAlignment="1">
      <alignment horizontal="left"/>
    </xf>
    <xf numFmtId="3" fontId="96" fillId="0" borderId="0" xfId="618" applyNumberFormat="1" applyFont="1" applyAlignment="1">
      <alignment horizontal="left"/>
    </xf>
    <xf numFmtId="0" fontId="98" fillId="0" borderId="0" xfId="622" applyFont="1" applyBorder="1" applyAlignment="1" applyProtection="1">
      <alignment horizontal="left"/>
    </xf>
    <xf numFmtId="0" fontId="99" fillId="0" borderId="0" xfId="617" applyFont="1"/>
    <xf numFmtId="0" fontId="100" fillId="0" borderId="0" xfId="618" applyFont="1" applyAlignment="1">
      <alignment horizontal="left"/>
    </xf>
    <xf numFmtId="0" fontId="100" fillId="0" borderId="0" xfId="618" applyFont="1"/>
    <xf numFmtId="49" fontId="100" fillId="0" borderId="0" xfId="618" applyNumberFormat="1" applyFont="1"/>
    <xf numFmtId="49" fontId="101" fillId="0" borderId="0" xfId="622" applyNumberFormat="1" applyFont="1" applyBorder="1" applyAlignment="1" applyProtection="1"/>
    <xf numFmtId="49" fontId="102" fillId="0" borderId="0" xfId="622" applyNumberFormat="1" applyFont="1" applyBorder="1" applyAlignment="1" applyProtection="1"/>
    <xf numFmtId="0" fontId="103" fillId="0" borderId="0" xfId="619" applyFont="1"/>
    <xf numFmtId="49" fontId="104" fillId="0" borderId="0" xfId="3" applyNumberFormat="1" applyFont="1" applyAlignment="1">
      <alignment wrapText="1"/>
    </xf>
    <xf numFmtId="0" fontId="88" fillId="0" borderId="0" xfId="620" applyFont="1"/>
    <xf numFmtId="14" fontId="86" fillId="0" borderId="0" xfId="618" applyNumberFormat="1" applyFont="1" applyAlignment="1">
      <alignment horizontal="right"/>
    </xf>
    <xf numFmtId="0" fontId="62" fillId="0" borderId="0" xfId="618" applyFont="1"/>
    <xf numFmtId="49" fontId="6" fillId="0" borderId="1" xfId="146" applyNumberFormat="1" applyFont="1" applyBorder="1" applyAlignment="1">
      <alignment horizontal="left" vertical="center" wrapText="1" readingOrder="1"/>
    </xf>
    <xf numFmtId="49" fontId="106" fillId="0" borderId="1" xfId="146" applyNumberFormat="1" applyFont="1" applyBorder="1" applyAlignment="1">
      <alignment horizontal="left" vertical="center" wrapText="1" readingOrder="1"/>
    </xf>
    <xf numFmtId="49" fontId="6" fillId="0" borderId="0" xfId="146" applyNumberFormat="1" applyFont="1" applyAlignment="1">
      <alignment horizontal="left" vertical="center" wrapText="1" readingOrder="1"/>
    </xf>
    <xf numFmtId="49" fontId="6" fillId="0" borderId="26" xfId="146" applyNumberFormat="1" applyFont="1" applyBorder="1" applyAlignment="1">
      <alignment vertical="top"/>
    </xf>
    <xf numFmtId="49" fontId="6" fillId="30" borderId="1" xfId="146" applyNumberFormat="1" applyFont="1" applyFill="1" applyBorder="1" applyAlignment="1">
      <alignment horizontal="left" vertical="center" wrapText="1" readingOrder="1"/>
    </xf>
    <xf numFmtId="49" fontId="107" fillId="0" borderId="1" xfId="146" applyNumberFormat="1" applyFont="1" applyBorder="1" applyAlignment="1">
      <alignment horizontal="left" vertical="center" wrapText="1" readingOrder="1"/>
    </xf>
    <xf numFmtId="171" fontId="7" fillId="30" borderId="1" xfId="146" applyNumberFormat="1" applyFont="1" applyFill="1" applyBorder="1" applyAlignment="1">
      <alignment horizontal="right" vertical="top"/>
    </xf>
    <xf numFmtId="176" fontId="6" fillId="30" borderId="2" xfId="3" applyNumberFormat="1" applyFont="1" applyFill="1" applyBorder="1" applyAlignment="1">
      <alignment horizontal="right" vertical="top"/>
    </xf>
    <xf numFmtId="172" fontId="6" fillId="30" borderId="1" xfId="824" applyNumberFormat="1" applyFont="1" applyFill="1" applyBorder="1" applyAlignment="1">
      <alignment horizontal="right" vertical="top"/>
    </xf>
    <xf numFmtId="172" fontId="6" fillId="30" borderId="1" xfId="8" applyNumberFormat="1" applyFont="1" applyFill="1" applyBorder="1" applyAlignment="1">
      <alignment horizontal="right" vertical="top"/>
    </xf>
  </cellXfs>
  <cellStyles count="1030">
    <cellStyle name="_300_B5_2_500_002_70905 NAB" xfId="19" xr:uid="{00000000-0005-0000-0000-000000000000}"/>
    <cellStyle name="_300_B5_2_500_002_70905 NAB 2" xfId="148" xr:uid="{00000000-0005-0000-0000-000001000000}"/>
    <cellStyle name="_300_B5_2_500_002_70905 NAB 2 2" xfId="863" xr:uid="{00000000-0005-0000-0000-000002000000}"/>
    <cellStyle name="_300_B5_2_500_002_70905 NAB 3" xfId="837" xr:uid="{00000000-0005-0000-0000-000003000000}"/>
    <cellStyle name="_414" xfId="623" xr:uid="{00000000-0005-0000-0000-000004000000}"/>
    <cellStyle name="_414_902_VV_HO26__130503" xfId="624" xr:uid="{00000000-0005-0000-0000-000005000000}"/>
    <cellStyle name="_414_HO26__Výkaz výměr_VZT-A33" xfId="625" xr:uid="{00000000-0005-0000-0000-000006000000}"/>
    <cellStyle name="_414_HO26__Výkaz výměr_VZT-A33 2" xfId="971" xr:uid="{00000000-0005-0000-0000-000007000000}"/>
    <cellStyle name="_414_VV_HO26__zti_io" xfId="626" xr:uid="{00000000-0005-0000-0000-000008000000}"/>
    <cellStyle name="_414_VV_HO26__zti_io 2" xfId="972" xr:uid="{00000000-0005-0000-0000-000009000000}"/>
    <cellStyle name="_415" xfId="627" xr:uid="{00000000-0005-0000-0000-00000A000000}"/>
    <cellStyle name="_415_902_VV_HO26__130503" xfId="628" xr:uid="{00000000-0005-0000-0000-00000B000000}"/>
    <cellStyle name="_415_HO26__Výkaz výměr_VZT-A33" xfId="629" xr:uid="{00000000-0005-0000-0000-00000C000000}"/>
    <cellStyle name="_415_HO26__Výkaz výměr_VZT-A33 2" xfId="973" xr:uid="{00000000-0005-0000-0000-00000D000000}"/>
    <cellStyle name="_415_VV_HO26__zti_io" xfId="630" xr:uid="{00000000-0005-0000-0000-00000E000000}"/>
    <cellStyle name="_415_VV_HO26__zti_io 2" xfId="974" xr:uid="{00000000-0005-0000-0000-00000F000000}"/>
    <cellStyle name="_Appendix N_Detailed Price Breakdown" xfId="20" xr:uid="{00000000-0005-0000-0000-000010000000}"/>
    <cellStyle name="_Appendix N_Detailed Price Breakdown 2" xfId="149" xr:uid="{00000000-0005-0000-0000-000011000000}"/>
    <cellStyle name="_Appendix N_Detailed Price Breakdown 2 2" xfId="864" xr:uid="{00000000-0005-0000-0000-000012000000}"/>
    <cellStyle name="_Appendix N_Detailed Price Breakdown 3" xfId="838" xr:uid="{00000000-0005-0000-0000-000013000000}"/>
    <cellStyle name="_Appendix N_Detailed Price Breakdown_VS-VV_D0500_KaZP_090410-boq" xfId="21" xr:uid="{00000000-0005-0000-0000-000014000000}"/>
    <cellStyle name="_cenová nabídka" xfId="22" xr:uid="{00000000-0005-0000-0000-000015000000}"/>
    <cellStyle name="_CN 20070828" xfId="23" xr:uid="{00000000-0005-0000-0000-000016000000}"/>
    <cellStyle name="_CN 20070828k" xfId="24" xr:uid="{00000000-0005-0000-0000-000017000000}"/>
    <cellStyle name="_CN_vzor_ROK 2002" xfId="685" xr:uid="{00000000-0005-0000-0000-000018000000}"/>
    <cellStyle name="_HO_DPS_MAR_904_00_Vykaz_vymer" xfId="631" xr:uid="{00000000-0005-0000-0000-000019000000}"/>
    <cellStyle name="_HOLEČKOVA_VV_silnoproud" xfId="632" xr:uid="{00000000-0005-0000-0000-00001A000000}"/>
    <cellStyle name="_Podklady silnoproud brutto" xfId="686" xr:uid="{00000000-0005-0000-0000-00001B000000}"/>
    <cellStyle name="_PŘ  hotel radl 709 je" xfId="25" xr:uid="{00000000-0005-0000-0000-00001C000000}"/>
    <cellStyle name="_PS_M_93_02_slaboproud" xfId="26" xr:uid="{00000000-0005-0000-0000-00001D000000}"/>
    <cellStyle name="_PS_M_93_02_slaboproud_VS-VV_D0500_KaZP_090410-boq" xfId="27" xr:uid="{00000000-0005-0000-0000-00001E000000}"/>
    <cellStyle name="_RADLICKA_tendr_070920" xfId="28" xr:uid="{00000000-0005-0000-0000-00001F000000}"/>
    <cellStyle name="_RADLICKA_tendr_070920 2" xfId="150" xr:uid="{00000000-0005-0000-0000-000020000000}"/>
    <cellStyle name="_RADLICKA_tendr_070920 2 2" xfId="865" xr:uid="{00000000-0005-0000-0000-000021000000}"/>
    <cellStyle name="_RADLICKA_tendr_070920 3" xfId="839" xr:uid="{00000000-0005-0000-0000-000022000000}"/>
    <cellStyle name="_roz  hotel radl 709 (3) MD NAB" xfId="29" xr:uid="{00000000-0005-0000-0000-000023000000}"/>
    <cellStyle name="_SO002_3_E91_SK" xfId="30" xr:uid="{00000000-0005-0000-0000-000024000000}"/>
    <cellStyle name="_Summary bill of rates COOLINGL" xfId="31" xr:uid="{00000000-0005-0000-0000-000025000000}"/>
    <cellStyle name="_Summary bill of rates COOLINGL 2" xfId="151" xr:uid="{00000000-0005-0000-0000-000026000000}"/>
    <cellStyle name="_Summary bill of rates COOLINGL 2 2" xfId="866" xr:uid="{00000000-0005-0000-0000-000027000000}"/>
    <cellStyle name="_Summary bill of rates COOLINGL 3" xfId="840" xr:uid="{00000000-0005-0000-0000-000028000000}"/>
    <cellStyle name="_Summary bill of rates COOLINGL_1" xfId="32" xr:uid="{00000000-0005-0000-0000-000029000000}"/>
    <cellStyle name="_Summary bill of rates COOLINGL_1 2" xfId="152" xr:uid="{00000000-0005-0000-0000-00002A000000}"/>
    <cellStyle name="_Summary bill of rates COOLINGL_1 2 2" xfId="867" xr:uid="{00000000-0005-0000-0000-00002B000000}"/>
    <cellStyle name="_Summary bill of rates COOLINGL_1 3" xfId="841" xr:uid="{00000000-0005-0000-0000-00002C000000}"/>
    <cellStyle name="_Summary bill of rates COOLINGL_1_VS-VV_D0500_KaZP_090410-boq" xfId="33" xr:uid="{00000000-0005-0000-0000-00002D000000}"/>
    <cellStyle name="_Summary bill of rates COOLINGL_2" xfId="34" xr:uid="{00000000-0005-0000-0000-00002E000000}"/>
    <cellStyle name="_Summary bill of rates COOLINGL_2 2" xfId="153" xr:uid="{00000000-0005-0000-0000-00002F000000}"/>
    <cellStyle name="_Summary bill of rates COOLINGL_2 2 2" xfId="868" xr:uid="{00000000-0005-0000-0000-000030000000}"/>
    <cellStyle name="_Summary bill of rates COOLINGL_2 3" xfId="842" xr:uid="{00000000-0005-0000-0000-000031000000}"/>
    <cellStyle name="_Summary bill of rates COOLINGL_2_VS-VV_D0500_KaZP_090410-boq" xfId="35" xr:uid="{00000000-0005-0000-0000-000032000000}"/>
    <cellStyle name="_Summary bill of rates COOLINGL_3" xfId="36" xr:uid="{00000000-0005-0000-0000-000033000000}"/>
    <cellStyle name="_Summary bill of rates COOLINGL_3 2" xfId="154" xr:uid="{00000000-0005-0000-0000-000034000000}"/>
    <cellStyle name="_Summary bill of rates COOLINGL_3 2 2" xfId="869" xr:uid="{00000000-0005-0000-0000-000035000000}"/>
    <cellStyle name="_Summary bill of rates COOLINGL_3 3" xfId="843" xr:uid="{00000000-0005-0000-0000-000036000000}"/>
    <cellStyle name="_Summary bill of rates COOLINGL_3_VS-VV_D0500_KaZP_090410-boq" xfId="37" xr:uid="{00000000-0005-0000-0000-000037000000}"/>
    <cellStyle name="_Summary bill of rates COOLINGL_VS-VV_D0500_KaZP_090410-boq" xfId="38" xr:uid="{00000000-0005-0000-0000-000038000000}"/>
    <cellStyle name="_Summary bill of rates COOLINGL_VS-VV_D0500_KaZP_090410-boq 2" xfId="155" xr:uid="{00000000-0005-0000-0000-000039000000}"/>
    <cellStyle name="_Summary bill of rates COOLINGL_VS-VV_D0500_KaZP_090410-boq 2 2" xfId="870" xr:uid="{00000000-0005-0000-0000-00003A000000}"/>
    <cellStyle name="_Summary bill of rates COOLINGL_VS-VV_D0500_KaZP_090410-boq 3" xfId="844" xr:uid="{00000000-0005-0000-0000-00003B000000}"/>
    <cellStyle name="_Summary bill of rates VENTILATIONL" xfId="39" xr:uid="{00000000-0005-0000-0000-00003C000000}"/>
    <cellStyle name="_Summary bill of rates VENTILATIONL 2" xfId="156" xr:uid="{00000000-0005-0000-0000-00003D000000}"/>
    <cellStyle name="_Summary bill of rates VENTILATIONL 2 2" xfId="871" xr:uid="{00000000-0005-0000-0000-00003E000000}"/>
    <cellStyle name="_Summary bill of rates VENTILATIONL 3" xfId="845" xr:uid="{00000000-0005-0000-0000-00003F000000}"/>
    <cellStyle name="_Summary bill of rates VENTILATIONL_1" xfId="40" xr:uid="{00000000-0005-0000-0000-000040000000}"/>
    <cellStyle name="_Summary bill of rates VENTILATIONL_1 2" xfId="157" xr:uid="{00000000-0005-0000-0000-000041000000}"/>
    <cellStyle name="_Summary bill of rates VENTILATIONL_1 2 2" xfId="872" xr:uid="{00000000-0005-0000-0000-000042000000}"/>
    <cellStyle name="_Summary bill of rates VENTILATIONL_1 3" xfId="846" xr:uid="{00000000-0005-0000-0000-000043000000}"/>
    <cellStyle name="_Summary bill of rates VENTILATIONL_1_VS-VV_D0500_KaZP_090410-boq" xfId="41" xr:uid="{00000000-0005-0000-0000-000044000000}"/>
    <cellStyle name="_Summary bill of rates VENTILATIONL_2" xfId="42" xr:uid="{00000000-0005-0000-0000-000045000000}"/>
    <cellStyle name="_Summary bill of rates VENTILATIONL_2 2" xfId="158" xr:uid="{00000000-0005-0000-0000-000046000000}"/>
    <cellStyle name="_Summary bill of rates VENTILATIONL_2 2 2" xfId="873" xr:uid="{00000000-0005-0000-0000-000047000000}"/>
    <cellStyle name="_Summary bill of rates VENTILATIONL_2 3" xfId="847" xr:uid="{00000000-0005-0000-0000-000048000000}"/>
    <cellStyle name="_Summary bill of rates VENTILATIONL_2_VS-VV_D0500_KaZP_090410-boq" xfId="43" xr:uid="{00000000-0005-0000-0000-000049000000}"/>
    <cellStyle name="_Summary bill of rates VENTILATIONL_3" xfId="44" xr:uid="{00000000-0005-0000-0000-00004A000000}"/>
    <cellStyle name="_Summary bill of rates VENTILATIONL_3 2" xfId="159" xr:uid="{00000000-0005-0000-0000-00004B000000}"/>
    <cellStyle name="_Summary bill of rates VENTILATIONL_3 2 2" xfId="874" xr:uid="{00000000-0005-0000-0000-00004C000000}"/>
    <cellStyle name="_Summary bill of rates VENTILATIONL_3 3" xfId="848" xr:uid="{00000000-0005-0000-0000-00004D000000}"/>
    <cellStyle name="_Summary bill of rates VENTILATIONL_3_VS-VV_D0500_KaZP_090410-boq" xfId="45" xr:uid="{00000000-0005-0000-0000-00004E000000}"/>
    <cellStyle name="_Summary bill of rates VENTILATIONL_VS-VV_D0500_KaZP_090410-boq" xfId="46" xr:uid="{00000000-0005-0000-0000-00004F000000}"/>
    <cellStyle name="_Summary bill of rates VENTILATIONL_VS-VV_D0500_KaZP_090410-boq 2" xfId="160" xr:uid="{00000000-0005-0000-0000-000050000000}"/>
    <cellStyle name="_Summary bill of rates VENTILATIONL_VS-VV_D0500_KaZP_090410-boq 2 2" xfId="875" xr:uid="{00000000-0005-0000-0000-000051000000}"/>
    <cellStyle name="_Summary bill of rates VENTILATIONL_VS-VV_D0500_KaZP_090410-boq 3" xfId="849" xr:uid="{00000000-0005-0000-0000-000052000000}"/>
    <cellStyle name="20 % – Zvýraznění1 2" xfId="342" xr:uid="{00000000-0005-0000-0000-000053000000}"/>
    <cellStyle name="20 % – Zvýraznění2 2" xfId="343" xr:uid="{00000000-0005-0000-0000-000054000000}"/>
    <cellStyle name="20 % – Zvýraznění3 2" xfId="344" xr:uid="{00000000-0005-0000-0000-000055000000}"/>
    <cellStyle name="20 % – Zvýraznění4 2" xfId="345" xr:uid="{00000000-0005-0000-0000-000056000000}"/>
    <cellStyle name="20 % – Zvýraznění5 2" xfId="346" xr:uid="{00000000-0005-0000-0000-000057000000}"/>
    <cellStyle name="20 % – Zvýraznění6 2" xfId="347" xr:uid="{00000000-0005-0000-0000-000058000000}"/>
    <cellStyle name="20% - Accent1" xfId="47" xr:uid="{00000000-0005-0000-0000-000059000000}"/>
    <cellStyle name="20% - Accent2" xfId="48" xr:uid="{00000000-0005-0000-0000-00005A000000}"/>
    <cellStyle name="20% - Accent3" xfId="49" xr:uid="{00000000-0005-0000-0000-00005B000000}"/>
    <cellStyle name="20% - Accent4" xfId="50" xr:uid="{00000000-0005-0000-0000-00005C000000}"/>
    <cellStyle name="20% - Accent5" xfId="51" xr:uid="{00000000-0005-0000-0000-00005D000000}"/>
    <cellStyle name="20% - Accent6" xfId="52" xr:uid="{00000000-0005-0000-0000-00005E000000}"/>
    <cellStyle name="40 % – Zvýraznění1 2" xfId="348" xr:uid="{00000000-0005-0000-0000-00005F000000}"/>
    <cellStyle name="40 % – Zvýraznění2 2" xfId="349" xr:uid="{00000000-0005-0000-0000-000060000000}"/>
    <cellStyle name="40 % – Zvýraznění3 2" xfId="350" xr:uid="{00000000-0005-0000-0000-000061000000}"/>
    <cellStyle name="40 % – Zvýraznění4 2" xfId="351" xr:uid="{00000000-0005-0000-0000-000062000000}"/>
    <cellStyle name="40 % – Zvýraznění5 2" xfId="352" xr:uid="{00000000-0005-0000-0000-000063000000}"/>
    <cellStyle name="40 % – Zvýraznění6 2" xfId="353" xr:uid="{00000000-0005-0000-0000-000064000000}"/>
    <cellStyle name="40% - Accent1" xfId="53" xr:uid="{00000000-0005-0000-0000-000065000000}"/>
    <cellStyle name="40% - Accent2" xfId="54" xr:uid="{00000000-0005-0000-0000-000066000000}"/>
    <cellStyle name="40% - Accent3" xfId="55" xr:uid="{00000000-0005-0000-0000-000067000000}"/>
    <cellStyle name="40% - Accent4" xfId="56" xr:uid="{00000000-0005-0000-0000-000068000000}"/>
    <cellStyle name="40% - Accent5" xfId="57" xr:uid="{00000000-0005-0000-0000-000069000000}"/>
    <cellStyle name="40% - Accent6" xfId="58" xr:uid="{00000000-0005-0000-0000-00006A000000}"/>
    <cellStyle name="60 % – Zvýraznění1 2" xfId="354" xr:uid="{00000000-0005-0000-0000-00006B000000}"/>
    <cellStyle name="60 % – Zvýraznění2 2" xfId="355" xr:uid="{00000000-0005-0000-0000-00006C000000}"/>
    <cellStyle name="60 % – Zvýraznění3 2" xfId="356" xr:uid="{00000000-0005-0000-0000-00006D000000}"/>
    <cellStyle name="60 % – Zvýraznění4 2" xfId="357" xr:uid="{00000000-0005-0000-0000-00006E000000}"/>
    <cellStyle name="60 % – Zvýraznění5 2" xfId="358" xr:uid="{00000000-0005-0000-0000-00006F000000}"/>
    <cellStyle name="60 % – Zvýraznění6 2" xfId="359" xr:uid="{00000000-0005-0000-0000-000070000000}"/>
    <cellStyle name="60% - Accent1" xfId="59" xr:uid="{00000000-0005-0000-0000-000071000000}"/>
    <cellStyle name="60% - Accent2" xfId="60" xr:uid="{00000000-0005-0000-0000-000072000000}"/>
    <cellStyle name="60% - Accent3" xfId="61" xr:uid="{00000000-0005-0000-0000-000073000000}"/>
    <cellStyle name="60% - Accent4" xfId="62" xr:uid="{00000000-0005-0000-0000-000074000000}"/>
    <cellStyle name="60% - Accent5" xfId="63" xr:uid="{00000000-0005-0000-0000-000075000000}"/>
    <cellStyle name="60% - Accent6" xfId="64" xr:uid="{00000000-0005-0000-0000-000076000000}"/>
    <cellStyle name="Accent1" xfId="65" xr:uid="{00000000-0005-0000-0000-000077000000}"/>
    <cellStyle name="Accent2" xfId="66" xr:uid="{00000000-0005-0000-0000-000078000000}"/>
    <cellStyle name="Accent3" xfId="67" xr:uid="{00000000-0005-0000-0000-000079000000}"/>
    <cellStyle name="Accent4" xfId="68" xr:uid="{00000000-0005-0000-0000-00007A000000}"/>
    <cellStyle name="Accent5" xfId="69" xr:uid="{00000000-0005-0000-0000-00007B000000}"/>
    <cellStyle name="Accent6" xfId="70" xr:uid="{00000000-0005-0000-0000-00007C000000}"/>
    <cellStyle name="Bad" xfId="71" xr:uid="{00000000-0005-0000-0000-00007D000000}"/>
    <cellStyle name="bezčárky_" xfId="72" xr:uid="{00000000-0005-0000-0000-00007E000000}"/>
    <cellStyle name="Bold 11" xfId="687" xr:uid="{00000000-0005-0000-0000-00007F000000}"/>
    <cellStyle name="Calculation" xfId="73" xr:uid="{00000000-0005-0000-0000-000080000000}"/>
    <cellStyle name="Celá čísla" xfId="360" xr:uid="{00000000-0005-0000-0000-000081000000}"/>
    <cellStyle name="Celkem 2" xfId="384" xr:uid="{00000000-0005-0000-0000-000082000000}"/>
    <cellStyle name="Comma [0]_9eu2xkjwWrYu0YNRaLvhySkeD" xfId="688" xr:uid="{00000000-0005-0000-0000-000083000000}"/>
    <cellStyle name="Comma_9eu2xkjwWrYu0YNRaLvhySkeD" xfId="689" xr:uid="{00000000-0005-0000-0000-000084000000}"/>
    <cellStyle name="Currency (0)" xfId="690" xr:uid="{00000000-0005-0000-0000-000085000000}"/>
    <cellStyle name="Currency (2)" xfId="691" xr:uid="{00000000-0005-0000-0000-000086000000}"/>
    <cellStyle name="Currency [0]_3LU9hSJnLyQkkffIimuyOsjVm" xfId="692" xr:uid="{00000000-0005-0000-0000-000087000000}"/>
    <cellStyle name="Currency_3LU9hSJnLyQkkffIimuyOsjVm" xfId="693" xr:uid="{00000000-0005-0000-0000-000088000000}"/>
    <cellStyle name="Currency0" xfId="74" xr:uid="{00000000-0005-0000-0000-000089000000}"/>
    <cellStyle name="Čárka 2" xfId="991" xr:uid="{00000000-0005-0000-0000-00008A000000}"/>
    <cellStyle name="Čárka 2 2" xfId="1013" xr:uid="{00000000-0005-0000-0000-00008B000000}"/>
    <cellStyle name="čárky 2" xfId="75" xr:uid="{00000000-0005-0000-0000-00008C000000}"/>
    <cellStyle name="čárky 2 2" xfId="161" xr:uid="{00000000-0005-0000-0000-00008D000000}"/>
    <cellStyle name="čárky 2 2 2" xfId="876" xr:uid="{00000000-0005-0000-0000-00008E000000}"/>
    <cellStyle name="čárky 2 2 2 2" xfId="1021" xr:uid="{00000000-0005-0000-0000-00008F000000}"/>
    <cellStyle name="čárky 2 2 3" xfId="1004" xr:uid="{00000000-0005-0000-0000-000090000000}"/>
    <cellStyle name="čárky 2 3" xfId="850" xr:uid="{00000000-0005-0000-0000-000091000000}"/>
    <cellStyle name="čárky 2 3 2" xfId="1015" xr:uid="{00000000-0005-0000-0000-000092000000}"/>
    <cellStyle name="čárky 2 4" xfId="998" xr:uid="{00000000-0005-0000-0000-000093000000}"/>
    <cellStyle name="čiarky 2" xfId="633" xr:uid="{00000000-0005-0000-0000-000094000000}"/>
    <cellStyle name="čísla požek" xfId="17" xr:uid="{00000000-0005-0000-0000-000095000000}"/>
    <cellStyle name="číslo.00_" xfId="76" xr:uid="{00000000-0005-0000-0000-000096000000}"/>
    <cellStyle name="Date" xfId="694" xr:uid="{00000000-0005-0000-0000-000097000000}"/>
    <cellStyle name="Date-Time" xfId="695" xr:uid="{00000000-0005-0000-0000-000098000000}"/>
    <cellStyle name="Decimal 1" xfId="696" xr:uid="{00000000-0005-0000-0000-000099000000}"/>
    <cellStyle name="Decimal 2" xfId="697" xr:uid="{00000000-0005-0000-0000-00009A000000}"/>
    <cellStyle name="Decimal 3" xfId="698" xr:uid="{00000000-0005-0000-0000-00009B000000}"/>
    <cellStyle name="Dezimal [0]_--&gt;2-1" xfId="77" xr:uid="{00000000-0005-0000-0000-00009C000000}"/>
    <cellStyle name="Dezimal 2" xfId="634" xr:uid="{00000000-0005-0000-0000-00009D000000}"/>
    <cellStyle name="Dezimal_--&gt;2-1" xfId="78" xr:uid="{00000000-0005-0000-0000-00009E000000}"/>
    <cellStyle name="Excel Built-in Normal" xfId="261" xr:uid="{00000000-0005-0000-0000-00009F000000}"/>
    <cellStyle name="Explanatory Text" xfId="79" xr:uid="{00000000-0005-0000-0000-0000A0000000}"/>
    <cellStyle name="Firma" xfId="635" xr:uid="{00000000-0005-0000-0000-0000A1000000}"/>
    <cellStyle name="Firma 2" xfId="636" xr:uid="{00000000-0005-0000-0000-0000A2000000}"/>
    <cellStyle name="Good" xfId="80" xr:uid="{00000000-0005-0000-0000-0000A3000000}"/>
    <cellStyle name="Heading" xfId="81" xr:uid="{00000000-0005-0000-0000-0000A4000000}"/>
    <cellStyle name="Heading 1" xfId="82" xr:uid="{00000000-0005-0000-0000-0000A5000000}"/>
    <cellStyle name="Heading 2" xfId="83" xr:uid="{00000000-0005-0000-0000-0000A6000000}"/>
    <cellStyle name="Heading 3" xfId="84" xr:uid="{00000000-0005-0000-0000-0000A7000000}"/>
    <cellStyle name="Heading 4" xfId="85" xr:uid="{00000000-0005-0000-0000-0000A8000000}"/>
    <cellStyle name="Heading1" xfId="86" xr:uid="{00000000-0005-0000-0000-0000A9000000}"/>
    <cellStyle name="Hlavní nadpis" xfId="637" xr:uid="{00000000-0005-0000-0000-0000AA000000}"/>
    <cellStyle name="Hypertextové prepojenie 2" xfId="638" xr:uid="{00000000-0005-0000-0000-0000AB000000}"/>
    <cellStyle name="Hypertextový odkaz" xfId="622" builtinId="8"/>
    <cellStyle name="Hypertextový odkaz 2" xfId="560" xr:uid="{00000000-0005-0000-0000-0000AD000000}"/>
    <cellStyle name="Check Cell" xfId="87" xr:uid="{00000000-0005-0000-0000-0000AE000000}"/>
    <cellStyle name="Chybně 10" xfId="639" xr:uid="{00000000-0005-0000-0000-0000AF000000}"/>
    <cellStyle name="Chybně 11" xfId="640" xr:uid="{00000000-0005-0000-0000-0000B0000000}"/>
    <cellStyle name="Chybně 12" xfId="641" xr:uid="{00000000-0005-0000-0000-0000B1000000}"/>
    <cellStyle name="Chybně 13" xfId="642" xr:uid="{00000000-0005-0000-0000-0000B2000000}"/>
    <cellStyle name="Chybně 14" xfId="643" xr:uid="{00000000-0005-0000-0000-0000B3000000}"/>
    <cellStyle name="Chybně 15" xfId="644" xr:uid="{00000000-0005-0000-0000-0000B4000000}"/>
    <cellStyle name="Chybně 16" xfId="645" xr:uid="{00000000-0005-0000-0000-0000B5000000}"/>
    <cellStyle name="Chybně 17" xfId="646" xr:uid="{00000000-0005-0000-0000-0000B6000000}"/>
    <cellStyle name="Chybně 2" xfId="361" xr:uid="{00000000-0005-0000-0000-0000B7000000}"/>
    <cellStyle name="Chybně 3" xfId="647" xr:uid="{00000000-0005-0000-0000-0000B8000000}"/>
    <cellStyle name="Chybně 4" xfId="648" xr:uid="{00000000-0005-0000-0000-0000B9000000}"/>
    <cellStyle name="Chybně 5" xfId="649" xr:uid="{00000000-0005-0000-0000-0000BA000000}"/>
    <cellStyle name="Chybně 6" xfId="650" xr:uid="{00000000-0005-0000-0000-0000BB000000}"/>
    <cellStyle name="Chybně 7" xfId="651" xr:uid="{00000000-0005-0000-0000-0000BC000000}"/>
    <cellStyle name="Chybně 8" xfId="652" xr:uid="{00000000-0005-0000-0000-0000BD000000}"/>
    <cellStyle name="Chybně 9" xfId="653" xr:uid="{00000000-0005-0000-0000-0000BE000000}"/>
    <cellStyle name="Input" xfId="88" xr:uid="{00000000-0005-0000-0000-0000BF000000}"/>
    <cellStyle name="Input %" xfId="700" xr:uid="{00000000-0005-0000-0000-0000C0000000}"/>
    <cellStyle name="Input 1" xfId="701" xr:uid="{00000000-0005-0000-0000-0000C1000000}"/>
    <cellStyle name="Input 2" xfId="699" xr:uid="{00000000-0005-0000-0000-0000C2000000}"/>
    <cellStyle name="Input 3" xfId="702" xr:uid="{00000000-0005-0000-0000-0000C3000000}"/>
    <cellStyle name="Kontrolní buňka 2" xfId="362" xr:uid="{00000000-0005-0000-0000-0000C4000000}"/>
    <cellStyle name="lehký dolní okraj" xfId="89" xr:uid="{00000000-0005-0000-0000-0000C5000000}"/>
    <cellStyle name="Linked Cell" xfId="90" xr:uid="{00000000-0005-0000-0000-0000C6000000}"/>
    <cellStyle name="Měna" xfId="1025" builtinId="4"/>
    <cellStyle name="Měna 2" xfId="91" xr:uid="{00000000-0005-0000-0000-0000C8000000}"/>
    <cellStyle name="Měna 2 2" xfId="851" xr:uid="{00000000-0005-0000-0000-0000C9000000}"/>
    <cellStyle name="Měna 2 2 2" xfId="1016" xr:uid="{00000000-0005-0000-0000-0000CA000000}"/>
    <cellStyle name="Měna 2 3" xfId="999" xr:uid="{00000000-0005-0000-0000-0000CB000000}"/>
    <cellStyle name="Měna 3" xfId="92" xr:uid="{00000000-0005-0000-0000-0000CC000000}"/>
    <cellStyle name="Měna 3 2" xfId="162" xr:uid="{00000000-0005-0000-0000-0000CD000000}"/>
    <cellStyle name="Měna 3 2 2" xfId="877" xr:uid="{00000000-0005-0000-0000-0000CE000000}"/>
    <cellStyle name="Měna 3 2 2 2" xfId="1022" xr:uid="{00000000-0005-0000-0000-0000CF000000}"/>
    <cellStyle name="Měna 3 2 3" xfId="1005" xr:uid="{00000000-0005-0000-0000-0000D0000000}"/>
    <cellStyle name="Měna 3 3" xfId="852" xr:uid="{00000000-0005-0000-0000-0000D1000000}"/>
    <cellStyle name="Měna 3 3 2" xfId="1017" xr:uid="{00000000-0005-0000-0000-0000D2000000}"/>
    <cellStyle name="Měna 3 4" xfId="1000" xr:uid="{00000000-0005-0000-0000-0000D3000000}"/>
    <cellStyle name="Měna 4" xfId="1024" xr:uid="{00000000-0005-0000-0000-0000D4000000}"/>
    <cellStyle name="meny 2" xfId="654" xr:uid="{00000000-0005-0000-0000-0000D5000000}"/>
    <cellStyle name="měny 2" xfId="9" xr:uid="{00000000-0005-0000-0000-0000D6000000}"/>
    <cellStyle name="měny 2 2" xfId="147" xr:uid="{00000000-0005-0000-0000-0000D7000000}"/>
    <cellStyle name="měny 2 2 2" xfId="862" xr:uid="{00000000-0005-0000-0000-0000D8000000}"/>
    <cellStyle name="měny 2 2 2 2" xfId="1020" xr:uid="{00000000-0005-0000-0000-0000D9000000}"/>
    <cellStyle name="měny 2 2 3" xfId="1003" xr:uid="{00000000-0005-0000-0000-0000DA000000}"/>
    <cellStyle name="měny 2 3" xfId="835" xr:uid="{00000000-0005-0000-0000-0000DB000000}"/>
    <cellStyle name="měny 2 3 2" xfId="1014" xr:uid="{00000000-0005-0000-0000-0000DC000000}"/>
    <cellStyle name="měny 2 4" xfId="997" xr:uid="{00000000-0005-0000-0000-0000DD000000}"/>
    <cellStyle name="měny 3" xfId="93" xr:uid="{00000000-0005-0000-0000-0000DE000000}"/>
    <cellStyle name="měny 3 2" xfId="853" xr:uid="{00000000-0005-0000-0000-0000DF000000}"/>
    <cellStyle name="měny 3 2 2" xfId="1018" xr:uid="{00000000-0005-0000-0000-0000E0000000}"/>
    <cellStyle name="měny 3 3" xfId="1001" xr:uid="{00000000-0005-0000-0000-0000E1000000}"/>
    <cellStyle name="měny 4" xfId="94" xr:uid="{00000000-0005-0000-0000-0000E2000000}"/>
    <cellStyle name="měny 4 2" xfId="163" xr:uid="{00000000-0005-0000-0000-0000E3000000}"/>
    <cellStyle name="měny 4 2 2" xfId="878" xr:uid="{00000000-0005-0000-0000-0000E4000000}"/>
    <cellStyle name="měny 4 2 2 2" xfId="1023" xr:uid="{00000000-0005-0000-0000-0000E5000000}"/>
    <cellStyle name="měny 4 2 3" xfId="1006" xr:uid="{00000000-0005-0000-0000-0000E6000000}"/>
    <cellStyle name="měny 4 3" xfId="854" xr:uid="{00000000-0005-0000-0000-0000E7000000}"/>
    <cellStyle name="měny 4 3 2" xfId="1019" xr:uid="{00000000-0005-0000-0000-0000E8000000}"/>
    <cellStyle name="měny 4 4" xfId="1002" xr:uid="{00000000-0005-0000-0000-0000E9000000}"/>
    <cellStyle name="Month" xfId="703" xr:uid="{00000000-0005-0000-0000-0000EA000000}"/>
    <cellStyle name="Nadpis 1 2" xfId="363" xr:uid="{00000000-0005-0000-0000-0000EB000000}"/>
    <cellStyle name="Nadpis 2 2" xfId="364" xr:uid="{00000000-0005-0000-0000-0000EC000000}"/>
    <cellStyle name="Nadpis 3 2" xfId="365" xr:uid="{00000000-0005-0000-0000-0000ED000000}"/>
    <cellStyle name="Nadpis 4 2" xfId="366" xr:uid="{00000000-0005-0000-0000-0000EE000000}"/>
    <cellStyle name="Název 2" xfId="381" xr:uid="{00000000-0005-0000-0000-0000EF000000}"/>
    <cellStyle name="Neutral" xfId="95" xr:uid="{00000000-0005-0000-0000-0000F0000000}"/>
    <cellStyle name="Neutrální 2" xfId="367" xr:uid="{00000000-0005-0000-0000-0000F1000000}"/>
    <cellStyle name="normal" xfId="96" xr:uid="{00000000-0005-0000-0000-0000F2000000}"/>
    <cellStyle name="Normal 11" xfId="704" xr:uid="{00000000-0005-0000-0000-0000F3000000}"/>
    <cellStyle name="normal 2" xfId="655" xr:uid="{00000000-0005-0000-0000-0000F4000000}"/>
    <cellStyle name="normal 2 2" xfId="656" xr:uid="{00000000-0005-0000-0000-0000F5000000}"/>
    <cellStyle name="normal 3" xfId="657" xr:uid="{00000000-0005-0000-0000-0000F6000000}"/>
    <cellStyle name="Normal_3LU9hSJnLyQkkffIimuyOsjVm" xfId="705" xr:uid="{00000000-0005-0000-0000-0000F7000000}"/>
    <cellStyle name="Normale_595" xfId="97" xr:uid="{00000000-0005-0000-0000-0000F8000000}"/>
    <cellStyle name="normálne 2" xfId="658" xr:uid="{00000000-0005-0000-0000-0000F9000000}"/>
    <cellStyle name="Normální" xfId="0" builtinId="0"/>
    <cellStyle name="Normální 10" xfId="98" xr:uid="{00000000-0005-0000-0000-0000FB000000}"/>
    <cellStyle name="Normální 10 3" xfId="659" xr:uid="{00000000-0005-0000-0000-0000FC000000}"/>
    <cellStyle name="Normální 10 3 2" xfId="975" xr:uid="{00000000-0005-0000-0000-0000FD000000}"/>
    <cellStyle name="Normální 100" xfId="994" xr:uid="{00000000-0005-0000-0000-0000FE000000}"/>
    <cellStyle name="Normální 101" xfId="831" xr:uid="{00000000-0005-0000-0000-0000FF000000}"/>
    <cellStyle name="normální 11" xfId="99" xr:uid="{00000000-0005-0000-0000-000000010000}"/>
    <cellStyle name="Normální 12" xfId="100" xr:uid="{00000000-0005-0000-0000-000001010000}"/>
    <cellStyle name="Normální 13" xfId="101" xr:uid="{00000000-0005-0000-0000-000002010000}"/>
    <cellStyle name="Normální 13 2" xfId="164" xr:uid="{00000000-0005-0000-0000-000003010000}"/>
    <cellStyle name="Normální 13 2 2" xfId="879" xr:uid="{00000000-0005-0000-0000-000004010000}"/>
    <cellStyle name="Normální 13 3" xfId="855" xr:uid="{00000000-0005-0000-0000-000005010000}"/>
    <cellStyle name="Normální 14" xfId="102" xr:uid="{00000000-0005-0000-0000-000006010000}"/>
    <cellStyle name="Normální 14 2" xfId="165" xr:uid="{00000000-0005-0000-0000-000007010000}"/>
    <cellStyle name="Normální 14 2 2" xfId="880" xr:uid="{00000000-0005-0000-0000-000008010000}"/>
    <cellStyle name="Normální 14 3" xfId="856" xr:uid="{00000000-0005-0000-0000-000009010000}"/>
    <cellStyle name="Normální 15" xfId="103" xr:uid="{00000000-0005-0000-0000-00000A010000}"/>
    <cellStyle name="Normální 15 2" xfId="166" xr:uid="{00000000-0005-0000-0000-00000B010000}"/>
    <cellStyle name="Normální 15 2 2" xfId="881" xr:uid="{00000000-0005-0000-0000-00000C010000}"/>
    <cellStyle name="Normální 15 3" xfId="857" xr:uid="{00000000-0005-0000-0000-00000D010000}"/>
    <cellStyle name="Normální 16" xfId="104" xr:uid="{00000000-0005-0000-0000-00000E010000}"/>
    <cellStyle name="Normální 16 2" xfId="167" xr:uid="{00000000-0005-0000-0000-00000F010000}"/>
    <cellStyle name="Normální 16 2 2" xfId="882" xr:uid="{00000000-0005-0000-0000-000010010000}"/>
    <cellStyle name="Normální 16 3" xfId="858" xr:uid="{00000000-0005-0000-0000-000011010000}"/>
    <cellStyle name="Normální 17" xfId="175" xr:uid="{00000000-0005-0000-0000-000012010000}"/>
    <cellStyle name="normální 17 2" xfId="301" xr:uid="{00000000-0005-0000-0000-000013010000}"/>
    <cellStyle name="normální 17 2 2" xfId="414" xr:uid="{00000000-0005-0000-0000-000014010000}"/>
    <cellStyle name="normální 17 2 2 2" xfId="745" xr:uid="{00000000-0005-0000-0000-000015010000}"/>
    <cellStyle name="normální 17 2 3" xfId="733" xr:uid="{00000000-0005-0000-0000-000016010000}"/>
    <cellStyle name="Normální 17 3" xfId="302" xr:uid="{00000000-0005-0000-0000-000017010000}"/>
    <cellStyle name="Normální 17 3 2" xfId="949" xr:uid="{00000000-0005-0000-0000-000018010000}"/>
    <cellStyle name="Normální 17 4" xfId="890" xr:uid="{00000000-0005-0000-0000-000019010000}"/>
    <cellStyle name="Normální 17 5" xfId="1007" xr:uid="{00000000-0005-0000-0000-00001A010000}"/>
    <cellStyle name="Normální 17 6" xfId="1010" xr:uid="{00000000-0005-0000-0000-00001B010000}"/>
    <cellStyle name="Normální 17 7" xfId="1011" xr:uid="{00000000-0005-0000-0000-00001C010000}"/>
    <cellStyle name="Normální 18" xfId="182" xr:uid="{00000000-0005-0000-0000-00001D010000}"/>
    <cellStyle name="Normální 18 2" xfId="897" xr:uid="{00000000-0005-0000-0000-00001E010000}"/>
    <cellStyle name="Normální 19" xfId="185" xr:uid="{00000000-0005-0000-0000-00001F010000}"/>
    <cellStyle name="Normální 19 2" xfId="900" xr:uid="{00000000-0005-0000-0000-000020010000}"/>
    <cellStyle name="normální 2" xfId="1" xr:uid="{00000000-0005-0000-0000-000021010000}"/>
    <cellStyle name="normální 2 10" xfId="660" xr:uid="{00000000-0005-0000-0000-000022010000}"/>
    <cellStyle name="Normální 2 11" xfId="814" xr:uid="{00000000-0005-0000-0000-000023010000}"/>
    <cellStyle name="Normální 2 11 2" xfId="982" xr:uid="{00000000-0005-0000-0000-000024010000}"/>
    <cellStyle name="Normální 2 12" xfId="813" xr:uid="{00000000-0005-0000-0000-000025010000}"/>
    <cellStyle name="Normální 2 12 2" xfId="981" xr:uid="{00000000-0005-0000-0000-000026010000}"/>
    <cellStyle name="normální 2 13" xfId="823" xr:uid="{00000000-0005-0000-0000-000027010000}"/>
    <cellStyle name="normální 2 14" xfId="829" xr:uid="{00000000-0005-0000-0000-000028010000}"/>
    <cellStyle name="normální 2 15" xfId="825" xr:uid="{00000000-0005-0000-0000-000029010000}"/>
    <cellStyle name="Normální 2 16" xfId="1026" xr:uid="{00000000-0005-0000-0000-00002A010000}"/>
    <cellStyle name="Normální 2 17" xfId="1028" xr:uid="{00000000-0005-0000-0000-00002B010000}"/>
    <cellStyle name="normální 2 2" xfId="2" xr:uid="{00000000-0005-0000-0000-00002C010000}"/>
    <cellStyle name="normální 2 2 10" xfId="105" xr:uid="{00000000-0005-0000-0000-00002D010000}"/>
    <cellStyle name="Normální 2 2 2" xfId="4" xr:uid="{00000000-0005-0000-0000-00002E010000}"/>
    <cellStyle name="normální 2 2 3" xfId="262" xr:uid="{00000000-0005-0000-0000-00002F010000}"/>
    <cellStyle name="normální 2 2 4" xfId="263" xr:uid="{00000000-0005-0000-0000-000030010000}"/>
    <cellStyle name="Normální 2 2 5" xfId="325" xr:uid="{00000000-0005-0000-0000-000031010000}"/>
    <cellStyle name="normální 2 2 6" xfId="620" xr:uid="{00000000-0005-0000-0000-000032010000}"/>
    <cellStyle name="normální 2 2 6 2" xfId="809" xr:uid="{00000000-0005-0000-0000-000033010000}"/>
    <cellStyle name="Normální 2 2 7" xfId="824" xr:uid="{00000000-0005-0000-0000-000034010000}"/>
    <cellStyle name="Normální 2 2 8" xfId="828" xr:uid="{00000000-0005-0000-0000-000035010000}"/>
    <cellStyle name="Normální 2 2 9" xfId="826" xr:uid="{00000000-0005-0000-0000-000036010000}"/>
    <cellStyle name="normální 2 2_BDE_DOPR_VV_141202" xfId="661" xr:uid="{00000000-0005-0000-0000-000037010000}"/>
    <cellStyle name="normální 2 3" xfId="10" xr:uid="{00000000-0005-0000-0000-000038010000}"/>
    <cellStyle name="normální 2 3 10" xfId="264" xr:uid="{00000000-0005-0000-0000-000039010000}"/>
    <cellStyle name="normální 2 3 11" xfId="303" xr:uid="{00000000-0005-0000-0000-00003A010000}"/>
    <cellStyle name="Normální 2 3 2" xfId="107" xr:uid="{00000000-0005-0000-0000-00003B010000}"/>
    <cellStyle name="Normální 2 3 2 2" xfId="304" xr:uid="{00000000-0005-0000-0000-00003C010000}"/>
    <cellStyle name="Normální 2 3 2 2 2" xfId="415" xr:uid="{00000000-0005-0000-0000-00003D010000}"/>
    <cellStyle name="Normální 2 3 2 2 2 2" xfId="746" xr:uid="{00000000-0005-0000-0000-00003E010000}"/>
    <cellStyle name="Normální 2 3 2 2 3" xfId="734" xr:uid="{00000000-0005-0000-0000-00003F010000}"/>
    <cellStyle name="Normální 2 3 2 3" xfId="326" xr:uid="{00000000-0005-0000-0000-000040010000}"/>
    <cellStyle name="Normální 2 3 2 3 2" xfId="503" xr:uid="{00000000-0005-0000-0000-000041010000}"/>
    <cellStyle name="Normální 2 3 2 3 2 2" xfId="754" xr:uid="{00000000-0005-0000-0000-000042010000}"/>
    <cellStyle name="Normální 2 3 2 3 3" xfId="736" xr:uid="{00000000-0005-0000-0000-000043010000}"/>
    <cellStyle name="Normální 2 3 2 4" xfId="728" xr:uid="{00000000-0005-0000-0000-000044010000}"/>
    <cellStyle name="normální 2 3 3" xfId="265" xr:uid="{00000000-0005-0000-0000-000045010000}"/>
    <cellStyle name="normální 2 3 4" xfId="266" xr:uid="{00000000-0005-0000-0000-000046010000}"/>
    <cellStyle name="normální 2 3 5" xfId="267" xr:uid="{00000000-0005-0000-0000-000047010000}"/>
    <cellStyle name="normální 2 3 6" xfId="268" xr:uid="{00000000-0005-0000-0000-000048010000}"/>
    <cellStyle name="normální 2 3 7" xfId="269" xr:uid="{00000000-0005-0000-0000-000049010000}"/>
    <cellStyle name="normální 2 3 8" xfId="270" xr:uid="{00000000-0005-0000-0000-00004A010000}"/>
    <cellStyle name="normální 2 3 9" xfId="271" xr:uid="{00000000-0005-0000-0000-00004B010000}"/>
    <cellStyle name="normální 2 3_BDE_DOPR_VV_141202" xfId="662" xr:uid="{00000000-0005-0000-0000-00004C010000}"/>
    <cellStyle name="normální 2 4" xfId="14" xr:uid="{00000000-0005-0000-0000-00004D010000}"/>
    <cellStyle name="normální 2 4 10" xfId="186" xr:uid="{00000000-0005-0000-0000-00004E010000}"/>
    <cellStyle name="Normální 2 4 11" xfId="187" xr:uid="{00000000-0005-0000-0000-00004F010000}"/>
    <cellStyle name="Normální 2 4 11 2" xfId="416" xr:uid="{00000000-0005-0000-0000-000050010000}"/>
    <cellStyle name="Normální 2 4 11 2 2" xfId="516" xr:uid="{00000000-0005-0000-0000-000051010000}"/>
    <cellStyle name="Normální 2 4 11 3" xfId="469" xr:uid="{00000000-0005-0000-0000-000052010000}"/>
    <cellStyle name="Normální 2 4 12" xfId="188" xr:uid="{00000000-0005-0000-0000-000053010000}"/>
    <cellStyle name="Normální 2 4 12 2" xfId="417" xr:uid="{00000000-0005-0000-0000-000054010000}"/>
    <cellStyle name="Normální 2 4 12 2 2" xfId="517" xr:uid="{00000000-0005-0000-0000-000055010000}"/>
    <cellStyle name="Normální 2 4 12 3" xfId="470" xr:uid="{00000000-0005-0000-0000-000056010000}"/>
    <cellStyle name="Normální 2 4 13" xfId="189" xr:uid="{00000000-0005-0000-0000-000057010000}"/>
    <cellStyle name="Normální 2 4 13 2" xfId="418" xr:uid="{00000000-0005-0000-0000-000058010000}"/>
    <cellStyle name="Normální 2 4 13 2 2" xfId="518" xr:uid="{00000000-0005-0000-0000-000059010000}"/>
    <cellStyle name="Normální 2 4 13 3" xfId="471" xr:uid="{00000000-0005-0000-0000-00005A010000}"/>
    <cellStyle name="Normální 2 4 14" xfId="190" xr:uid="{00000000-0005-0000-0000-00005B010000}"/>
    <cellStyle name="Normální 2 4 14 2" xfId="419" xr:uid="{00000000-0005-0000-0000-00005C010000}"/>
    <cellStyle name="Normální 2 4 14 2 2" xfId="519" xr:uid="{00000000-0005-0000-0000-00005D010000}"/>
    <cellStyle name="Normální 2 4 14 3" xfId="472" xr:uid="{00000000-0005-0000-0000-00005E010000}"/>
    <cellStyle name="Normální 2 4 15" xfId="191" xr:uid="{00000000-0005-0000-0000-00005F010000}"/>
    <cellStyle name="Normální 2 4 15 2" xfId="420" xr:uid="{00000000-0005-0000-0000-000060010000}"/>
    <cellStyle name="Normální 2 4 15 2 2" xfId="520" xr:uid="{00000000-0005-0000-0000-000061010000}"/>
    <cellStyle name="Normální 2 4 15 3" xfId="473" xr:uid="{00000000-0005-0000-0000-000062010000}"/>
    <cellStyle name="Normální 2 4 16" xfId="192" xr:uid="{00000000-0005-0000-0000-000063010000}"/>
    <cellStyle name="Normální 2 4 16 2" xfId="421" xr:uid="{00000000-0005-0000-0000-000064010000}"/>
    <cellStyle name="Normální 2 4 16 2 2" xfId="521" xr:uid="{00000000-0005-0000-0000-000065010000}"/>
    <cellStyle name="Normální 2 4 16 3" xfId="474" xr:uid="{00000000-0005-0000-0000-000066010000}"/>
    <cellStyle name="Normální 2 4 17" xfId="193" xr:uid="{00000000-0005-0000-0000-000067010000}"/>
    <cellStyle name="Normální 2 4 17 2" xfId="422" xr:uid="{00000000-0005-0000-0000-000068010000}"/>
    <cellStyle name="Normální 2 4 17 2 2" xfId="522" xr:uid="{00000000-0005-0000-0000-000069010000}"/>
    <cellStyle name="Normální 2 4 17 3" xfId="475" xr:uid="{00000000-0005-0000-0000-00006A010000}"/>
    <cellStyle name="Normální 2 4 18" xfId="194" xr:uid="{00000000-0005-0000-0000-00006B010000}"/>
    <cellStyle name="Normální 2 4 18 2" xfId="423" xr:uid="{00000000-0005-0000-0000-00006C010000}"/>
    <cellStyle name="Normální 2 4 18 2 2" xfId="523" xr:uid="{00000000-0005-0000-0000-00006D010000}"/>
    <cellStyle name="Normální 2 4 18 3" xfId="476" xr:uid="{00000000-0005-0000-0000-00006E010000}"/>
    <cellStyle name="Normální 2 4 19" xfId="195" xr:uid="{00000000-0005-0000-0000-00006F010000}"/>
    <cellStyle name="Normální 2 4 19 2" xfId="424" xr:uid="{00000000-0005-0000-0000-000070010000}"/>
    <cellStyle name="Normální 2 4 19 2 2" xfId="524" xr:uid="{00000000-0005-0000-0000-000071010000}"/>
    <cellStyle name="Normální 2 4 19 3" xfId="477" xr:uid="{00000000-0005-0000-0000-000072010000}"/>
    <cellStyle name="Normální 2 4 2" xfId="196" xr:uid="{00000000-0005-0000-0000-000073010000}"/>
    <cellStyle name="Normální 2 4 2 2" xfId="197" xr:uid="{00000000-0005-0000-0000-000074010000}"/>
    <cellStyle name="Normální 2 4 2 2 2" xfId="425" xr:uid="{00000000-0005-0000-0000-000075010000}"/>
    <cellStyle name="Normální 2 4 2 2 2 2" xfId="525" xr:uid="{00000000-0005-0000-0000-000076010000}"/>
    <cellStyle name="Normální 2 4 2 2 3" xfId="479" xr:uid="{00000000-0005-0000-0000-000077010000}"/>
    <cellStyle name="Normální 2 4 2 3" xfId="426" xr:uid="{00000000-0005-0000-0000-000078010000}"/>
    <cellStyle name="Normální 2 4 2 3 2" xfId="526" xr:uid="{00000000-0005-0000-0000-000079010000}"/>
    <cellStyle name="Normální 2 4 2 4" xfId="478" xr:uid="{00000000-0005-0000-0000-00007A010000}"/>
    <cellStyle name="Normální 2 4 20" xfId="198" xr:uid="{00000000-0005-0000-0000-00007B010000}"/>
    <cellStyle name="Normální 2 4 20 2" xfId="427" xr:uid="{00000000-0005-0000-0000-00007C010000}"/>
    <cellStyle name="Normální 2 4 20 2 2" xfId="527" xr:uid="{00000000-0005-0000-0000-00007D010000}"/>
    <cellStyle name="Normální 2 4 20 3" xfId="480" xr:uid="{00000000-0005-0000-0000-00007E010000}"/>
    <cellStyle name="Normální 2 4 21" xfId="199" xr:uid="{00000000-0005-0000-0000-00007F010000}"/>
    <cellStyle name="Normální 2 4 21 2" xfId="428" xr:uid="{00000000-0005-0000-0000-000080010000}"/>
    <cellStyle name="Normální 2 4 21 2 2" xfId="528" xr:uid="{00000000-0005-0000-0000-000081010000}"/>
    <cellStyle name="Normální 2 4 21 3" xfId="481" xr:uid="{00000000-0005-0000-0000-000082010000}"/>
    <cellStyle name="Normální 2 4 22" xfId="200" xr:uid="{00000000-0005-0000-0000-000083010000}"/>
    <cellStyle name="Normální 2 4 22 2" xfId="429" xr:uid="{00000000-0005-0000-0000-000084010000}"/>
    <cellStyle name="Normální 2 4 22 2 2" xfId="529" xr:uid="{00000000-0005-0000-0000-000085010000}"/>
    <cellStyle name="Normální 2 4 22 3" xfId="482" xr:uid="{00000000-0005-0000-0000-000086010000}"/>
    <cellStyle name="Normální 2 4 23" xfId="201" xr:uid="{00000000-0005-0000-0000-000087010000}"/>
    <cellStyle name="Normální 2 4 23 2" xfId="430" xr:uid="{00000000-0005-0000-0000-000088010000}"/>
    <cellStyle name="Normální 2 4 23 2 2" xfId="530" xr:uid="{00000000-0005-0000-0000-000089010000}"/>
    <cellStyle name="Normální 2 4 23 3" xfId="483" xr:uid="{00000000-0005-0000-0000-00008A010000}"/>
    <cellStyle name="normální 2 4 3" xfId="202" xr:uid="{00000000-0005-0000-0000-00008B010000}"/>
    <cellStyle name="Normální 2 4 3 2" xfId="272" xr:uid="{00000000-0005-0000-0000-00008C010000}"/>
    <cellStyle name="Normální 2 4 3 2 2" xfId="305" xr:uid="{00000000-0005-0000-0000-00008D010000}"/>
    <cellStyle name="Normální 2 4 3 2 2 2" xfId="431" xr:uid="{00000000-0005-0000-0000-00008E010000}"/>
    <cellStyle name="Normální 2 4 3 2 2 2 2" xfId="531" xr:uid="{00000000-0005-0000-0000-00008F010000}"/>
    <cellStyle name="Normální 2 4 3 2 2 3" xfId="493" xr:uid="{00000000-0005-0000-0000-000090010000}"/>
    <cellStyle name="Normální 2 4 3 2 3" xfId="338" xr:uid="{00000000-0005-0000-0000-000091010000}"/>
    <cellStyle name="Normální 2 4 3 2 3 2" xfId="432" xr:uid="{00000000-0005-0000-0000-000092010000}"/>
    <cellStyle name="Normální 2 4 3 2 3 2 2" xfId="532" xr:uid="{00000000-0005-0000-0000-000093010000}"/>
    <cellStyle name="Normální 2 4 3 2 3 3" xfId="510" xr:uid="{00000000-0005-0000-0000-000094010000}"/>
    <cellStyle name="Normální 2 4 3 2 4" xfId="433" xr:uid="{00000000-0005-0000-0000-000095010000}"/>
    <cellStyle name="Normální 2 4 3 2 4 2" xfId="533" xr:uid="{00000000-0005-0000-0000-000096010000}"/>
    <cellStyle name="Normální 2 4 3 2 5" xfId="489" xr:uid="{00000000-0005-0000-0000-000097010000}"/>
    <cellStyle name="Normální 2 4 3 3" xfId="306" xr:uid="{00000000-0005-0000-0000-000098010000}"/>
    <cellStyle name="Normální 2 4 3 3 2" xfId="434" xr:uid="{00000000-0005-0000-0000-000099010000}"/>
    <cellStyle name="Normální 2 4 3 3 2 2" xfId="534" xr:uid="{00000000-0005-0000-0000-00009A010000}"/>
    <cellStyle name="Normální 2 4 3 3 3" xfId="494" xr:uid="{00000000-0005-0000-0000-00009B010000}"/>
    <cellStyle name="Normální 2 4 3 4" xfId="327" xr:uid="{00000000-0005-0000-0000-00009C010000}"/>
    <cellStyle name="Normální 2 4 3 4 2" xfId="435" xr:uid="{00000000-0005-0000-0000-00009D010000}"/>
    <cellStyle name="Normální 2 4 3 4 2 2" xfId="535" xr:uid="{00000000-0005-0000-0000-00009E010000}"/>
    <cellStyle name="Normální 2 4 3 4 3" xfId="504" xr:uid="{00000000-0005-0000-0000-00009F010000}"/>
    <cellStyle name="normální 2 4 4" xfId="203" xr:uid="{00000000-0005-0000-0000-0000A0010000}"/>
    <cellStyle name="Normální 2 4 4 2" xfId="273" xr:uid="{00000000-0005-0000-0000-0000A1010000}"/>
    <cellStyle name="Normální 2 4 4 2 2" xfId="307" xr:uid="{00000000-0005-0000-0000-0000A2010000}"/>
    <cellStyle name="Normální 2 4 4 2 2 2" xfId="436" xr:uid="{00000000-0005-0000-0000-0000A3010000}"/>
    <cellStyle name="Normální 2 4 4 2 2 2 2" xfId="536" xr:uid="{00000000-0005-0000-0000-0000A4010000}"/>
    <cellStyle name="Normální 2 4 4 2 2 3" xfId="495" xr:uid="{00000000-0005-0000-0000-0000A5010000}"/>
    <cellStyle name="Normální 2 4 4 2 3" xfId="339" xr:uid="{00000000-0005-0000-0000-0000A6010000}"/>
    <cellStyle name="Normální 2 4 4 2 3 2" xfId="437" xr:uid="{00000000-0005-0000-0000-0000A7010000}"/>
    <cellStyle name="Normální 2 4 4 2 3 2 2" xfId="537" xr:uid="{00000000-0005-0000-0000-0000A8010000}"/>
    <cellStyle name="Normální 2 4 4 2 3 3" xfId="511" xr:uid="{00000000-0005-0000-0000-0000A9010000}"/>
    <cellStyle name="Normální 2 4 4 2 4" xfId="438" xr:uid="{00000000-0005-0000-0000-0000AA010000}"/>
    <cellStyle name="Normální 2 4 4 2 4 2" xfId="538" xr:uid="{00000000-0005-0000-0000-0000AB010000}"/>
    <cellStyle name="Normální 2 4 4 2 5" xfId="490" xr:uid="{00000000-0005-0000-0000-0000AC010000}"/>
    <cellStyle name="Normální 2 4 4 3" xfId="308" xr:uid="{00000000-0005-0000-0000-0000AD010000}"/>
    <cellStyle name="Normální 2 4 4 3 2" xfId="439" xr:uid="{00000000-0005-0000-0000-0000AE010000}"/>
    <cellStyle name="Normální 2 4 4 3 2 2" xfId="539" xr:uid="{00000000-0005-0000-0000-0000AF010000}"/>
    <cellStyle name="Normální 2 4 4 3 3" xfId="496" xr:uid="{00000000-0005-0000-0000-0000B0010000}"/>
    <cellStyle name="Normální 2 4 4 4" xfId="328" xr:uid="{00000000-0005-0000-0000-0000B1010000}"/>
    <cellStyle name="Normální 2 4 4 4 2" xfId="440" xr:uid="{00000000-0005-0000-0000-0000B2010000}"/>
    <cellStyle name="Normální 2 4 4 4 2 2" xfId="540" xr:uid="{00000000-0005-0000-0000-0000B3010000}"/>
    <cellStyle name="Normální 2 4 4 4 3" xfId="505" xr:uid="{00000000-0005-0000-0000-0000B4010000}"/>
    <cellStyle name="normální 2 4 5" xfId="204" xr:uid="{00000000-0005-0000-0000-0000B5010000}"/>
    <cellStyle name="normální 2 4 6" xfId="205" xr:uid="{00000000-0005-0000-0000-0000B6010000}"/>
    <cellStyle name="normální 2 4 7" xfId="206" xr:uid="{00000000-0005-0000-0000-0000B7010000}"/>
    <cellStyle name="normální 2 4 8" xfId="207" xr:uid="{00000000-0005-0000-0000-0000B8010000}"/>
    <cellStyle name="normální 2 4 9" xfId="208" xr:uid="{00000000-0005-0000-0000-0000B9010000}"/>
    <cellStyle name="normální 2 5" xfId="274" xr:uid="{00000000-0005-0000-0000-0000BA010000}"/>
    <cellStyle name="normální 2 5 2" xfId="309" xr:uid="{00000000-0005-0000-0000-0000BB010000}"/>
    <cellStyle name="normální 2 5 2 2" xfId="441" xr:uid="{00000000-0005-0000-0000-0000BC010000}"/>
    <cellStyle name="normální 2 5 2 2 2" xfId="747" xr:uid="{00000000-0005-0000-0000-0000BD010000}"/>
    <cellStyle name="normální 2 5 2 3" xfId="735" xr:uid="{00000000-0005-0000-0000-0000BE010000}"/>
    <cellStyle name="normální 2 5 3" xfId="329" xr:uid="{00000000-0005-0000-0000-0000BF010000}"/>
    <cellStyle name="normální 2 5 3 2" xfId="412" xr:uid="{00000000-0005-0000-0000-0000C0010000}"/>
    <cellStyle name="normální 2 5 3 2 2" xfId="722" xr:uid="{00000000-0005-0000-0000-0000C1010000}"/>
    <cellStyle name="normální 2 5 3 2 3" xfId="743" xr:uid="{00000000-0005-0000-0000-0000C2010000}"/>
    <cellStyle name="normální 2 5 3 3" xfId="737" xr:uid="{00000000-0005-0000-0000-0000C3010000}"/>
    <cellStyle name="normální 2 5 4" xfId="731" xr:uid="{00000000-0005-0000-0000-0000C4010000}"/>
    <cellStyle name="normální 2 6" xfId="275" xr:uid="{00000000-0005-0000-0000-0000C5010000}"/>
    <cellStyle name="normální 2 6 2" xfId="942" xr:uid="{00000000-0005-0000-0000-0000C6010000}"/>
    <cellStyle name="normální 2 7" xfId="310" xr:uid="{00000000-0005-0000-0000-0000C7010000}"/>
    <cellStyle name="normální 2 8" xfId="663" xr:uid="{00000000-0005-0000-0000-0000C8010000}"/>
    <cellStyle name="normální 2 9" xfId="664" xr:uid="{00000000-0005-0000-0000-0000C9010000}"/>
    <cellStyle name="Normální 20" xfId="174" xr:uid="{00000000-0005-0000-0000-0000CA010000}"/>
    <cellStyle name="Normální 20 2" xfId="889" xr:uid="{00000000-0005-0000-0000-0000CB010000}"/>
    <cellStyle name="Normální 21" xfId="180" xr:uid="{00000000-0005-0000-0000-0000CC010000}"/>
    <cellStyle name="Normální 21 2" xfId="895" xr:uid="{00000000-0005-0000-0000-0000CD010000}"/>
    <cellStyle name="Normální 22" xfId="170" xr:uid="{00000000-0005-0000-0000-0000CE010000}"/>
    <cellStyle name="Normální 22 2" xfId="885" xr:uid="{00000000-0005-0000-0000-0000CF010000}"/>
    <cellStyle name="Normální 23" xfId="172" xr:uid="{00000000-0005-0000-0000-0000D0010000}"/>
    <cellStyle name="Normální 23 2" xfId="887" xr:uid="{00000000-0005-0000-0000-0000D1010000}"/>
    <cellStyle name="Normální 24" xfId="178" xr:uid="{00000000-0005-0000-0000-0000D2010000}"/>
    <cellStyle name="Normální 24 2" xfId="893" xr:uid="{00000000-0005-0000-0000-0000D3010000}"/>
    <cellStyle name="Normální 25" xfId="184" xr:uid="{00000000-0005-0000-0000-0000D4010000}"/>
    <cellStyle name="Normální 25 2" xfId="899" xr:uid="{00000000-0005-0000-0000-0000D5010000}"/>
    <cellStyle name="Normální 256" xfId="6" xr:uid="{00000000-0005-0000-0000-0000D6010000}"/>
    <cellStyle name="Normální 256 2" xfId="146" xr:uid="{00000000-0005-0000-0000-0000D7010000}"/>
    <cellStyle name="Normální 256 2 2" xfId="861" xr:uid="{00000000-0005-0000-0000-0000D8010000}"/>
    <cellStyle name="Normální 256 3" xfId="833" xr:uid="{00000000-0005-0000-0000-0000D9010000}"/>
    <cellStyle name="Normální 26" xfId="179" xr:uid="{00000000-0005-0000-0000-0000DA010000}"/>
    <cellStyle name="Normální 26 2" xfId="276" xr:uid="{00000000-0005-0000-0000-0000DB010000}"/>
    <cellStyle name="Normální 26 2 2" xfId="311" xr:uid="{00000000-0005-0000-0000-0000DC010000}"/>
    <cellStyle name="Normální 26 2 2 2" xfId="442" xr:uid="{00000000-0005-0000-0000-0000DD010000}"/>
    <cellStyle name="Normální 26 2 2 2 2" xfId="541" xr:uid="{00000000-0005-0000-0000-0000DE010000}"/>
    <cellStyle name="Normální 26 2 2 3" xfId="497" xr:uid="{00000000-0005-0000-0000-0000DF010000}"/>
    <cellStyle name="Normální 26 2 3" xfId="340" xr:uid="{00000000-0005-0000-0000-0000E0010000}"/>
    <cellStyle name="Normální 26 2 3 2" xfId="443" xr:uid="{00000000-0005-0000-0000-0000E1010000}"/>
    <cellStyle name="Normální 26 2 3 2 2" xfId="542" xr:uid="{00000000-0005-0000-0000-0000E2010000}"/>
    <cellStyle name="Normální 26 2 3 3" xfId="512" xr:uid="{00000000-0005-0000-0000-0000E3010000}"/>
    <cellStyle name="Normální 26 2 4" xfId="444" xr:uid="{00000000-0005-0000-0000-0000E4010000}"/>
    <cellStyle name="Normální 26 2 4 2" xfId="543" xr:uid="{00000000-0005-0000-0000-0000E5010000}"/>
    <cellStyle name="Normální 26 2 5" xfId="491" xr:uid="{00000000-0005-0000-0000-0000E6010000}"/>
    <cellStyle name="Normální 26 3" xfId="312" xr:uid="{00000000-0005-0000-0000-0000E7010000}"/>
    <cellStyle name="Normální 26 3 2" xfId="445" xr:uid="{00000000-0005-0000-0000-0000E8010000}"/>
    <cellStyle name="Normální 26 3 2 2" xfId="544" xr:uid="{00000000-0005-0000-0000-0000E9010000}"/>
    <cellStyle name="Normální 26 3 3" xfId="498" xr:uid="{00000000-0005-0000-0000-0000EA010000}"/>
    <cellStyle name="Normální 26 4" xfId="330" xr:uid="{00000000-0005-0000-0000-0000EB010000}"/>
    <cellStyle name="Normální 26 4 2" xfId="446" xr:uid="{00000000-0005-0000-0000-0000EC010000}"/>
    <cellStyle name="Normální 26 4 2 2" xfId="545" xr:uid="{00000000-0005-0000-0000-0000ED010000}"/>
    <cellStyle name="Normální 26 4 3" xfId="506" xr:uid="{00000000-0005-0000-0000-0000EE010000}"/>
    <cellStyle name="Normální 26 5" xfId="894" xr:uid="{00000000-0005-0000-0000-0000EF010000}"/>
    <cellStyle name="Normální 27" xfId="173" xr:uid="{00000000-0005-0000-0000-0000F0010000}"/>
    <cellStyle name="Normální 27 2" xfId="277" xr:uid="{00000000-0005-0000-0000-0000F1010000}"/>
    <cellStyle name="Normální 27 2 2" xfId="313" xr:uid="{00000000-0005-0000-0000-0000F2010000}"/>
    <cellStyle name="Normální 27 2 2 2" xfId="447" xr:uid="{00000000-0005-0000-0000-0000F3010000}"/>
    <cellStyle name="Normální 27 2 2 2 2" xfId="546" xr:uid="{00000000-0005-0000-0000-0000F4010000}"/>
    <cellStyle name="Normální 27 2 2 3" xfId="499" xr:uid="{00000000-0005-0000-0000-0000F5010000}"/>
    <cellStyle name="Normální 27 2 3" xfId="341" xr:uid="{00000000-0005-0000-0000-0000F6010000}"/>
    <cellStyle name="Normální 27 2 3 2" xfId="448" xr:uid="{00000000-0005-0000-0000-0000F7010000}"/>
    <cellStyle name="Normální 27 2 3 2 2" xfId="547" xr:uid="{00000000-0005-0000-0000-0000F8010000}"/>
    <cellStyle name="Normální 27 2 3 3" xfId="513" xr:uid="{00000000-0005-0000-0000-0000F9010000}"/>
    <cellStyle name="Normální 27 2 4" xfId="449" xr:uid="{00000000-0005-0000-0000-0000FA010000}"/>
    <cellStyle name="Normální 27 2 4 2" xfId="548" xr:uid="{00000000-0005-0000-0000-0000FB010000}"/>
    <cellStyle name="Normální 27 2 5" xfId="492" xr:uid="{00000000-0005-0000-0000-0000FC010000}"/>
    <cellStyle name="Normální 27 3" xfId="314" xr:uid="{00000000-0005-0000-0000-0000FD010000}"/>
    <cellStyle name="Normální 27 3 2" xfId="450" xr:uid="{00000000-0005-0000-0000-0000FE010000}"/>
    <cellStyle name="Normální 27 3 2 2" xfId="549" xr:uid="{00000000-0005-0000-0000-0000FF010000}"/>
    <cellStyle name="Normální 27 3 3" xfId="500" xr:uid="{00000000-0005-0000-0000-000000020000}"/>
    <cellStyle name="Normální 27 4" xfId="331" xr:uid="{00000000-0005-0000-0000-000001020000}"/>
    <cellStyle name="Normální 27 4 2" xfId="451" xr:uid="{00000000-0005-0000-0000-000002020000}"/>
    <cellStyle name="Normální 27 4 2 2" xfId="550" xr:uid="{00000000-0005-0000-0000-000003020000}"/>
    <cellStyle name="Normální 27 4 3" xfId="507" xr:uid="{00000000-0005-0000-0000-000004020000}"/>
    <cellStyle name="Normální 27 5" xfId="888" xr:uid="{00000000-0005-0000-0000-000005020000}"/>
    <cellStyle name="Normální 28" xfId="177" xr:uid="{00000000-0005-0000-0000-000006020000}"/>
    <cellStyle name="normální 28 2" xfId="336" xr:uid="{00000000-0005-0000-0000-000007020000}"/>
    <cellStyle name="normální 28 2 2" xfId="413" xr:uid="{00000000-0005-0000-0000-000008020000}"/>
    <cellStyle name="normální 28 2 2 2" xfId="723" xr:uid="{00000000-0005-0000-0000-000009020000}"/>
    <cellStyle name="normální 28 2 2 3" xfId="744" xr:uid="{00000000-0005-0000-0000-00000A020000}"/>
    <cellStyle name="normální 28 2 3" xfId="740" xr:uid="{00000000-0005-0000-0000-00000B020000}"/>
    <cellStyle name="Normální 28 3" xfId="892" xr:uid="{00000000-0005-0000-0000-00000C020000}"/>
    <cellStyle name="Normální 28 4" xfId="1008" xr:uid="{00000000-0005-0000-0000-00000D020000}"/>
    <cellStyle name="Normální 28 5" xfId="1009" xr:uid="{00000000-0005-0000-0000-00000E020000}"/>
    <cellStyle name="Normální 28 6" xfId="1012" xr:uid="{00000000-0005-0000-0000-00000F020000}"/>
    <cellStyle name="Normální 29" xfId="181" xr:uid="{00000000-0005-0000-0000-000010020000}"/>
    <cellStyle name="Normální 29 2" xfId="896" xr:uid="{00000000-0005-0000-0000-000011020000}"/>
    <cellStyle name="Normální 3" xfId="5" xr:uid="{00000000-0005-0000-0000-000012020000}"/>
    <cellStyle name="Normální 3 10" xfId="278" xr:uid="{00000000-0005-0000-0000-000013020000}"/>
    <cellStyle name="Normální 3 11" xfId="299" xr:uid="{00000000-0005-0000-0000-000014020000}"/>
    <cellStyle name="Normální 3 11 2" xfId="948" xr:uid="{00000000-0005-0000-0000-000015020000}"/>
    <cellStyle name="normální 3 12" xfId="561" xr:uid="{00000000-0005-0000-0000-000016020000}"/>
    <cellStyle name="normální 3 13" xfId="562" xr:uid="{00000000-0005-0000-0000-000017020000}"/>
    <cellStyle name="normální 3 14" xfId="563" xr:uid="{00000000-0005-0000-0000-000018020000}"/>
    <cellStyle name="normální 3 15" xfId="564" xr:uid="{00000000-0005-0000-0000-000019020000}"/>
    <cellStyle name="normální 3 16" xfId="565" xr:uid="{00000000-0005-0000-0000-00001A020000}"/>
    <cellStyle name="normální 3 17" xfId="566" xr:uid="{00000000-0005-0000-0000-00001B020000}"/>
    <cellStyle name="Normální 3 18" xfId="1027" xr:uid="{00000000-0005-0000-0000-00001C020000}"/>
    <cellStyle name="Normální 3 19" xfId="1029" xr:uid="{00000000-0005-0000-0000-00001D020000}"/>
    <cellStyle name="normální 3 2" xfId="8" xr:uid="{00000000-0005-0000-0000-00001E020000}"/>
    <cellStyle name="normální 3 2 2" xfId="368" xr:uid="{00000000-0005-0000-0000-00001F020000}"/>
    <cellStyle name="normální 3 2 3" xfId="834" xr:uid="{00000000-0005-0000-0000-000020020000}"/>
    <cellStyle name="Normální 3 3" xfId="16" xr:uid="{00000000-0005-0000-0000-000021020000}"/>
    <cellStyle name="Normální 3 3 2" xfId="209" xr:uid="{00000000-0005-0000-0000-000022020000}"/>
    <cellStyle name="Normální 3 3 3" xfId="258" xr:uid="{00000000-0005-0000-0000-000023020000}"/>
    <cellStyle name="Normální 3 3 3 2" xfId="337" xr:uid="{00000000-0005-0000-0000-000024020000}"/>
    <cellStyle name="Normální 3 3 3 2 2" xfId="953" xr:uid="{00000000-0005-0000-0000-000025020000}"/>
    <cellStyle name="Normální 3 3 4" xfId="323" xr:uid="{00000000-0005-0000-0000-000026020000}"/>
    <cellStyle name="Normální 3 3 4 2" xfId="951" xr:uid="{00000000-0005-0000-0000-000027020000}"/>
    <cellStyle name="normální 3 4" xfId="279" xr:uid="{00000000-0005-0000-0000-000028020000}"/>
    <cellStyle name="normální 3 4 2" xfId="567" xr:uid="{00000000-0005-0000-0000-000029020000}"/>
    <cellStyle name="normální 3 5" xfId="280" xr:uid="{00000000-0005-0000-0000-00002A020000}"/>
    <cellStyle name="Normální 3 6" xfId="145" xr:uid="{00000000-0005-0000-0000-00002B020000}"/>
    <cellStyle name="Normální 3 6 2" xfId="315" xr:uid="{00000000-0005-0000-0000-00002C020000}"/>
    <cellStyle name="Normální 3 6 3" xfId="316" xr:uid="{00000000-0005-0000-0000-00002D020000}"/>
    <cellStyle name="Normální 3 7" xfId="281" xr:uid="{00000000-0005-0000-0000-00002E020000}"/>
    <cellStyle name="Normální 3 8" xfId="282" xr:uid="{00000000-0005-0000-0000-00002F020000}"/>
    <cellStyle name="Normální 3 9" xfId="283" xr:uid="{00000000-0005-0000-0000-000030020000}"/>
    <cellStyle name="normální 3_BDE_DOPR_VV_141202" xfId="665" xr:uid="{00000000-0005-0000-0000-000031020000}"/>
    <cellStyle name="Normální 30" xfId="176" xr:uid="{00000000-0005-0000-0000-000032020000}"/>
    <cellStyle name="Normální 30 2" xfId="891" xr:uid="{00000000-0005-0000-0000-000033020000}"/>
    <cellStyle name="Normální 31" xfId="171" xr:uid="{00000000-0005-0000-0000-000034020000}"/>
    <cellStyle name="Normální 31 2" xfId="886" xr:uid="{00000000-0005-0000-0000-000035020000}"/>
    <cellStyle name="Normální 32" xfId="210" xr:uid="{00000000-0005-0000-0000-000036020000}"/>
    <cellStyle name="Normální 32 2" xfId="901" xr:uid="{00000000-0005-0000-0000-000037020000}"/>
    <cellStyle name="Normální 33" xfId="211" xr:uid="{00000000-0005-0000-0000-000038020000}"/>
    <cellStyle name="Normální 33 2" xfId="902" xr:uid="{00000000-0005-0000-0000-000039020000}"/>
    <cellStyle name="Normální 34" xfId="212" xr:uid="{00000000-0005-0000-0000-00003A020000}"/>
    <cellStyle name="Normální 34 2" xfId="903" xr:uid="{00000000-0005-0000-0000-00003B020000}"/>
    <cellStyle name="Normální 35" xfId="213" xr:uid="{00000000-0005-0000-0000-00003C020000}"/>
    <cellStyle name="Normální 35 2" xfId="904" xr:uid="{00000000-0005-0000-0000-00003D020000}"/>
    <cellStyle name="Normální 36" xfId="214" xr:uid="{00000000-0005-0000-0000-00003E020000}"/>
    <cellStyle name="Normální 36 2" xfId="905" xr:uid="{00000000-0005-0000-0000-00003F020000}"/>
    <cellStyle name="Normální 37" xfId="215" xr:uid="{00000000-0005-0000-0000-000040020000}"/>
    <cellStyle name="Normální 37 2" xfId="906" xr:uid="{00000000-0005-0000-0000-000041020000}"/>
    <cellStyle name="Normální 38" xfId="216" xr:uid="{00000000-0005-0000-0000-000042020000}"/>
    <cellStyle name="Normální 38 2" xfId="907" xr:uid="{00000000-0005-0000-0000-000043020000}"/>
    <cellStyle name="Normální 39" xfId="217" xr:uid="{00000000-0005-0000-0000-000044020000}"/>
    <cellStyle name="Normální 39 2" xfId="908" xr:uid="{00000000-0005-0000-0000-000045020000}"/>
    <cellStyle name="normální 4" xfId="11" xr:uid="{00000000-0005-0000-0000-000046020000}"/>
    <cellStyle name="normální 4 10" xfId="284" xr:uid="{00000000-0005-0000-0000-000047020000}"/>
    <cellStyle name="Normální 4 11" xfId="285" xr:uid="{00000000-0005-0000-0000-000048020000}"/>
    <cellStyle name="Normální 4 11 2" xfId="943" xr:uid="{00000000-0005-0000-0000-000049020000}"/>
    <cellStyle name="Normální 4 12" xfId="286" xr:uid="{00000000-0005-0000-0000-00004A020000}"/>
    <cellStyle name="Normální 4 12 2" xfId="944" xr:uid="{00000000-0005-0000-0000-00004B020000}"/>
    <cellStyle name="Normální 4 13" xfId="287" xr:uid="{00000000-0005-0000-0000-00004C020000}"/>
    <cellStyle name="Normální 4 13 2" xfId="945" xr:uid="{00000000-0005-0000-0000-00004D020000}"/>
    <cellStyle name="Normální 4 14" xfId="317" xr:uid="{00000000-0005-0000-0000-00004E020000}"/>
    <cellStyle name="Normální 4 14 2" xfId="950" xr:uid="{00000000-0005-0000-0000-00004F020000}"/>
    <cellStyle name="Normální 4 15" xfId="332" xr:uid="{00000000-0005-0000-0000-000050020000}"/>
    <cellStyle name="Normální 4 15 2" xfId="952" xr:uid="{00000000-0005-0000-0000-000051020000}"/>
    <cellStyle name="normální 4 16" xfId="369" xr:uid="{00000000-0005-0000-0000-000052020000}"/>
    <cellStyle name="normální 4 17" xfId="399" xr:uid="{00000000-0005-0000-0000-000053020000}"/>
    <cellStyle name="normální 4 18" xfId="403" xr:uid="{00000000-0005-0000-0000-000054020000}"/>
    <cellStyle name="normální 4 19" xfId="405" xr:uid="{00000000-0005-0000-0000-000055020000}"/>
    <cellStyle name="Normální 4 2" xfId="108" xr:uid="{00000000-0005-0000-0000-000056020000}"/>
    <cellStyle name="Normální 4 2 2" xfId="168" xr:uid="{00000000-0005-0000-0000-000057020000}"/>
    <cellStyle name="Normální 4 2 2 2" xfId="883" xr:uid="{00000000-0005-0000-0000-000058020000}"/>
    <cellStyle name="Normální 4 2 3" xfId="859" xr:uid="{00000000-0005-0000-0000-000059020000}"/>
    <cellStyle name="normální 4 20" xfId="409" xr:uid="{00000000-0005-0000-0000-00005A020000}"/>
    <cellStyle name="normální 4 21" xfId="452" xr:uid="{00000000-0005-0000-0000-00005B020000}"/>
    <cellStyle name="Normální 4 22" xfId="559" xr:uid="{00000000-0005-0000-0000-00005C020000}"/>
    <cellStyle name="Normální 4 23" xfId="617" xr:uid="{00000000-0005-0000-0000-00005D020000}"/>
    <cellStyle name="Normální 4 23 2" xfId="808" xr:uid="{00000000-0005-0000-0000-00005E020000}"/>
    <cellStyle name="normální 4 3" xfId="288" xr:uid="{00000000-0005-0000-0000-00005F020000}"/>
    <cellStyle name="normální 4 4" xfId="289" xr:uid="{00000000-0005-0000-0000-000060020000}"/>
    <cellStyle name="normální 4 5" xfId="290" xr:uid="{00000000-0005-0000-0000-000061020000}"/>
    <cellStyle name="normální 4 6" xfId="291" xr:uid="{00000000-0005-0000-0000-000062020000}"/>
    <cellStyle name="normální 4 7" xfId="292" xr:uid="{00000000-0005-0000-0000-000063020000}"/>
    <cellStyle name="Normální 4 8" xfId="293" xr:uid="{00000000-0005-0000-0000-000064020000}"/>
    <cellStyle name="Normální 4 8 2" xfId="946" xr:uid="{00000000-0005-0000-0000-000065020000}"/>
    <cellStyle name="normální 4 9" xfId="294" xr:uid="{00000000-0005-0000-0000-000066020000}"/>
    <cellStyle name="Normální 40" xfId="218" xr:uid="{00000000-0005-0000-0000-000067020000}"/>
    <cellStyle name="Normální 40 2" xfId="909" xr:uid="{00000000-0005-0000-0000-000068020000}"/>
    <cellStyle name="Normální 41" xfId="219" xr:uid="{00000000-0005-0000-0000-000069020000}"/>
    <cellStyle name="Normální 41 2" xfId="453" xr:uid="{00000000-0005-0000-0000-00006A020000}"/>
    <cellStyle name="Normální 41 2 2" xfId="551" xr:uid="{00000000-0005-0000-0000-00006B020000}"/>
    <cellStyle name="Normální 41 3" xfId="484" xr:uid="{00000000-0005-0000-0000-00006C020000}"/>
    <cellStyle name="Normální 42" xfId="220" xr:uid="{00000000-0005-0000-0000-00006D020000}"/>
    <cellStyle name="Normální 42 2" xfId="454" xr:uid="{00000000-0005-0000-0000-00006E020000}"/>
    <cellStyle name="Normální 42 2 2" xfId="552" xr:uid="{00000000-0005-0000-0000-00006F020000}"/>
    <cellStyle name="Normální 42 3" xfId="485" xr:uid="{00000000-0005-0000-0000-000070020000}"/>
    <cellStyle name="Normální 43" xfId="221" xr:uid="{00000000-0005-0000-0000-000071020000}"/>
    <cellStyle name="Normální 43 2" xfId="455" xr:uid="{00000000-0005-0000-0000-000072020000}"/>
    <cellStyle name="Normální 43 2 2" xfId="553" xr:uid="{00000000-0005-0000-0000-000073020000}"/>
    <cellStyle name="Normální 43 3" xfId="486" xr:uid="{00000000-0005-0000-0000-000074020000}"/>
    <cellStyle name="Normální 44" xfId="222" xr:uid="{00000000-0005-0000-0000-000075020000}"/>
    <cellStyle name="Normální 44 2" xfId="456" xr:uid="{00000000-0005-0000-0000-000076020000}"/>
    <cellStyle name="Normální 44 2 2" xfId="554" xr:uid="{00000000-0005-0000-0000-000077020000}"/>
    <cellStyle name="Normální 44 3" xfId="487" xr:uid="{00000000-0005-0000-0000-000078020000}"/>
    <cellStyle name="Normální 45" xfId="223" xr:uid="{00000000-0005-0000-0000-000079020000}"/>
    <cellStyle name="Normální 45 2" xfId="457" xr:uid="{00000000-0005-0000-0000-00007A020000}"/>
    <cellStyle name="Normální 45 2 2" xfId="555" xr:uid="{00000000-0005-0000-0000-00007B020000}"/>
    <cellStyle name="Normální 45 3" xfId="488" xr:uid="{00000000-0005-0000-0000-00007C020000}"/>
    <cellStyle name="Normální 46" xfId="224" xr:uid="{00000000-0005-0000-0000-00007D020000}"/>
    <cellStyle name="Normální 46 2" xfId="910" xr:uid="{00000000-0005-0000-0000-00007E020000}"/>
    <cellStyle name="Normální 47" xfId="225" xr:uid="{00000000-0005-0000-0000-00007F020000}"/>
    <cellStyle name="Normální 47 2" xfId="911" xr:uid="{00000000-0005-0000-0000-000080020000}"/>
    <cellStyle name="Normální 48" xfId="226" xr:uid="{00000000-0005-0000-0000-000081020000}"/>
    <cellStyle name="Normální 48 2" xfId="912" xr:uid="{00000000-0005-0000-0000-000082020000}"/>
    <cellStyle name="Normální 49" xfId="227" xr:uid="{00000000-0005-0000-0000-000083020000}"/>
    <cellStyle name="Normální 49 2" xfId="913" xr:uid="{00000000-0005-0000-0000-000084020000}"/>
    <cellStyle name="Normální 5" xfId="7" xr:uid="{00000000-0005-0000-0000-000085020000}"/>
    <cellStyle name="normální 5 10" xfId="408" xr:uid="{00000000-0005-0000-0000-000086020000}"/>
    <cellStyle name="normální 5 10 2" xfId="964" xr:uid="{00000000-0005-0000-0000-000087020000}"/>
    <cellStyle name="Normální 5 11" xfId="458" xr:uid="{00000000-0005-0000-0000-000088020000}"/>
    <cellStyle name="Normální 5 11 2" xfId="748" xr:uid="{00000000-0005-0000-0000-000089020000}"/>
    <cellStyle name="Normální 5 12" xfId="459" xr:uid="{00000000-0005-0000-0000-00008A020000}"/>
    <cellStyle name="Normální 5 12 2" xfId="749" xr:uid="{00000000-0005-0000-0000-00008B020000}"/>
    <cellStyle name="Normální 5 13" xfId="468" xr:uid="{00000000-0005-0000-0000-00008C020000}"/>
    <cellStyle name="Normální 5 13 2" xfId="753" xr:uid="{00000000-0005-0000-0000-00008D020000}"/>
    <cellStyle name="Normální 5 14" xfId="514" xr:uid="{00000000-0005-0000-0000-00008E020000}"/>
    <cellStyle name="Normální 5 14 2" xfId="757" xr:uid="{00000000-0005-0000-0000-00008F020000}"/>
    <cellStyle name="Normální 5 15" xfId="568" xr:uid="{00000000-0005-0000-0000-000090020000}"/>
    <cellStyle name="Normální 5 15 2" xfId="759" xr:uid="{00000000-0005-0000-0000-000091020000}"/>
    <cellStyle name="Normální 5 16" xfId="569" xr:uid="{00000000-0005-0000-0000-000092020000}"/>
    <cellStyle name="Normální 5 16 2" xfId="760" xr:uid="{00000000-0005-0000-0000-000093020000}"/>
    <cellStyle name="Normální 5 17" xfId="570" xr:uid="{00000000-0005-0000-0000-000094020000}"/>
    <cellStyle name="Normální 5 17 2" xfId="761" xr:uid="{00000000-0005-0000-0000-000095020000}"/>
    <cellStyle name="Normální 5 18" xfId="571" xr:uid="{00000000-0005-0000-0000-000096020000}"/>
    <cellStyle name="Normální 5 18 2" xfId="762" xr:uid="{00000000-0005-0000-0000-000097020000}"/>
    <cellStyle name="Normální 5 19" xfId="572" xr:uid="{00000000-0005-0000-0000-000098020000}"/>
    <cellStyle name="Normální 5 19 2" xfId="763" xr:uid="{00000000-0005-0000-0000-000099020000}"/>
    <cellStyle name="Normální 5 2" xfId="12" xr:uid="{00000000-0005-0000-0000-00009A020000}"/>
    <cellStyle name="Normální 5 2 2" xfId="260" xr:uid="{00000000-0005-0000-0000-00009B020000}"/>
    <cellStyle name="Normální 5 2 2 2" xfId="460" xr:uid="{00000000-0005-0000-0000-00009C020000}"/>
    <cellStyle name="Normální 5 2 2 2 2" xfId="750" xr:uid="{00000000-0005-0000-0000-00009D020000}"/>
    <cellStyle name="Normální 5 2 2 3" xfId="730" xr:uid="{00000000-0005-0000-0000-00009E020000}"/>
    <cellStyle name="Normální 5 2 3" xfId="333" xr:uid="{00000000-0005-0000-0000-00009F020000}"/>
    <cellStyle name="Normální 5 2 3 2" xfId="508" xr:uid="{00000000-0005-0000-0000-0000A0020000}"/>
    <cellStyle name="Normální 5 2 3 2 2" xfId="755" xr:uid="{00000000-0005-0000-0000-0000A1020000}"/>
    <cellStyle name="Normální 5 2 3 3" xfId="738" xr:uid="{00000000-0005-0000-0000-0000A2020000}"/>
    <cellStyle name="Normální 5 2 4" xfId="727" xr:uid="{00000000-0005-0000-0000-0000A3020000}"/>
    <cellStyle name="Normální 5 20" xfId="573" xr:uid="{00000000-0005-0000-0000-0000A4020000}"/>
    <cellStyle name="Normální 5 20 2" xfId="764" xr:uid="{00000000-0005-0000-0000-0000A5020000}"/>
    <cellStyle name="Normální 5 21" xfId="574" xr:uid="{00000000-0005-0000-0000-0000A6020000}"/>
    <cellStyle name="Normální 5 21 2" xfId="765" xr:uid="{00000000-0005-0000-0000-0000A7020000}"/>
    <cellStyle name="Normální 5 22" xfId="575" xr:uid="{00000000-0005-0000-0000-0000A8020000}"/>
    <cellStyle name="Normální 5 22 2" xfId="766" xr:uid="{00000000-0005-0000-0000-0000A9020000}"/>
    <cellStyle name="Normální 5 23" xfId="576" xr:uid="{00000000-0005-0000-0000-0000AA020000}"/>
    <cellStyle name="Normální 5 23 2" xfId="767" xr:uid="{00000000-0005-0000-0000-0000AB020000}"/>
    <cellStyle name="Normální 5 24" xfId="577" xr:uid="{00000000-0005-0000-0000-0000AC020000}"/>
    <cellStyle name="Normální 5 24 2" xfId="768" xr:uid="{00000000-0005-0000-0000-0000AD020000}"/>
    <cellStyle name="Normální 5 25" xfId="578" xr:uid="{00000000-0005-0000-0000-0000AE020000}"/>
    <cellStyle name="Normální 5 25 2" xfId="769" xr:uid="{00000000-0005-0000-0000-0000AF020000}"/>
    <cellStyle name="Normální 5 26" xfId="579" xr:uid="{00000000-0005-0000-0000-0000B0020000}"/>
    <cellStyle name="Normální 5 26 2" xfId="770" xr:uid="{00000000-0005-0000-0000-0000B1020000}"/>
    <cellStyle name="Normální 5 27" xfId="580" xr:uid="{00000000-0005-0000-0000-0000B2020000}"/>
    <cellStyle name="Normální 5 27 2" xfId="771" xr:uid="{00000000-0005-0000-0000-0000B3020000}"/>
    <cellStyle name="Normální 5 28" xfId="581" xr:uid="{00000000-0005-0000-0000-0000B4020000}"/>
    <cellStyle name="Normální 5 28 2" xfId="772" xr:uid="{00000000-0005-0000-0000-0000B5020000}"/>
    <cellStyle name="Normální 5 29" xfId="582" xr:uid="{00000000-0005-0000-0000-0000B6020000}"/>
    <cellStyle name="Normální 5 29 2" xfId="773" xr:uid="{00000000-0005-0000-0000-0000B7020000}"/>
    <cellStyle name="Normální 5 3" xfId="228" xr:uid="{00000000-0005-0000-0000-0000B8020000}"/>
    <cellStyle name="Normální 5 3 2" xfId="300" xr:uid="{00000000-0005-0000-0000-0000B9020000}"/>
    <cellStyle name="Normální 5 3 2 2" xfId="461" xr:uid="{00000000-0005-0000-0000-0000BA020000}"/>
    <cellStyle name="Normální 5 3 2 2 2" xfId="751" xr:uid="{00000000-0005-0000-0000-0000BB020000}"/>
    <cellStyle name="Normální 5 3 2 3" xfId="732" xr:uid="{00000000-0005-0000-0000-0000BC020000}"/>
    <cellStyle name="Normální 5 3 3" xfId="462" xr:uid="{00000000-0005-0000-0000-0000BD020000}"/>
    <cellStyle name="Normální 5 3 3 2" xfId="752" xr:uid="{00000000-0005-0000-0000-0000BE020000}"/>
    <cellStyle name="Normální 5 3 4" xfId="729" xr:uid="{00000000-0005-0000-0000-0000BF020000}"/>
    <cellStyle name="Normální 5 30" xfId="583" xr:uid="{00000000-0005-0000-0000-0000C0020000}"/>
    <cellStyle name="Normální 5 30 2" xfId="774" xr:uid="{00000000-0005-0000-0000-0000C1020000}"/>
    <cellStyle name="Normální 5 31" xfId="584" xr:uid="{00000000-0005-0000-0000-0000C2020000}"/>
    <cellStyle name="Normální 5 31 2" xfId="775" xr:uid="{00000000-0005-0000-0000-0000C3020000}"/>
    <cellStyle name="Normální 5 32" xfId="585" xr:uid="{00000000-0005-0000-0000-0000C4020000}"/>
    <cellStyle name="Normální 5 32 2" xfId="776" xr:uid="{00000000-0005-0000-0000-0000C5020000}"/>
    <cellStyle name="Normální 5 33" xfId="586" xr:uid="{00000000-0005-0000-0000-0000C6020000}"/>
    <cellStyle name="Normální 5 33 2" xfId="777" xr:uid="{00000000-0005-0000-0000-0000C7020000}"/>
    <cellStyle name="Normální 5 34" xfId="587" xr:uid="{00000000-0005-0000-0000-0000C8020000}"/>
    <cellStyle name="Normální 5 34 2" xfId="778" xr:uid="{00000000-0005-0000-0000-0000C9020000}"/>
    <cellStyle name="Normální 5 35" xfId="588" xr:uid="{00000000-0005-0000-0000-0000CA020000}"/>
    <cellStyle name="Normální 5 35 2" xfId="779" xr:uid="{00000000-0005-0000-0000-0000CB020000}"/>
    <cellStyle name="Normální 5 36" xfId="589" xr:uid="{00000000-0005-0000-0000-0000CC020000}"/>
    <cellStyle name="Normální 5 36 2" xfId="780" xr:uid="{00000000-0005-0000-0000-0000CD020000}"/>
    <cellStyle name="Normální 5 37" xfId="590" xr:uid="{00000000-0005-0000-0000-0000CE020000}"/>
    <cellStyle name="Normální 5 37 2" xfId="781" xr:uid="{00000000-0005-0000-0000-0000CF020000}"/>
    <cellStyle name="Normální 5 38" xfId="591" xr:uid="{00000000-0005-0000-0000-0000D0020000}"/>
    <cellStyle name="Normální 5 38 2" xfId="782" xr:uid="{00000000-0005-0000-0000-0000D1020000}"/>
    <cellStyle name="Normální 5 39" xfId="592" xr:uid="{00000000-0005-0000-0000-0000D2020000}"/>
    <cellStyle name="Normální 5 39 2" xfId="783" xr:uid="{00000000-0005-0000-0000-0000D3020000}"/>
    <cellStyle name="normální 5 4" xfId="295" xr:uid="{00000000-0005-0000-0000-0000D4020000}"/>
    <cellStyle name="normální 5 4 2" xfId="947" xr:uid="{00000000-0005-0000-0000-0000D5020000}"/>
    <cellStyle name="Normální 5 40" xfId="593" xr:uid="{00000000-0005-0000-0000-0000D6020000}"/>
    <cellStyle name="Normální 5 40 2" xfId="784" xr:uid="{00000000-0005-0000-0000-0000D7020000}"/>
    <cellStyle name="Normální 5 41" xfId="594" xr:uid="{00000000-0005-0000-0000-0000D8020000}"/>
    <cellStyle name="Normální 5 41 2" xfId="785" xr:uid="{00000000-0005-0000-0000-0000D9020000}"/>
    <cellStyle name="Normální 5 42" xfId="595" xr:uid="{00000000-0005-0000-0000-0000DA020000}"/>
    <cellStyle name="Normální 5 42 2" xfId="786" xr:uid="{00000000-0005-0000-0000-0000DB020000}"/>
    <cellStyle name="Normální 5 43" xfId="596" xr:uid="{00000000-0005-0000-0000-0000DC020000}"/>
    <cellStyle name="Normální 5 43 2" xfId="787" xr:uid="{00000000-0005-0000-0000-0000DD020000}"/>
    <cellStyle name="Normální 5 44" xfId="597" xr:uid="{00000000-0005-0000-0000-0000DE020000}"/>
    <cellStyle name="Normální 5 44 2" xfId="788" xr:uid="{00000000-0005-0000-0000-0000DF020000}"/>
    <cellStyle name="Normální 5 45" xfId="598" xr:uid="{00000000-0005-0000-0000-0000E0020000}"/>
    <cellStyle name="Normální 5 45 2" xfId="789" xr:uid="{00000000-0005-0000-0000-0000E1020000}"/>
    <cellStyle name="Normální 5 46" xfId="599" xr:uid="{00000000-0005-0000-0000-0000E2020000}"/>
    <cellStyle name="Normální 5 46 2" xfId="790" xr:uid="{00000000-0005-0000-0000-0000E3020000}"/>
    <cellStyle name="Normální 5 47" xfId="600" xr:uid="{00000000-0005-0000-0000-0000E4020000}"/>
    <cellStyle name="Normální 5 47 2" xfId="791" xr:uid="{00000000-0005-0000-0000-0000E5020000}"/>
    <cellStyle name="Normální 5 48" xfId="601" xr:uid="{00000000-0005-0000-0000-0000E6020000}"/>
    <cellStyle name="Normální 5 48 2" xfId="792" xr:uid="{00000000-0005-0000-0000-0000E7020000}"/>
    <cellStyle name="Normální 5 49" xfId="602" xr:uid="{00000000-0005-0000-0000-0000E8020000}"/>
    <cellStyle name="Normální 5 49 2" xfId="793" xr:uid="{00000000-0005-0000-0000-0000E9020000}"/>
    <cellStyle name="Normální 5 5" xfId="318" xr:uid="{00000000-0005-0000-0000-0000EA020000}"/>
    <cellStyle name="Normální 5 50" xfId="603" xr:uid="{00000000-0005-0000-0000-0000EB020000}"/>
    <cellStyle name="Normální 5 50 2" xfId="794" xr:uid="{00000000-0005-0000-0000-0000EC020000}"/>
    <cellStyle name="Normální 5 51" xfId="604" xr:uid="{00000000-0005-0000-0000-0000ED020000}"/>
    <cellStyle name="Normální 5 51 2" xfId="795" xr:uid="{00000000-0005-0000-0000-0000EE020000}"/>
    <cellStyle name="Normální 5 52" xfId="605" xr:uid="{00000000-0005-0000-0000-0000EF020000}"/>
    <cellStyle name="Normální 5 52 2" xfId="796" xr:uid="{00000000-0005-0000-0000-0000F0020000}"/>
    <cellStyle name="Normální 5 53" xfId="606" xr:uid="{00000000-0005-0000-0000-0000F1020000}"/>
    <cellStyle name="Normální 5 53 2" xfId="797" xr:uid="{00000000-0005-0000-0000-0000F2020000}"/>
    <cellStyle name="Normální 5 54" xfId="607" xr:uid="{00000000-0005-0000-0000-0000F3020000}"/>
    <cellStyle name="Normální 5 54 2" xfId="798" xr:uid="{00000000-0005-0000-0000-0000F4020000}"/>
    <cellStyle name="Normální 5 55" xfId="608" xr:uid="{00000000-0005-0000-0000-0000F5020000}"/>
    <cellStyle name="Normální 5 55 2" xfId="799" xr:uid="{00000000-0005-0000-0000-0000F6020000}"/>
    <cellStyle name="Normální 5 56" xfId="609" xr:uid="{00000000-0005-0000-0000-0000F7020000}"/>
    <cellStyle name="Normální 5 56 2" xfId="800" xr:uid="{00000000-0005-0000-0000-0000F8020000}"/>
    <cellStyle name="Normální 5 57" xfId="610" xr:uid="{00000000-0005-0000-0000-0000F9020000}"/>
    <cellStyle name="Normální 5 57 2" xfId="801" xr:uid="{00000000-0005-0000-0000-0000FA020000}"/>
    <cellStyle name="Normální 5 58" xfId="611" xr:uid="{00000000-0005-0000-0000-0000FB020000}"/>
    <cellStyle name="Normální 5 58 2" xfId="802" xr:uid="{00000000-0005-0000-0000-0000FC020000}"/>
    <cellStyle name="Normální 5 59" xfId="612" xr:uid="{00000000-0005-0000-0000-0000FD020000}"/>
    <cellStyle name="Normální 5 59 2" xfId="803" xr:uid="{00000000-0005-0000-0000-0000FE020000}"/>
    <cellStyle name="normální 5 6" xfId="370" xr:uid="{00000000-0005-0000-0000-0000FF020000}"/>
    <cellStyle name="normální 5 6 2" xfId="954" xr:uid="{00000000-0005-0000-0000-000000030000}"/>
    <cellStyle name="Normální 5 60" xfId="613" xr:uid="{00000000-0005-0000-0000-000001030000}"/>
    <cellStyle name="Normální 5 60 2" xfId="804" xr:uid="{00000000-0005-0000-0000-000002030000}"/>
    <cellStyle name="Normální 5 61" xfId="614" xr:uid="{00000000-0005-0000-0000-000003030000}"/>
    <cellStyle name="Normální 5 61 2" xfId="805" xr:uid="{00000000-0005-0000-0000-000004030000}"/>
    <cellStyle name="Normální 5 62" xfId="615" xr:uid="{00000000-0005-0000-0000-000005030000}"/>
    <cellStyle name="Normální 5 62 2" xfId="806" xr:uid="{00000000-0005-0000-0000-000006030000}"/>
    <cellStyle name="Normální 5 63" xfId="616" xr:uid="{00000000-0005-0000-0000-000007030000}"/>
    <cellStyle name="Normální 5 63 2" xfId="807" xr:uid="{00000000-0005-0000-0000-000008030000}"/>
    <cellStyle name="Normální 5 64" xfId="726" xr:uid="{00000000-0005-0000-0000-000009030000}"/>
    <cellStyle name="Normální 5 65" xfId="741" xr:uid="{00000000-0005-0000-0000-00000A030000}"/>
    <cellStyle name="normální 5 7" xfId="400" xr:uid="{00000000-0005-0000-0000-00000B030000}"/>
    <cellStyle name="normální 5 7 2" xfId="958" xr:uid="{00000000-0005-0000-0000-00000C030000}"/>
    <cellStyle name="normální 5 8" xfId="404" xr:uid="{00000000-0005-0000-0000-00000D030000}"/>
    <cellStyle name="normální 5 8 2" xfId="961" xr:uid="{00000000-0005-0000-0000-00000E030000}"/>
    <cellStyle name="normální 5 9" xfId="402" xr:uid="{00000000-0005-0000-0000-00000F030000}"/>
    <cellStyle name="normální 5 9 2" xfId="960" xr:uid="{00000000-0005-0000-0000-000010030000}"/>
    <cellStyle name="Normální 50" xfId="229" xr:uid="{00000000-0005-0000-0000-000011030000}"/>
    <cellStyle name="Normální 50 2" xfId="914" xr:uid="{00000000-0005-0000-0000-000012030000}"/>
    <cellStyle name="Normální 51" xfId="230" xr:uid="{00000000-0005-0000-0000-000013030000}"/>
    <cellStyle name="Normální 51 2" xfId="915" xr:uid="{00000000-0005-0000-0000-000014030000}"/>
    <cellStyle name="Normální 52" xfId="231" xr:uid="{00000000-0005-0000-0000-000015030000}"/>
    <cellStyle name="Normální 52 2" xfId="916" xr:uid="{00000000-0005-0000-0000-000016030000}"/>
    <cellStyle name="Normální 53" xfId="232" xr:uid="{00000000-0005-0000-0000-000017030000}"/>
    <cellStyle name="Normální 53 2" xfId="917" xr:uid="{00000000-0005-0000-0000-000018030000}"/>
    <cellStyle name="Normální 54" xfId="233" xr:uid="{00000000-0005-0000-0000-000019030000}"/>
    <cellStyle name="Normální 54 2" xfId="918" xr:uid="{00000000-0005-0000-0000-00001A030000}"/>
    <cellStyle name="Normální 55" xfId="234" xr:uid="{00000000-0005-0000-0000-00001B030000}"/>
    <cellStyle name="Normální 55 2" xfId="919" xr:uid="{00000000-0005-0000-0000-00001C030000}"/>
    <cellStyle name="Normální 56" xfId="235" xr:uid="{00000000-0005-0000-0000-00001D030000}"/>
    <cellStyle name="Normální 56 2" xfId="920" xr:uid="{00000000-0005-0000-0000-00001E030000}"/>
    <cellStyle name="Normální 57" xfId="236" xr:uid="{00000000-0005-0000-0000-00001F030000}"/>
    <cellStyle name="Normální 57 2" xfId="921" xr:uid="{00000000-0005-0000-0000-000020030000}"/>
    <cellStyle name="Normální 58" xfId="237" xr:uid="{00000000-0005-0000-0000-000021030000}"/>
    <cellStyle name="Normální 58 2" xfId="922" xr:uid="{00000000-0005-0000-0000-000022030000}"/>
    <cellStyle name="Normální 59" xfId="238" xr:uid="{00000000-0005-0000-0000-000023030000}"/>
    <cellStyle name="Normální 59 2" xfId="923" xr:uid="{00000000-0005-0000-0000-000024030000}"/>
    <cellStyle name="Normální 6" xfId="13" xr:uid="{00000000-0005-0000-0000-000025030000}"/>
    <cellStyle name="Normální 6 2" xfId="239" xr:uid="{00000000-0005-0000-0000-000026030000}"/>
    <cellStyle name="Normální 6 2 2" xfId="924" xr:uid="{00000000-0005-0000-0000-000027030000}"/>
    <cellStyle name="Normální 6 3" xfId="259" xr:uid="{00000000-0005-0000-0000-000028030000}"/>
    <cellStyle name="Normální 6 3 2" xfId="334" xr:uid="{00000000-0005-0000-0000-000029030000}"/>
    <cellStyle name="Normální 6 3 2 2" xfId="509" xr:uid="{00000000-0005-0000-0000-00002A030000}"/>
    <cellStyle name="Normální 6 3 2 2 2" xfId="756" xr:uid="{00000000-0005-0000-0000-00002B030000}"/>
    <cellStyle name="Normální 6 3 2 3" xfId="739" xr:uid="{00000000-0005-0000-0000-00002C030000}"/>
    <cellStyle name="Normální 6 4" xfId="319" xr:uid="{00000000-0005-0000-0000-00002D030000}"/>
    <cellStyle name="Normální 6 5" xfId="836" xr:uid="{00000000-0005-0000-0000-00002E030000}"/>
    <cellStyle name="Normální 60" xfId="240" xr:uid="{00000000-0005-0000-0000-00002F030000}"/>
    <cellStyle name="Normální 60 2" xfId="925" xr:uid="{00000000-0005-0000-0000-000030030000}"/>
    <cellStyle name="Normální 61" xfId="241" xr:uid="{00000000-0005-0000-0000-000031030000}"/>
    <cellStyle name="Normální 61 2" xfId="926" xr:uid="{00000000-0005-0000-0000-000032030000}"/>
    <cellStyle name="Normální 62" xfId="242" xr:uid="{00000000-0005-0000-0000-000033030000}"/>
    <cellStyle name="Normální 62 2" xfId="927" xr:uid="{00000000-0005-0000-0000-000034030000}"/>
    <cellStyle name="Normální 63" xfId="243" xr:uid="{00000000-0005-0000-0000-000035030000}"/>
    <cellStyle name="Normální 63 2" xfId="928" xr:uid="{00000000-0005-0000-0000-000036030000}"/>
    <cellStyle name="Normální 64" xfId="244" xr:uid="{00000000-0005-0000-0000-000037030000}"/>
    <cellStyle name="Normální 64 2" xfId="929" xr:uid="{00000000-0005-0000-0000-000038030000}"/>
    <cellStyle name="Normální 65" xfId="245" xr:uid="{00000000-0005-0000-0000-000039030000}"/>
    <cellStyle name="Normální 65 2" xfId="930" xr:uid="{00000000-0005-0000-0000-00003A030000}"/>
    <cellStyle name="Normální 66" xfId="246" xr:uid="{00000000-0005-0000-0000-00003B030000}"/>
    <cellStyle name="Normální 66 2" xfId="931" xr:uid="{00000000-0005-0000-0000-00003C030000}"/>
    <cellStyle name="Normální 67" xfId="247" xr:uid="{00000000-0005-0000-0000-00003D030000}"/>
    <cellStyle name="Normální 67 2" xfId="932" xr:uid="{00000000-0005-0000-0000-00003E030000}"/>
    <cellStyle name="Normální 68" xfId="248" xr:uid="{00000000-0005-0000-0000-00003F030000}"/>
    <cellStyle name="Normální 68 2" xfId="933" xr:uid="{00000000-0005-0000-0000-000040030000}"/>
    <cellStyle name="Normální 69" xfId="249" xr:uid="{00000000-0005-0000-0000-000041030000}"/>
    <cellStyle name="Normální 69 2" xfId="934" xr:uid="{00000000-0005-0000-0000-000042030000}"/>
    <cellStyle name="Normální 7" xfId="109" xr:uid="{00000000-0005-0000-0000-000043030000}"/>
    <cellStyle name="normální 7 2" xfId="296" xr:uid="{00000000-0005-0000-0000-000044030000}"/>
    <cellStyle name="Normální 7 3" xfId="320" xr:uid="{00000000-0005-0000-0000-000045030000}"/>
    <cellStyle name="Normální 70" xfId="250" xr:uid="{00000000-0005-0000-0000-000046030000}"/>
    <cellStyle name="Normální 70 2" xfId="935" xr:uid="{00000000-0005-0000-0000-000047030000}"/>
    <cellStyle name="Normální 71" xfId="251" xr:uid="{00000000-0005-0000-0000-000048030000}"/>
    <cellStyle name="Normální 71 2" xfId="936" xr:uid="{00000000-0005-0000-0000-000049030000}"/>
    <cellStyle name="Normální 72" xfId="252" xr:uid="{00000000-0005-0000-0000-00004A030000}"/>
    <cellStyle name="Normální 72 2" xfId="937" xr:uid="{00000000-0005-0000-0000-00004B030000}"/>
    <cellStyle name="Normální 73" xfId="253" xr:uid="{00000000-0005-0000-0000-00004C030000}"/>
    <cellStyle name="Normální 73 2" xfId="938" xr:uid="{00000000-0005-0000-0000-00004D030000}"/>
    <cellStyle name="Normální 74" xfId="254" xr:uid="{00000000-0005-0000-0000-00004E030000}"/>
    <cellStyle name="Normální 74 2" xfId="939" xr:uid="{00000000-0005-0000-0000-00004F030000}"/>
    <cellStyle name="Normální 75" xfId="255" xr:uid="{00000000-0005-0000-0000-000050030000}"/>
    <cellStyle name="Normální 75 2" xfId="940" xr:uid="{00000000-0005-0000-0000-000051030000}"/>
    <cellStyle name="normální 76" xfId="298" xr:uid="{00000000-0005-0000-0000-000052030000}"/>
    <cellStyle name="normální 77" xfId="324" xr:uid="{00000000-0005-0000-0000-000053030000}"/>
    <cellStyle name="normální 77 2" xfId="463" xr:uid="{00000000-0005-0000-0000-000054030000}"/>
    <cellStyle name="normální 77 2 2" xfId="556" xr:uid="{00000000-0005-0000-0000-000055030000}"/>
    <cellStyle name="normální 77 3" xfId="502" xr:uid="{00000000-0005-0000-0000-000056030000}"/>
    <cellStyle name="Normální 78" xfId="401" xr:uid="{00000000-0005-0000-0000-000057030000}"/>
    <cellStyle name="Normální 78 2" xfId="959" xr:uid="{00000000-0005-0000-0000-000058030000}"/>
    <cellStyle name="Normální 79" xfId="407" xr:uid="{00000000-0005-0000-0000-000059030000}"/>
    <cellStyle name="Normální 79 2" xfId="963" xr:uid="{00000000-0005-0000-0000-00005A030000}"/>
    <cellStyle name="Normální 8" xfId="110" xr:uid="{00000000-0005-0000-0000-00005B030000}"/>
    <cellStyle name="Normální 80" xfId="406" xr:uid="{00000000-0005-0000-0000-00005C030000}"/>
    <cellStyle name="Normální 80 2" xfId="962" xr:uid="{00000000-0005-0000-0000-00005D030000}"/>
    <cellStyle name="Normální 81" xfId="411" xr:uid="{00000000-0005-0000-0000-00005E030000}"/>
    <cellStyle name="Normální 81 2" xfId="966" xr:uid="{00000000-0005-0000-0000-00005F030000}"/>
    <cellStyle name="Normální 82" xfId="464" xr:uid="{00000000-0005-0000-0000-000060030000}"/>
    <cellStyle name="Normální 82 2" xfId="967" xr:uid="{00000000-0005-0000-0000-000061030000}"/>
    <cellStyle name="Normální 83" xfId="465" xr:uid="{00000000-0005-0000-0000-000062030000}"/>
    <cellStyle name="Normální 83 2" xfId="968" xr:uid="{00000000-0005-0000-0000-000063030000}"/>
    <cellStyle name="Normální 84" xfId="410" xr:uid="{00000000-0005-0000-0000-000064030000}"/>
    <cellStyle name="Normální 84 2" xfId="965" xr:uid="{00000000-0005-0000-0000-000065030000}"/>
    <cellStyle name="Normální 85" xfId="467" xr:uid="{00000000-0005-0000-0000-000066030000}"/>
    <cellStyle name="Normální 85 2" xfId="969" xr:uid="{00000000-0005-0000-0000-000067030000}"/>
    <cellStyle name="Normální 86" xfId="515" xr:uid="{00000000-0005-0000-0000-000068030000}"/>
    <cellStyle name="Normální 86 2" xfId="970" xr:uid="{00000000-0005-0000-0000-000069030000}"/>
    <cellStyle name="Normální 87" xfId="558" xr:uid="{00000000-0005-0000-0000-00006A030000}"/>
    <cellStyle name="Normální 87 2" xfId="758" xr:uid="{00000000-0005-0000-0000-00006B030000}"/>
    <cellStyle name="Normální 88" xfId="721" xr:uid="{00000000-0005-0000-0000-00006C030000}"/>
    <cellStyle name="Normální 88 2" xfId="812" xr:uid="{00000000-0005-0000-0000-00006D030000}"/>
    <cellStyle name="Normální 89" xfId="725" xr:uid="{00000000-0005-0000-0000-00006E030000}"/>
    <cellStyle name="Normální 89 2" xfId="980" xr:uid="{00000000-0005-0000-0000-00006F030000}"/>
    <cellStyle name="Normální 9" xfId="111" xr:uid="{00000000-0005-0000-0000-000070030000}"/>
    <cellStyle name="normální 9 2" xfId="619" xr:uid="{00000000-0005-0000-0000-000071030000}"/>
    <cellStyle name="Normální 90" xfId="724" xr:uid="{00000000-0005-0000-0000-000072030000}"/>
    <cellStyle name="Normální 91" xfId="742" xr:uid="{00000000-0005-0000-0000-000073030000}"/>
    <cellStyle name="normální 92" xfId="106" xr:uid="{00000000-0005-0000-0000-000074030000}"/>
    <cellStyle name="normální 93" xfId="827" xr:uid="{00000000-0005-0000-0000-000075030000}"/>
    <cellStyle name="normální 94" xfId="830" xr:uid="{00000000-0005-0000-0000-000076030000}"/>
    <cellStyle name="normální 94 2" xfId="990" xr:uid="{00000000-0005-0000-0000-000077030000}"/>
    <cellStyle name="Normální 95" xfId="832" xr:uid="{00000000-0005-0000-0000-000078030000}"/>
    <cellStyle name="Normální 96" xfId="992" xr:uid="{00000000-0005-0000-0000-000079030000}"/>
    <cellStyle name="Normální 97" xfId="993" xr:uid="{00000000-0005-0000-0000-00007A030000}"/>
    <cellStyle name="Normální 98" xfId="996" xr:uid="{00000000-0005-0000-0000-00007B030000}"/>
    <cellStyle name="Normální 99" xfId="995" xr:uid="{00000000-0005-0000-0000-00007C030000}"/>
    <cellStyle name="normální_ElSil ZS stavba 307B Most přes rybník Koberný 041108" xfId="618" xr:uid="{00000000-0005-0000-0000-00007D030000}"/>
    <cellStyle name="normální_Vzor pro profese" xfId="3" xr:uid="{00000000-0005-0000-0000-00007E030000}"/>
    <cellStyle name="normální_Zásuvky" xfId="621" xr:uid="{00000000-0005-0000-0000-00007F030000}"/>
    <cellStyle name="Normalny 2" xfId="815" xr:uid="{00000000-0005-0000-0000-000080030000}"/>
    <cellStyle name="Normalny_Ceny jedn" xfId="112" xr:uid="{00000000-0005-0000-0000-000081030000}"/>
    <cellStyle name="Note" xfId="113" xr:uid="{00000000-0005-0000-0000-000082030000}"/>
    <cellStyle name="Output" xfId="114" xr:uid="{00000000-0005-0000-0000-000083030000}"/>
    <cellStyle name="Percent ()" xfId="706" xr:uid="{00000000-0005-0000-0000-000084030000}"/>
    <cellStyle name="Percent () 2" xfId="810" xr:uid="{00000000-0005-0000-0000-000085030000}"/>
    <cellStyle name="Percent (0)" xfId="707" xr:uid="{00000000-0005-0000-0000-000086030000}"/>
    <cellStyle name="Percent (1)" xfId="708" xr:uid="{00000000-0005-0000-0000-000087030000}"/>
    <cellStyle name="Percent 1" xfId="709" xr:uid="{00000000-0005-0000-0000-000088030000}"/>
    <cellStyle name="Percent 2" xfId="710" xr:uid="{00000000-0005-0000-0000-000089030000}"/>
    <cellStyle name="Percent_Account Detail" xfId="711" xr:uid="{00000000-0005-0000-0000-00008A030000}"/>
    <cellStyle name="Podhlavička" xfId="115" xr:uid="{00000000-0005-0000-0000-00008B030000}"/>
    <cellStyle name="Podnadpis" xfId="666" xr:uid="{00000000-0005-0000-0000-00008C030000}"/>
    <cellStyle name="Polozka" xfId="116" xr:uid="{00000000-0005-0000-0000-00008D030000}"/>
    <cellStyle name="popis polozky" xfId="117" xr:uid="{00000000-0005-0000-0000-00008E030000}"/>
    <cellStyle name="Poznámka 2" xfId="371" xr:uid="{00000000-0005-0000-0000-00008F030000}"/>
    <cellStyle name="Poznámka 2 2" xfId="818" xr:uid="{00000000-0005-0000-0000-000090030000}"/>
    <cellStyle name="Poznámka 2 2 2" xfId="985" xr:uid="{00000000-0005-0000-0000-000091030000}"/>
    <cellStyle name="Poznámka 2 3" xfId="817" xr:uid="{00000000-0005-0000-0000-000092030000}"/>
    <cellStyle name="Poznámka 2 3 2" xfId="984" xr:uid="{00000000-0005-0000-0000-000093030000}"/>
    <cellStyle name="Poznámka 3" xfId="819" xr:uid="{00000000-0005-0000-0000-000094030000}"/>
    <cellStyle name="Poznámka 3 2" xfId="986" xr:uid="{00000000-0005-0000-0000-000095030000}"/>
    <cellStyle name="Poznámka 4" xfId="820" xr:uid="{00000000-0005-0000-0000-000096030000}"/>
    <cellStyle name="Poznámka 4 2" xfId="821" xr:uid="{00000000-0005-0000-0000-000097030000}"/>
    <cellStyle name="Poznámka 4 2 2" xfId="988" xr:uid="{00000000-0005-0000-0000-000098030000}"/>
    <cellStyle name="Poznámka 4 3" xfId="987" xr:uid="{00000000-0005-0000-0000-000099030000}"/>
    <cellStyle name="Poznámka 5" xfId="822" xr:uid="{00000000-0005-0000-0000-00009A030000}"/>
    <cellStyle name="Poznámka 5 2" xfId="989" xr:uid="{00000000-0005-0000-0000-00009B030000}"/>
    <cellStyle name="Poznámka 6" xfId="816" xr:uid="{00000000-0005-0000-0000-00009C030000}"/>
    <cellStyle name="Poznámka 6 2" xfId="983" xr:uid="{00000000-0005-0000-0000-00009D030000}"/>
    <cellStyle name="procent 2" xfId="118" xr:uid="{00000000-0005-0000-0000-00009E030000}"/>
    <cellStyle name="procent 2 2" xfId="169" xr:uid="{00000000-0005-0000-0000-00009F030000}"/>
    <cellStyle name="procent 2 2 2" xfId="373" xr:uid="{00000000-0005-0000-0000-0000A0030000}"/>
    <cellStyle name="procent 2 2 3" xfId="884" xr:uid="{00000000-0005-0000-0000-0000A1030000}"/>
    <cellStyle name="procent 2 3" xfId="372" xr:uid="{00000000-0005-0000-0000-0000A2030000}"/>
    <cellStyle name="procent 2 4" xfId="860" xr:uid="{00000000-0005-0000-0000-0000A3030000}"/>
    <cellStyle name="Procenta 2" xfId="183" xr:uid="{00000000-0005-0000-0000-0000A4030000}"/>
    <cellStyle name="Procenta 2 2" xfId="321" xr:uid="{00000000-0005-0000-0000-0000A5030000}"/>
    <cellStyle name="Procenta 2 2 2" xfId="466" xr:uid="{00000000-0005-0000-0000-0000A6030000}"/>
    <cellStyle name="Procenta 2 2 2 2" xfId="557" xr:uid="{00000000-0005-0000-0000-0000A7030000}"/>
    <cellStyle name="Procenta 2 2 3" xfId="501" xr:uid="{00000000-0005-0000-0000-0000A8030000}"/>
    <cellStyle name="Procenta 2 3" xfId="898" xr:uid="{00000000-0005-0000-0000-0000A9030000}"/>
    <cellStyle name="Procenta 3" xfId="256" xr:uid="{00000000-0005-0000-0000-0000AA030000}"/>
    <cellStyle name="Procenta 3 2" xfId="941" xr:uid="{00000000-0005-0000-0000-0000AB030000}"/>
    <cellStyle name="Propojená buňka 2" xfId="374" xr:uid="{00000000-0005-0000-0000-0000AC030000}"/>
    <cellStyle name="Prozent 2" xfId="667" xr:uid="{00000000-0005-0000-0000-0000AD030000}"/>
    <cellStyle name="R_text" xfId="119" xr:uid="{00000000-0005-0000-0000-0000AE030000}"/>
    <cellStyle name="R_type" xfId="120" xr:uid="{00000000-0005-0000-0000-0000AF030000}"/>
    <cellStyle name="Result" xfId="121" xr:uid="{00000000-0005-0000-0000-0000B0030000}"/>
    <cellStyle name="Result2" xfId="122" xr:uid="{00000000-0005-0000-0000-0000B1030000}"/>
    <cellStyle name="rozpočet" xfId="375" xr:uid="{00000000-0005-0000-0000-0000B2030000}"/>
    <cellStyle name="Shaded" xfId="712" xr:uid="{00000000-0005-0000-0000-0000B3030000}"/>
    <cellStyle name="Specifikace" xfId="15" xr:uid="{00000000-0005-0000-0000-0000B4030000}"/>
    <cellStyle name="Specifikace 4" xfId="297" xr:uid="{00000000-0005-0000-0000-0000B5030000}"/>
    <cellStyle name="Správně 2" xfId="376" xr:uid="{00000000-0005-0000-0000-0000B6030000}"/>
    <cellStyle name="Standaard_Blad1_3" xfId="123" xr:uid="{00000000-0005-0000-0000-0000B7030000}"/>
    <cellStyle name="Standard 2" xfId="668" xr:uid="{00000000-0005-0000-0000-0000B8030000}"/>
    <cellStyle name="Standard_--&gt;2-1" xfId="124" xr:uid="{00000000-0005-0000-0000-0000B9030000}"/>
    <cellStyle name="Stín+tučně" xfId="669" xr:uid="{00000000-0005-0000-0000-0000BA030000}"/>
    <cellStyle name="Stín+tučně 2" xfId="670" xr:uid="{00000000-0005-0000-0000-0000BB030000}"/>
    <cellStyle name="Stín+tučně+velké písmo" xfId="671" xr:uid="{00000000-0005-0000-0000-0000BC030000}"/>
    <cellStyle name="Stín+tučně+velké písmo 2" xfId="672" xr:uid="{00000000-0005-0000-0000-0000BD030000}"/>
    <cellStyle name="Styl 1" xfId="18" xr:uid="{00000000-0005-0000-0000-0000BE030000}"/>
    <cellStyle name="Styl 1 10" xfId="125" xr:uid="{00000000-0005-0000-0000-0000BF030000}"/>
    <cellStyle name="Styl 1 11" xfId="126" xr:uid="{00000000-0005-0000-0000-0000C0030000}"/>
    <cellStyle name="Styl 1 14" xfId="127" xr:uid="{00000000-0005-0000-0000-0000C1030000}"/>
    <cellStyle name="Styl 1 2" xfId="128" xr:uid="{00000000-0005-0000-0000-0000C2030000}"/>
    <cellStyle name="Styl 1 2 2" xfId="378" xr:uid="{00000000-0005-0000-0000-0000C3030000}"/>
    <cellStyle name="Styl 1 2 2 2" xfId="955" xr:uid="{00000000-0005-0000-0000-0000C4030000}"/>
    <cellStyle name="Styl 1 23" xfId="129" xr:uid="{00000000-0005-0000-0000-0000C5030000}"/>
    <cellStyle name="Styl 1 24" xfId="130" xr:uid="{00000000-0005-0000-0000-0000C6030000}"/>
    <cellStyle name="Styl 1 25" xfId="131" xr:uid="{00000000-0005-0000-0000-0000C7030000}"/>
    <cellStyle name="Styl 1 26" xfId="132" xr:uid="{00000000-0005-0000-0000-0000C8030000}"/>
    <cellStyle name="Styl 1 27" xfId="133" xr:uid="{00000000-0005-0000-0000-0000C9030000}"/>
    <cellStyle name="Styl 1 28" xfId="134" xr:uid="{00000000-0005-0000-0000-0000CA030000}"/>
    <cellStyle name="Styl 1 3" xfId="257" xr:uid="{00000000-0005-0000-0000-0000CB030000}"/>
    <cellStyle name="Styl 1 4" xfId="322" xr:uid="{00000000-0005-0000-0000-0000CC030000}"/>
    <cellStyle name="Styl 1 5" xfId="377" xr:uid="{00000000-0005-0000-0000-0000CD030000}"/>
    <cellStyle name="Styl 1_902_VV_HO26__130503" xfId="673" xr:uid="{00000000-0005-0000-0000-0000CE030000}"/>
    <cellStyle name="Styl 2" xfId="135" xr:uid="{00000000-0005-0000-0000-0000CF030000}"/>
    <cellStyle name="Style 1" xfId="379" xr:uid="{00000000-0005-0000-0000-0000D0030000}"/>
    <cellStyle name="Style 1 2" xfId="380" xr:uid="{00000000-0005-0000-0000-0000D1030000}"/>
    <cellStyle name="Style 1 2 2" xfId="957" xr:uid="{00000000-0005-0000-0000-0000D2030000}"/>
    <cellStyle name="Style 1 3" xfId="956" xr:uid="{00000000-0005-0000-0000-0000D3030000}"/>
    <cellStyle name="Sum" xfId="713" xr:uid="{00000000-0005-0000-0000-0000D4030000}"/>
    <cellStyle name="Sum %of HV" xfId="714" xr:uid="{00000000-0005-0000-0000-0000D5030000}"/>
    <cellStyle name="text" xfId="136" xr:uid="{00000000-0005-0000-0000-0000D6030000}"/>
    <cellStyle name="Text upozornění 2" xfId="389" xr:uid="{00000000-0005-0000-0000-0000D7030000}"/>
    <cellStyle name="textový" xfId="674" xr:uid="{00000000-0005-0000-0000-0000D8030000}"/>
    <cellStyle name="textový 2" xfId="675" xr:uid="{00000000-0005-0000-0000-0000D9030000}"/>
    <cellStyle name="textový 2 2" xfId="977" xr:uid="{00000000-0005-0000-0000-0000DA030000}"/>
    <cellStyle name="textový 3" xfId="676" xr:uid="{00000000-0005-0000-0000-0000DB030000}"/>
    <cellStyle name="textový 3 2" xfId="677" xr:uid="{00000000-0005-0000-0000-0000DC030000}"/>
    <cellStyle name="textový 3 2 2" xfId="979" xr:uid="{00000000-0005-0000-0000-0000DD030000}"/>
    <cellStyle name="textový 3 3" xfId="978" xr:uid="{00000000-0005-0000-0000-0000DE030000}"/>
    <cellStyle name="textový 4" xfId="976" xr:uid="{00000000-0005-0000-0000-0000DF030000}"/>
    <cellStyle name="Thousands (0)" xfId="715" xr:uid="{00000000-0005-0000-0000-0000E0030000}"/>
    <cellStyle name="Thousands (1)" xfId="716" xr:uid="{00000000-0005-0000-0000-0000E1030000}"/>
    <cellStyle name="time" xfId="717" xr:uid="{00000000-0005-0000-0000-0000E2030000}"/>
    <cellStyle name="Title" xfId="137" xr:uid="{00000000-0005-0000-0000-0000E3030000}"/>
    <cellStyle name="titre1" xfId="382" xr:uid="{00000000-0005-0000-0000-0000E4030000}"/>
    <cellStyle name="titre2" xfId="383" xr:uid="{00000000-0005-0000-0000-0000E5030000}"/>
    <cellStyle name="Total" xfId="138" xr:uid="{00000000-0005-0000-0000-0000E6030000}"/>
    <cellStyle name="Total 2" xfId="718" xr:uid="{00000000-0005-0000-0000-0000E7030000}"/>
    <cellStyle name="třimísta" xfId="335" xr:uid="{00000000-0005-0000-0000-0000E8030000}"/>
    <cellStyle name="Tučně" xfId="678" xr:uid="{00000000-0005-0000-0000-0000E9030000}"/>
    <cellStyle name="Tučně 2" xfId="679" xr:uid="{00000000-0005-0000-0000-0000EA030000}"/>
    <cellStyle name="TYP ŘÁDKU_2" xfId="680" xr:uid="{00000000-0005-0000-0000-0000EB030000}"/>
    <cellStyle name="Underline 2" xfId="719" xr:uid="{00000000-0005-0000-0000-0000EC030000}"/>
    <cellStyle name="Vstup 2" xfId="385" xr:uid="{00000000-0005-0000-0000-0000ED030000}"/>
    <cellStyle name="výkaz výměr" xfId="139" xr:uid="{00000000-0005-0000-0000-0000EE030000}"/>
    <cellStyle name="Výpočet 2" xfId="386" xr:uid="{00000000-0005-0000-0000-0000EF030000}"/>
    <cellStyle name="Výstup 2" xfId="387" xr:uid="{00000000-0005-0000-0000-0000F0030000}"/>
    <cellStyle name="Vysvětlující text 2" xfId="388" xr:uid="{00000000-0005-0000-0000-0000F1030000}"/>
    <cellStyle name="Währung [0]_--&gt;2-1" xfId="140" xr:uid="{00000000-0005-0000-0000-0000F2030000}"/>
    <cellStyle name="Währung_--&gt;2-1" xfId="141" xr:uid="{00000000-0005-0000-0000-0000F3030000}"/>
    <cellStyle name="Warning Text" xfId="142" xr:uid="{00000000-0005-0000-0000-0000F4030000}"/>
    <cellStyle name="Wהhrung [0]_--&gt;2-1" xfId="143" xr:uid="{00000000-0005-0000-0000-0000F5030000}"/>
    <cellStyle name="Wהhrung_--&gt;2-1" xfId="144" xr:uid="{00000000-0005-0000-0000-0000F6030000}"/>
    <cellStyle name="Year" xfId="720" xr:uid="{00000000-0005-0000-0000-0000F7030000}"/>
    <cellStyle name="Year 2" xfId="811" xr:uid="{00000000-0005-0000-0000-0000F8030000}"/>
    <cellStyle name="základní" xfId="681" xr:uid="{00000000-0005-0000-0000-0000F9030000}"/>
    <cellStyle name="základní 2" xfId="682" xr:uid="{00000000-0005-0000-0000-0000FA030000}"/>
    <cellStyle name="základní 2 2" xfId="683" xr:uid="{00000000-0005-0000-0000-0000FB030000}"/>
    <cellStyle name="základní 3" xfId="684" xr:uid="{00000000-0005-0000-0000-0000FC030000}"/>
    <cellStyle name="Zvýraznění 1 2" xfId="390" xr:uid="{00000000-0005-0000-0000-0000FD030000}"/>
    <cellStyle name="Zvýraznění 2 2" xfId="391" xr:uid="{00000000-0005-0000-0000-0000FE030000}"/>
    <cellStyle name="Zvýraznění 3 2" xfId="392" xr:uid="{00000000-0005-0000-0000-0000FF030000}"/>
    <cellStyle name="Zvýraznění 4 2" xfId="393" xr:uid="{00000000-0005-0000-0000-000000040000}"/>
    <cellStyle name="Zvýraznění 5 2" xfId="394" xr:uid="{00000000-0005-0000-0000-000001040000}"/>
    <cellStyle name="Zvýraznění 6 2" xfId="395" xr:uid="{00000000-0005-0000-0000-000002040000}"/>
    <cellStyle name="桁区切り [0.00]_22Oct01Toyota Indirect Cost Summary Package-F(P&amp;W shop)" xfId="396" xr:uid="{00000000-0005-0000-0000-000003040000}"/>
    <cellStyle name="桁区切り_Package -F PROPOSED STAFF SCHEDULE 27,July,01" xfId="397" xr:uid="{00000000-0005-0000-0000-000004040000}"/>
    <cellStyle name="標準_22Oct01Toyota Indirect Cost Summary Package-F(P&amp;W shop)" xfId="398" xr:uid="{00000000-0005-0000-0000-00000504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39414</xdr:colOff>
      <xdr:row>20</xdr:row>
      <xdr:rowOff>26275</xdr:rowOff>
    </xdr:from>
    <xdr:to>
      <xdr:col>2</xdr:col>
      <xdr:colOff>1287189</xdr:colOff>
      <xdr:row>22</xdr:row>
      <xdr:rowOff>160895</xdr:rowOff>
    </xdr:to>
    <xdr:pic>
      <xdr:nvPicPr>
        <xdr:cNvPr id="4" name="obrázek 1">
          <a:extLst>
            <a:ext uri="{FF2B5EF4-FFF2-40B4-BE49-F238E27FC236}">
              <a16:creationId xmlns:a16="http://schemas.microsoft.com/office/drawing/2014/main" id="{180FF68B-074C-4CE7-9BEF-B59BC3B2AF83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471948" y="4059620"/>
          <a:ext cx="1247775" cy="515620"/>
        </a:xfrm>
        <a:prstGeom prst="rect">
          <a:avLst/>
        </a:prstGeom>
        <a:noFill/>
        <a:ln w="0">
          <a:miter lim="800000"/>
          <a:headEnd/>
          <a:tailEnd/>
        </a:ln>
      </xdr:spPr>
    </xdr:pic>
    <xdr:clientData/>
  </xdr:twoCellAnchor>
  <xdr:twoCellAnchor editAs="oneCell">
    <xdr:from>
      <xdr:col>1</xdr:col>
      <xdr:colOff>1242646</xdr:colOff>
      <xdr:row>19</xdr:row>
      <xdr:rowOff>99647</xdr:rowOff>
    </xdr:from>
    <xdr:to>
      <xdr:col>1</xdr:col>
      <xdr:colOff>2338656</xdr:colOff>
      <xdr:row>22</xdr:row>
      <xdr:rowOff>103457</xdr:rowOff>
    </xdr:to>
    <xdr:pic>
      <xdr:nvPicPr>
        <xdr:cNvPr id="2" name="Obrázek 1">
          <a:extLst>
            <a:ext uri="{FF2B5EF4-FFF2-40B4-BE49-F238E27FC236}">
              <a16:creationId xmlns:a16="http://schemas.microsoft.com/office/drawing/2014/main" id="{283EA6AC-1F45-42E0-8A10-249EA9E23C9C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6861" y="3810001"/>
          <a:ext cx="1096010" cy="5489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iloslav@stratera.cz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42"/>
  <sheetViews>
    <sheetView view="pageBreakPreview" zoomScale="130" zoomScaleNormal="130" zoomScaleSheetLayoutView="130" workbookViewId="0">
      <selection activeCell="A17" sqref="A17"/>
    </sheetView>
  </sheetViews>
  <sheetFormatPr defaultColWidth="9.140625" defaultRowHeight="15"/>
  <cols>
    <col min="1" max="1" width="43.140625" style="49" bestFit="1" customWidth="1"/>
    <col min="2" max="2" width="38.28515625" style="49" bestFit="1" customWidth="1"/>
    <col min="3" max="3" width="23.5703125" style="49" customWidth="1"/>
    <col min="4" max="4" width="13.28515625" style="49" bestFit="1" customWidth="1"/>
    <col min="5" max="16384" width="9.140625" style="49"/>
  </cols>
  <sheetData>
    <row r="2" spans="1:4">
      <c r="A2" s="47"/>
      <c r="B2" s="47"/>
      <c r="C2" s="48" t="s">
        <v>50</v>
      </c>
    </row>
    <row r="3" spans="1:4">
      <c r="A3" s="47"/>
      <c r="B3" s="47"/>
      <c r="C3" s="50"/>
    </row>
    <row r="4" spans="1:4">
      <c r="A4" s="47"/>
      <c r="B4" s="51" t="s">
        <v>0</v>
      </c>
      <c r="C4" s="79">
        <v>45752</v>
      </c>
    </row>
    <row r="6" spans="1:4">
      <c r="A6" s="51" t="s">
        <v>1</v>
      </c>
      <c r="B6" s="52"/>
      <c r="C6" s="52"/>
    </row>
    <row r="7" spans="1:4" ht="18.75">
      <c r="A7" s="78" t="s">
        <v>36</v>
      </c>
      <c r="B7" s="14" t="s">
        <v>99</v>
      </c>
      <c r="C7" s="47"/>
    </row>
    <row r="8" spans="1:4" ht="23.25">
      <c r="A8" s="53" t="s">
        <v>2</v>
      </c>
      <c r="B8" s="54"/>
      <c r="C8" s="54"/>
    </row>
    <row r="9" spans="1:4" ht="20.25">
      <c r="A9" s="55"/>
      <c r="B9" s="55"/>
      <c r="C9" s="55"/>
    </row>
    <row r="10" spans="1:4">
      <c r="A10" s="56" t="s">
        <v>3</v>
      </c>
      <c r="B10" s="57"/>
      <c r="C10" s="57" t="s">
        <v>15</v>
      </c>
    </row>
    <row r="11" spans="1:4" ht="15.75">
      <c r="A11" s="58"/>
      <c r="B11" s="59"/>
      <c r="C11" s="59"/>
    </row>
    <row r="12" spans="1:4">
      <c r="A12" s="80" t="s">
        <v>31</v>
      </c>
      <c r="B12" s="60"/>
      <c r="C12" s="61">
        <f>SUM(elektro!H8)</f>
        <v>372073.74</v>
      </c>
      <c r="D12" s="62"/>
    </row>
    <row r="13" spans="1:4">
      <c r="A13" s="80" t="s">
        <v>32</v>
      </c>
      <c r="B13" s="60"/>
      <c r="C13" s="61">
        <f>SUM(elektro!H68)</f>
        <v>97250</v>
      </c>
      <c r="D13" s="62"/>
    </row>
    <row r="14" spans="1:4">
      <c r="A14" s="51"/>
      <c r="B14" s="60"/>
      <c r="C14" s="61"/>
    </row>
    <row r="15" spans="1:4">
      <c r="A15" s="56" t="s">
        <v>29</v>
      </c>
      <c r="B15" s="56"/>
      <c r="C15" s="63">
        <f>SUM(C12:C13)</f>
        <v>469323.74</v>
      </c>
      <c r="D15" s="62"/>
    </row>
    <row r="16" spans="1:4">
      <c r="A16" s="51"/>
      <c r="B16" s="60"/>
      <c r="C16" s="61"/>
    </row>
    <row r="17" spans="1:3">
      <c r="A17" s="64" t="s">
        <v>19</v>
      </c>
      <c r="B17" s="65" t="s">
        <v>4</v>
      </c>
      <c r="C17" s="66" t="s">
        <v>16</v>
      </c>
    </row>
    <row r="18" spans="1:3">
      <c r="A18" s="67" t="s">
        <v>33</v>
      </c>
      <c r="B18" s="65" t="s">
        <v>5</v>
      </c>
      <c r="C18" s="68">
        <v>420728926991</v>
      </c>
    </row>
    <row r="19" spans="1:3">
      <c r="A19" s="67" t="s">
        <v>34</v>
      </c>
      <c r="B19" s="65" t="s">
        <v>6</v>
      </c>
      <c r="C19" s="69" t="s">
        <v>17</v>
      </c>
    </row>
    <row r="20" spans="1:3">
      <c r="A20" s="67" t="s">
        <v>20</v>
      </c>
      <c r="B20" s="70"/>
      <c r="C20" s="71"/>
    </row>
    <row r="21" spans="1:3">
      <c r="A21" s="71"/>
      <c r="B21" s="70"/>
      <c r="C21" s="71"/>
    </row>
    <row r="22" spans="1:3">
      <c r="A22" s="71"/>
      <c r="B22" s="72"/>
      <c r="C22" s="71"/>
    </row>
    <row r="23" spans="1:3">
      <c r="A23" s="71"/>
      <c r="B23" s="65"/>
      <c r="C23" s="71"/>
    </row>
    <row r="24" spans="1:3">
      <c r="A24" s="72"/>
      <c r="B24" s="65"/>
      <c r="C24" s="72"/>
    </row>
    <row r="25" spans="1:3">
      <c r="A25" s="72"/>
      <c r="C25" s="73"/>
    </row>
    <row r="26" spans="1:3">
      <c r="A26" s="72"/>
      <c r="C26" s="74"/>
    </row>
    <row r="27" spans="1:3">
      <c r="A27" s="72"/>
      <c r="C27" s="70"/>
    </row>
    <row r="28" spans="1:3">
      <c r="A28" s="72"/>
      <c r="C28" s="70"/>
    </row>
    <row r="29" spans="1:3">
      <c r="A29" s="72"/>
      <c r="C29" s="72"/>
    </row>
    <row r="30" spans="1:3">
      <c r="A30" s="72"/>
      <c r="C30" s="73"/>
    </row>
    <row r="31" spans="1:3">
      <c r="A31" s="72"/>
      <c r="C31" s="75"/>
    </row>
    <row r="32" spans="1:3">
      <c r="A32" s="72"/>
      <c r="B32" s="72"/>
      <c r="C32" s="47"/>
    </row>
    <row r="33" spans="1:3">
      <c r="A33" s="70"/>
      <c r="B33" s="76"/>
      <c r="C33" s="47"/>
    </row>
    <row r="34" spans="1:3">
      <c r="A34" s="70"/>
      <c r="B34" s="76"/>
      <c r="C34" s="47"/>
    </row>
    <row r="35" spans="1:3">
      <c r="A35" s="70"/>
      <c r="B35" s="76"/>
      <c r="C35" s="47"/>
    </row>
    <row r="36" spans="1:3">
      <c r="A36" s="70"/>
      <c r="B36" s="76"/>
      <c r="C36" s="47"/>
    </row>
    <row r="37" spans="1:3">
      <c r="A37" s="70"/>
      <c r="B37" s="70"/>
      <c r="C37" s="47"/>
    </row>
    <row r="38" spans="1:3">
      <c r="A38" s="70"/>
      <c r="B38" s="70"/>
      <c r="C38" s="47"/>
    </row>
    <row r="39" spans="1:3">
      <c r="A39" s="70"/>
      <c r="B39" s="70"/>
      <c r="C39" s="47"/>
    </row>
    <row r="40" spans="1:3">
      <c r="A40" s="70"/>
      <c r="B40" s="70"/>
      <c r="C40" s="47"/>
    </row>
    <row r="41" spans="1:3">
      <c r="A41" s="70"/>
      <c r="B41" s="70"/>
      <c r="C41" s="47"/>
    </row>
    <row r="42" spans="1:3">
      <c r="A42" s="70"/>
      <c r="B42" s="70"/>
      <c r="C42" s="70"/>
    </row>
  </sheetData>
  <hyperlinks>
    <hyperlink ref="C19" r:id="rId1" xr:uid="{00000000-0004-0000-0000-000000000000}"/>
  </hyperlinks>
  <pageMargins left="0.7" right="0.7" top="0.78740157499999996" bottom="0.78740157499999996" header="0.3" footer="0.3"/>
  <pageSetup paperSize="9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6"/>
  <sheetViews>
    <sheetView tabSelected="1" view="pageBreakPreview" topLeftCell="A27" zoomScaleNormal="100" zoomScaleSheetLayoutView="100" workbookViewId="0">
      <selection activeCell="E54" sqref="E54:H54"/>
    </sheetView>
  </sheetViews>
  <sheetFormatPr defaultRowHeight="15"/>
  <cols>
    <col min="1" max="1" width="9.140625" customWidth="1"/>
    <col min="2" max="2" width="62.140625" style="30" customWidth="1"/>
    <col min="3" max="3" width="4.42578125" style="37" bestFit="1" customWidth="1"/>
    <col min="4" max="4" width="11.7109375" customWidth="1"/>
    <col min="5" max="6" width="17.42578125" customWidth="1"/>
    <col min="7" max="7" width="11" bestFit="1" customWidth="1"/>
    <col min="8" max="8" width="12.85546875" bestFit="1" customWidth="1"/>
    <col min="9" max="9" width="4.5703125" customWidth="1"/>
  </cols>
  <sheetData>
    <row r="1" spans="1:9" ht="15.75">
      <c r="A1" s="14" t="s">
        <v>7</v>
      </c>
      <c r="B1" s="26"/>
      <c r="C1" s="31"/>
      <c r="D1" s="4"/>
      <c r="E1" s="13"/>
      <c r="F1" s="3"/>
      <c r="G1" s="12"/>
      <c r="H1" s="12"/>
      <c r="I1" s="2"/>
    </row>
    <row r="2" spans="1:9" ht="15.75">
      <c r="A2" s="14" t="s">
        <v>30</v>
      </c>
      <c r="B2" s="26"/>
      <c r="C2" s="31"/>
      <c r="D2" s="4"/>
      <c r="E2" s="13"/>
      <c r="F2" s="3"/>
      <c r="G2" s="12"/>
      <c r="H2" s="12"/>
      <c r="I2" s="1"/>
    </row>
    <row r="3" spans="1:9">
      <c r="A3" s="16"/>
      <c r="B3" s="44" t="s">
        <v>8</v>
      </c>
      <c r="C3" s="45" t="s">
        <v>9</v>
      </c>
      <c r="D3" s="45" t="s">
        <v>21</v>
      </c>
      <c r="E3" s="46" t="s">
        <v>22</v>
      </c>
      <c r="F3" s="46" t="s">
        <v>23</v>
      </c>
      <c r="G3" s="46" t="s">
        <v>24</v>
      </c>
      <c r="H3" s="45" t="s">
        <v>25</v>
      </c>
    </row>
    <row r="4" spans="1:9">
      <c r="A4" s="16"/>
      <c r="B4" s="27"/>
      <c r="C4" s="32"/>
      <c r="D4" s="16" t="s">
        <v>10</v>
      </c>
      <c r="E4" s="21" t="s">
        <v>11</v>
      </c>
      <c r="F4" s="21" t="s">
        <v>12</v>
      </c>
      <c r="G4" s="21" t="s">
        <v>13</v>
      </c>
      <c r="H4" s="15" t="s">
        <v>14</v>
      </c>
    </row>
    <row r="5" spans="1:9" ht="15.75">
      <c r="A5" s="17"/>
      <c r="B5" s="28"/>
      <c r="C5" s="33"/>
      <c r="D5" s="18"/>
      <c r="E5" s="19"/>
      <c r="F5" s="19"/>
      <c r="G5" s="19"/>
      <c r="H5" s="20"/>
    </row>
    <row r="6" spans="1:9" ht="15.75">
      <c r="A6" s="9"/>
      <c r="B6" s="29" t="s">
        <v>26</v>
      </c>
      <c r="C6" s="34"/>
      <c r="D6" s="5"/>
      <c r="E6" s="5"/>
      <c r="F6" s="5"/>
      <c r="G6" s="5"/>
      <c r="H6" s="6"/>
    </row>
    <row r="7" spans="1:9">
      <c r="A7" s="38"/>
      <c r="B7" s="83"/>
      <c r="C7" s="39"/>
      <c r="D7" s="40"/>
      <c r="E7" s="41"/>
      <c r="F7" s="41"/>
      <c r="G7" s="42"/>
      <c r="H7" s="43"/>
    </row>
    <row r="8" spans="1:9">
      <c r="A8" s="7"/>
      <c r="B8" s="77" t="s">
        <v>35</v>
      </c>
      <c r="C8" s="35"/>
      <c r="D8" s="10"/>
      <c r="E8" s="10"/>
      <c r="F8" s="10"/>
      <c r="G8" s="10"/>
      <c r="H8" s="8">
        <f>SUM(H10:H66)</f>
        <v>372073.74</v>
      </c>
    </row>
    <row r="9" spans="1:9">
      <c r="A9" s="24"/>
      <c r="B9" s="82" t="s">
        <v>51</v>
      </c>
      <c r="C9" s="36"/>
      <c r="D9" s="22"/>
      <c r="E9" s="11"/>
      <c r="F9" s="11"/>
      <c r="G9" s="23"/>
      <c r="H9" s="25"/>
    </row>
    <row r="10" spans="1:9">
      <c r="A10" s="24"/>
      <c r="B10" s="81" t="s">
        <v>58</v>
      </c>
      <c r="C10" s="36" t="s">
        <v>59</v>
      </c>
      <c r="D10" s="22">
        <v>225</v>
      </c>
      <c r="E10" s="11">
        <v>39</v>
      </c>
      <c r="F10" s="11">
        <v>80</v>
      </c>
      <c r="G10" s="23">
        <f t="shared" ref="G10:G15" si="0">SUM(E10+F10)</f>
        <v>119</v>
      </c>
      <c r="H10" s="25">
        <f t="shared" ref="H10:H15" si="1">SUM(G10*D10)</f>
        <v>26775</v>
      </c>
    </row>
    <row r="11" spans="1:9">
      <c r="A11" s="24"/>
      <c r="B11" s="81" t="s">
        <v>61</v>
      </c>
      <c r="C11" s="36" t="s">
        <v>39</v>
      </c>
      <c r="D11" s="22">
        <v>35</v>
      </c>
      <c r="E11" s="11">
        <v>27</v>
      </c>
      <c r="F11" s="11">
        <v>71.5</v>
      </c>
      <c r="G11" s="23">
        <f t="shared" si="0"/>
        <v>98.5</v>
      </c>
      <c r="H11" s="25">
        <f t="shared" si="1"/>
        <v>3447.5</v>
      </c>
    </row>
    <row r="12" spans="1:9">
      <c r="A12" s="24"/>
      <c r="B12" s="81" t="s">
        <v>60</v>
      </c>
      <c r="C12" s="36" t="s">
        <v>39</v>
      </c>
      <c r="D12" s="22">
        <v>25</v>
      </c>
      <c r="E12" s="11">
        <v>27</v>
      </c>
      <c r="F12" s="11">
        <v>71.5</v>
      </c>
      <c r="G12" s="23">
        <f t="shared" si="0"/>
        <v>98.5</v>
      </c>
      <c r="H12" s="25">
        <f t="shared" si="1"/>
        <v>2462.5</v>
      </c>
    </row>
    <row r="13" spans="1:9">
      <c r="A13" s="24"/>
      <c r="B13" s="81" t="s">
        <v>62</v>
      </c>
      <c r="C13" s="36" t="s">
        <v>59</v>
      </c>
      <c r="D13" s="22">
        <v>30</v>
      </c>
      <c r="E13" s="11">
        <v>29</v>
      </c>
      <c r="F13" s="11">
        <v>80</v>
      </c>
      <c r="G13" s="23">
        <f t="shared" si="0"/>
        <v>109</v>
      </c>
      <c r="H13" s="25">
        <f t="shared" si="1"/>
        <v>3270</v>
      </c>
    </row>
    <row r="14" spans="1:9">
      <c r="A14" s="24"/>
      <c r="B14" s="81" t="s">
        <v>64</v>
      </c>
      <c r="C14" s="36" t="s">
        <v>39</v>
      </c>
      <c r="D14" s="22">
        <v>14</v>
      </c>
      <c r="E14" s="11"/>
      <c r="F14" s="11">
        <v>180</v>
      </c>
      <c r="G14" s="23">
        <f t="shared" si="0"/>
        <v>180</v>
      </c>
      <c r="H14" s="25">
        <f t="shared" si="1"/>
        <v>2520</v>
      </c>
    </row>
    <row r="15" spans="1:9">
      <c r="A15" s="24"/>
      <c r="B15" s="81" t="s">
        <v>63</v>
      </c>
      <c r="C15" s="36" t="s">
        <v>27</v>
      </c>
      <c r="D15" s="22">
        <v>1</v>
      </c>
      <c r="E15" s="11">
        <v>450</v>
      </c>
      <c r="F15" s="11">
        <v>500</v>
      </c>
      <c r="G15" s="23">
        <f t="shared" si="0"/>
        <v>950</v>
      </c>
      <c r="H15" s="25">
        <f t="shared" si="1"/>
        <v>950</v>
      </c>
    </row>
    <row r="16" spans="1:9">
      <c r="A16" s="24"/>
      <c r="B16" s="81"/>
      <c r="C16" s="36"/>
      <c r="D16" s="22"/>
      <c r="E16" s="11"/>
      <c r="F16" s="11"/>
      <c r="G16" s="23"/>
      <c r="H16" s="25"/>
    </row>
    <row r="17" spans="1:8">
      <c r="A17" s="24"/>
      <c r="B17" s="82" t="s">
        <v>52</v>
      </c>
      <c r="C17" s="36"/>
      <c r="D17" s="22"/>
      <c r="E17" s="11"/>
      <c r="F17" s="11"/>
      <c r="G17" s="23"/>
      <c r="H17" s="25"/>
    </row>
    <row r="18" spans="1:8">
      <c r="A18" s="24"/>
      <c r="B18" s="81" t="s">
        <v>37</v>
      </c>
      <c r="C18" s="36" t="s">
        <v>59</v>
      </c>
      <c r="D18" s="22">
        <v>250</v>
      </c>
      <c r="E18" s="11">
        <v>70</v>
      </c>
      <c r="F18" s="11">
        <v>45.5</v>
      </c>
      <c r="G18" s="23">
        <f>SUM(E18+F18)</f>
        <v>115.5</v>
      </c>
      <c r="H18" s="25">
        <f>SUM(G18*D18)</f>
        <v>28875</v>
      </c>
    </row>
    <row r="19" spans="1:8">
      <c r="A19" s="24"/>
      <c r="B19" s="81" t="s">
        <v>65</v>
      </c>
      <c r="C19" s="36" t="s">
        <v>59</v>
      </c>
      <c r="D19" s="22">
        <v>20</v>
      </c>
      <c r="E19" s="11">
        <v>190</v>
      </c>
      <c r="F19" s="11">
        <v>0</v>
      </c>
      <c r="G19" s="23">
        <f>SUM(E19+F19)</f>
        <v>190</v>
      </c>
      <c r="H19" s="25">
        <f>SUM(G19*D19)</f>
        <v>3800</v>
      </c>
    </row>
    <row r="20" spans="1:8">
      <c r="A20" s="24"/>
      <c r="B20" s="85" t="s">
        <v>38</v>
      </c>
      <c r="C20" s="36" t="s">
        <v>39</v>
      </c>
      <c r="D20" s="87"/>
      <c r="E20" s="11">
        <v>344.76</v>
      </c>
      <c r="F20" s="11">
        <v>97.5</v>
      </c>
      <c r="G20" s="23">
        <f t="shared" ref="G20:G27" si="2">SUM(E20+F20)</f>
        <v>442.26</v>
      </c>
      <c r="H20" s="88">
        <f t="shared" ref="H20:H27" si="3">SUM(G20*D20)</f>
        <v>0</v>
      </c>
    </row>
    <row r="21" spans="1:8">
      <c r="A21" s="84"/>
      <c r="B21" s="85" t="s">
        <v>40</v>
      </c>
      <c r="C21" s="36" t="s">
        <v>39</v>
      </c>
      <c r="D21" s="87"/>
      <c r="E21" s="11">
        <v>440.23199999999997</v>
      </c>
      <c r="F21" s="11">
        <v>71.5</v>
      </c>
      <c r="G21" s="23">
        <f t="shared" si="2"/>
        <v>511.73199999999997</v>
      </c>
      <c r="H21" s="88">
        <f t="shared" si="3"/>
        <v>0</v>
      </c>
    </row>
    <row r="22" spans="1:8">
      <c r="A22" s="84"/>
      <c r="B22" s="85" t="s">
        <v>41</v>
      </c>
      <c r="C22" s="36" t="s">
        <v>39</v>
      </c>
      <c r="D22" s="87"/>
      <c r="E22" s="11">
        <v>137.904</v>
      </c>
      <c r="F22" s="11">
        <v>32.5</v>
      </c>
      <c r="G22" s="23">
        <f t="shared" si="2"/>
        <v>170.404</v>
      </c>
      <c r="H22" s="88">
        <f t="shared" si="3"/>
        <v>0</v>
      </c>
    </row>
    <row r="23" spans="1:8">
      <c r="A23" s="84"/>
      <c r="B23" s="85" t="s">
        <v>42</v>
      </c>
      <c r="C23" s="36" t="s">
        <v>39</v>
      </c>
      <c r="D23" s="87"/>
      <c r="E23" s="11">
        <v>23.426000000000002</v>
      </c>
      <c r="F23" s="11">
        <v>71.5</v>
      </c>
      <c r="G23" s="23">
        <f t="shared" si="2"/>
        <v>94.926000000000002</v>
      </c>
      <c r="H23" s="88">
        <f t="shared" si="3"/>
        <v>0</v>
      </c>
    </row>
    <row r="24" spans="1:8">
      <c r="A24" s="84"/>
      <c r="B24" s="85" t="s">
        <v>44</v>
      </c>
      <c r="C24" s="36" t="s">
        <v>39</v>
      </c>
      <c r="D24" s="87"/>
      <c r="E24" s="11">
        <v>19.539000000000001</v>
      </c>
      <c r="F24" s="11">
        <v>71.5</v>
      </c>
      <c r="G24" s="23">
        <f t="shared" ref="G24" si="4">SUM(E24+F24)</f>
        <v>91.039000000000001</v>
      </c>
      <c r="H24" s="88">
        <f t="shared" ref="H24" si="5">SUM(G24*D24)</f>
        <v>0</v>
      </c>
    </row>
    <row r="25" spans="1:8">
      <c r="A25" s="84"/>
      <c r="B25" s="81" t="s">
        <v>43</v>
      </c>
      <c r="C25" s="36" t="s">
        <v>39</v>
      </c>
      <c r="D25" s="22">
        <v>500</v>
      </c>
      <c r="E25" s="11">
        <v>26.338000000000005</v>
      </c>
      <c r="F25" s="11">
        <v>45.5</v>
      </c>
      <c r="G25" s="23">
        <f t="shared" si="2"/>
        <v>71.838000000000008</v>
      </c>
      <c r="H25" s="25">
        <f t="shared" si="3"/>
        <v>35919.000000000007</v>
      </c>
    </row>
    <row r="26" spans="1:8">
      <c r="A26" s="84"/>
      <c r="B26" s="81" t="s">
        <v>44</v>
      </c>
      <c r="C26" s="36" t="s">
        <v>39</v>
      </c>
      <c r="D26" s="22">
        <v>40</v>
      </c>
      <c r="E26" s="11">
        <v>19.539000000000001</v>
      </c>
      <c r="F26" s="11">
        <v>71.5</v>
      </c>
      <c r="G26" s="23">
        <f t="shared" si="2"/>
        <v>91.039000000000001</v>
      </c>
      <c r="H26" s="25">
        <f t="shared" si="3"/>
        <v>3641.56</v>
      </c>
    </row>
    <row r="27" spans="1:8">
      <c r="A27" s="84"/>
      <c r="B27" s="81" t="s">
        <v>45</v>
      </c>
      <c r="C27" s="36" t="s">
        <v>39</v>
      </c>
      <c r="D27" s="22">
        <v>80</v>
      </c>
      <c r="E27" s="11">
        <v>14.846</v>
      </c>
      <c r="F27" s="11">
        <v>71.5</v>
      </c>
      <c r="G27" s="23">
        <f t="shared" si="2"/>
        <v>86.346000000000004</v>
      </c>
      <c r="H27" s="25">
        <f t="shared" si="3"/>
        <v>6907.68</v>
      </c>
    </row>
    <row r="28" spans="1:8">
      <c r="A28" s="24"/>
      <c r="B28" s="81" t="s">
        <v>66</v>
      </c>
      <c r="C28" s="36" t="s">
        <v>39</v>
      </c>
      <c r="D28" s="22">
        <v>7</v>
      </c>
      <c r="E28" s="11">
        <v>45</v>
      </c>
      <c r="F28" s="11">
        <v>71.5</v>
      </c>
      <c r="G28" s="23">
        <f t="shared" ref="G28" si="6">SUM(E28+F28)</f>
        <v>116.5</v>
      </c>
      <c r="H28" s="25">
        <f t="shared" ref="H28" si="7">SUM(G28*D28)</f>
        <v>815.5</v>
      </c>
    </row>
    <row r="29" spans="1:8">
      <c r="A29" s="24"/>
      <c r="B29" s="82" t="s">
        <v>67</v>
      </c>
      <c r="C29" s="36"/>
      <c r="D29" s="22"/>
      <c r="E29" s="11"/>
      <c r="F29" s="11"/>
      <c r="G29" s="23"/>
      <c r="H29" s="25"/>
    </row>
    <row r="30" spans="1:8">
      <c r="A30" s="24"/>
      <c r="B30" s="86" t="s">
        <v>68</v>
      </c>
      <c r="C30" s="36"/>
      <c r="D30" s="22"/>
      <c r="E30" s="11"/>
      <c r="F30" s="11"/>
      <c r="G30" s="23"/>
      <c r="H30" s="25"/>
    </row>
    <row r="31" spans="1:8">
      <c r="A31" s="24"/>
      <c r="B31" s="86"/>
      <c r="C31" s="36"/>
      <c r="D31" s="22"/>
      <c r="E31" s="11"/>
      <c r="F31" s="11"/>
      <c r="G31" s="23"/>
      <c r="H31" s="25"/>
    </row>
    <row r="32" spans="1:8">
      <c r="A32" s="24"/>
      <c r="B32" s="82" t="s">
        <v>53</v>
      </c>
      <c r="C32" s="36"/>
      <c r="D32" s="22"/>
      <c r="E32" s="11"/>
      <c r="F32" s="11"/>
      <c r="G32" s="23"/>
      <c r="H32" s="25"/>
    </row>
    <row r="33" spans="1:8">
      <c r="A33" s="24"/>
      <c r="B33" s="81" t="s">
        <v>69</v>
      </c>
      <c r="C33" s="36" t="s">
        <v>59</v>
      </c>
      <c r="D33" s="22">
        <v>180</v>
      </c>
      <c r="E33" s="11">
        <v>195</v>
      </c>
      <c r="F33" s="11">
        <v>190</v>
      </c>
      <c r="G33" s="23">
        <f t="shared" ref="G33:G39" si="8">SUM(E33+F33)</f>
        <v>385</v>
      </c>
      <c r="H33" s="25">
        <f t="shared" ref="H33:H41" si="9">SUM(G33*D33)</f>
        <v>69300</v>
      </c>
    </row>
    <row r="34" spans="1:8">
      <c r="A34" s="24"/>
      <c r="B34" s="81" t="s">
        <v>70</v>
      </c>
      <c r="C34" s="36" t="s">
        <v>39</v>
      </c>
      <c r="D34" s="22">
        <v>30</v>
      </c>
      <c r="E34" s="11">
        <v>150</v>
      </c>
      <c r="F34" s="11">
        <v>50</v>
      </c>
      <c r="G34" s="23">
        <f t="shared" si="8"/>
        <v>200</v>
      </c>
      <c r="H34" s="25">
        <f t="shared" si="9"/>
        <v>6000</v>
      </c>
    </row>
    <row r="35" spans="1:8">
      <c r="A35" s="24"/>
      <c r="B35" s="81" t="s">
        <v>71</v>
      </c>
      <c r="C35" s="36" t="s">
        <v>39</v>
      </c>
      <c r="D35" s="22">
        <v>60</v>
      </c>
      <c r="E35" s="11">
        <v>335</v>
      </c>
      <c r="F35" s="11">
        <v>50</v>
      </c>
      <c r="G35" s="23">
        <f t="shared" si="8"/>
        <v>385</v>
      </c>
      <c r="H35" s="25">
        <f t="shared" si="9"/>
        <v>23100</v>
      </c>
    </row>
    <row r="36" spans="1:8">
      <c r="A36" s="24"/>
      <c r="B36" s="81" t="s">
        <v>72</v>
      </c>
      <c r="C36" s="36" t="s">
        <v>39</v>
      </c>
      <c r="D36" s="22">
        <v>60</v>
      </c>
      <c r="E36" s="11">
        <v>565</v>
      </c>
      <c r="F36" s="11">
        <v>35</v>
      </c>
      <c r="G36" s="23">
        <f t="shared" si="8"/>
        <v>600</v>
      </c>
      <c r="H36" s="25">
        <f t="shared" si="9"/>
        <v>36000</v>
      </c>
    </row>
    <row r="37" spans="1:8">
      <c r="A37" s="24"/>
      <c r="B37" s="81" t="s">
        <v>73</v>
      </c>
      <c r="C37" s="36" t="s">
        <v>27</v>
      </c>
      <c r="D37" s="22">
        <v>1</v>
      </c>
      <c r="E37" s="11">
        <v>1500</v>
      </c>
      <c r="F37" s="11">
        <v>4500</v>
      </c>
      <c r="G37" s="23">
        <f t="shared" si="8"/>
        <v>6000</v>
      </c>
      <c r="H37" s="25">
        <f t="shared" si="9"/>
        <v>6000</v>
      </c>
    </row>
    <row r="38" spans="1:8">
      <c r="A38" s="24"/>
      <c r="B38" s="81" t="s">
        <v>89</v>
      </c>
      <c r="C38" s="36" t="s">
        <v>59</v>
      </c>
      <c r="D38" s="22">
        <v>10</v>
      </c>
      <c r="E38" s="11">
        <v>490</v>
      </c>
      <c r="F38" s="11">
        <v>250</v>
      </c>
      <c r="G38" s="23">
        <f t="shared" si="8"/>
        <v>740</v>
      </c>
      <c r="H38" s="25">
        <f t="shared" si="9"/>
        <v>7400</v>
      </c>
    </row>
    <row r="39" spans="1:8">
      <c r="A39" s="24"/>
      <c r="B39" s="81" t="s">
        <v>98</v>
      </c>
      <c r="C39" s="36" t="s">
        <v>27</v>
      </c>
      <c r="D39" s="22">
        <v>1</v>
      </c>
      <c r="E39" s="11">
        <v>3500</v>
      </c>
      <c r="F39" s="11">
        <v>1900</v>
      </c>
      <c r="G39" s="23">
        <f t="shared" si="8"/>
        <v>5400</v>
      </c>
      <c r="H39" s="25">
        <f t="shared" si="9"/>
        <v>5400</v>
      </c>
    </row>
    <row r="40" spans="1:8">
      <c r="A40" s="24"/>
      <c r="B40" s="81"/>
      <c r="C40" s="36"/>
      <c r="D40" s="22"/>
      <c r="E40" s="11"/>
      <c r="F40" s="11"/>
      <c r="G40" s="23"/>
      <c r="H40" s="25">
        <f t="shared" si="9"/>
        <v>0</v>
      </c>
    </row>
    <row r="41" spans="1:8">
      <c r="A41" s="24"/>
      <c r="B41" s="82" t="s">
        <v>54</v>
      </c>
      <c r="C41" s="36"/>
      <c r="D41" s="22"/>
      <c r="E41" s="11"/>
      <c r="F41" s="11"/>
      <c r="G41" s="23"/>
      <c r="H41" s="25">
        <f t="shared" si="9"/>
        <v>0</v>
      </c>
    </row>
    <row r="42" spans="1:8">
      <c r="A42" s="24" t="s">
        <v>92</v>
      </c>
      <c r="B42" s="81" t="s">
        <v>86</v>
      </c>
      <c r="C42" s="36" t="s">
        <v>59</v>
      </c>
      <c r="D42" s="22">
        <v>200</v>
      </c>
      <c r="E42" s="11">
        <v>60</v>
      </c>
      <c r="F42" s="11">
        <v>30</v>
      </c>
      <c r="G42" s="23">
        <f t="shared" ref="G42:G47" si="10">SUM(E42+F42)</f>
        <v>90</v>
      </c>
      <c r="H42" s="25">
        <f t="shared" ref="H42:H47" si="11">SUM(G42*D42)</f>
        <v>18000</v>
      </c>
    </row>
    <row r="43" spans="1:8">
      <c r="A43" s="24" t="s">
        <v>93</v>
      </c>
      <c r="B43" s="81" t="s">
        <v>85</v>
      </c>
      <c r="C43" s="36" t="s">
        <v>59</v>
      </c>
      <c r="D43" s="22">
        <v>400</v>
      </c>
      <c r="E43" s="11">
        <v>23</v>
      </c>
      <c r="F43" s="11">
        <v>30</v>
      </c>
      <c r="G43" s="23">
        <f t="shared" si="10"/>
        <v>53</v>
      </c>
      <c r="H43" s="25">
        <f t="shared" si="11"/>
        <v>21200</v>
      </c>
    </row>
    <row r="44" spans="1:8">
      <c r="A44" s="24" t="s">
        <v>91</v>
      </c>
      <c r="B44" s="81" t="s">
        <v>90</v>
      </c>
      <c r="C44" s="36"/>
      <c r="D44" s="22">
        <v>100</v>
      </c>
      <c r="E44" s="11">
        <v>38</v>
      </c>
      <c r="F44" s="11">
        <v>30</v>
      </c>
      <c r="G44" s="23">
        <f t="shared" si="10"/>
        <v>68</v>
      </c>
      <c r="H44" s="25">
        <f t="shared" si="11"/>
        <v>6800</v>
      </c>
    </row>
    <row r="45" spans="1:8">
      <c r="A45" s="24" t="s">
        <v>94</v>
      </c>
      <c r="B45" s="81" t="s">
        <v>84</v>
      </c>
      <c r="C45" s="36" t="s">
        <v>59</v>
      </c>
      <c r="D45" s="22">
        <v>60</v>
      </c>
      <c r="E45" s="11">
        <v>16</v>
      </c>
      <c r="F45" s="11">
        <v>28</v>
      </c>
      <c r="G45" s="23">
        <f t="shared" si="10"/>
        <v>44</v>
      </c>
      <c r="H45" s="25">
        <f t="shared" si="11"/>
        <v>2640</v>
      </c>
    </row>
    <row r="46" spans="1:8">
      <c r="A46" s="24" t="s">
        <v>95</v>
      </c>
      <c r="B46" s="81" t="s">
        <v>87</v>
      </c>
      <c r="C46" s="36" t="s">
        <v>59</v>
      </c>
      <c r="D46" s="87"/>
      <c r="E46" s="11">
        <v>39</v>
      </c>
      <c r="F46" s="11">
        <v>30</v>
      </c>
      <c r="G46" s="23">
        <f t="shared" si="10"/>
        <v>69</v>
      </c>
      <c r="H46" s="25">
        <f t="shared" si="11"/>
        <v>0</v>
      </c>
    </row>
    <row r="47" spans="1:8">
      <c r="A47" s="24"/>
      <c r="B47" s="81" t="s">
        <v>97</v>
      </c>
      <c r="C47" s="36" t="s">
        <v>39</v>
      </c>
      <c r="D47" s="87"/>
      <c r="E47" s="11">
        <v>35</v>
      </c>
      <c r="F47" s="11">
        <v>29</v>
      </c>
      <c r="G47" s="23">
        <f t="shared" si="10"/>
        <v>64</v>
      </c>
      <c r="H47" s="25">
        <f t="shared" si="11"/>
        <v>0</v>
      </c>
    </row>
    <row r="48" spans="1:8">
      <c r="A48" s="24" t="s">
        <v>96</v>
      </c>
      <c r="B48" s="85"/>
      <c r="C48" s="36" t="s">
        <v>59</v>
      </c>
      <c r="D48" s="87"/>
      <c r="E48" s="89"/>
      <c r="F48" s="89"/>
      <c r="G48" s="23">
        <f t="shared" ref="G48" si="12">SUM(E48+F48)</f>
        <v>0</v>
      </c>
      <c r="H48" s="25">
        <f t="shared" ref="H48" si="13">SUM(G48*D48)</f>
        <v>0</v>
      </c>
    </row>
    <row r="49" spans="1:8">
      <c r="A49" s="24"/>
      <c r="B49" s="81"/>
      <c r="C49" s="36"/>
      <c r="D49" s="22"/>
      <c r="E49" s="11"/>
      <c r="F49" s="11"/>
      <c r="G49" s="23"/>
      <c r="H49" s="25"/>
    </row>
    <row r="50" spans="1:8">
      <c r="A50" s="24"/>
      <c r="B50" s="82" t="s">
        <v>55</v>
      </c>
      <c r="C50" s="36"/>
      <c r="D50" s="22"/>
      <c r="E50" s="11"/>
      <c r="F50" s="11"/>
      <c r="G50" s="23"/>
      <c r="H50" s="25"/>
    </row>
    <row r="51" spans="1:8">
      <c r="A51" s="24"/>
      <c r="B51" s="81" t="s">
        <v>77</v>
      </c>
      <c r="C51" s="36" t="s">
        <v>39</v>
      </c>
      <c r="D51" s="22">
        <v>7</v>
      </c>
      <c r="E51" s="11">
        <v>717</v>
      </c>
      <c r="F51" s="11">
        <v>190</v>
      </c>
      <c r="G51" s="23">
        <f>SUM(E51+F51)</f>
        <v>907</v>
      </c>
      <c r="H51" s="25">
        <f t="shared" ref="H51" si="14">SUM(G51*D51)</f>
        <v>6349</v>
      </c>
    </row>
    <row r="52" spans="1:8">
      <c r="A52" s="24"/>
      <c r="B52" s="81" t="s">
        <v>78</v>
      </c>
      <c r="C52" s="36" t="s">
        <v>39</v>
      </c>
      <c r="D52" s="22">
        <v>3</v>
      </c>
      <c r="E52" s="11">
        <v>160</v>
      </c>
      <c r="F52" s="11">
        <v>122</v>
      </c>
      <c r="G52" s="23">
        <f>SUM(E52+F52)</f>
        <v>282</v>
      </c>
      <c r="H52" s="25">
        <f t="shared" ref="H52" si="15">SUM(G52*D52)</f>
        <v>846</v>
      </c>
    </row>
    <row r="53" spans="1:8">
      <c r="A53" s="24"/>
      <c r="B53" s="81" t="s">
        <v>88</v>
      </c>
      <c r="C53" s="36" t="s">
        <v>39</v>
      </c>
      <c r="D53" s="22">
        <v>7</v>
      </c>
      <c r="E53" s="11">
        <v>215</v>
      </c>
      <c r="F53" s="11">
        <v>150</v>
      </c>
      <c r="G53" s="23">
        <f>SUM(E53+F53)</f>
        <v>365</v>
      </c>
      <c r="H53" s="25">
        <f t="shared" ref="H53" si="16">SUM(G53*D53)</f>
        <v>2555</v>
      </c>
    </row>
    <row r="54" spans="1:8">
      <c r="A54" s="24"/>
      <c r="B54" s="81" t="s">
        <v>100</v>
      </c>
      <c r="C54" s="36" t="s">
        <v>39</v>
      </c>
      <c r="D54" s="22">
        <v>1</v>
      </c>
      <c r="E54" s="89"/>
      <c r="F54" s="89"/>
      <c r="G54" s="90"/>
      <c r="H54" s="88"/>
    </row>
    <row r="55" spans="1:8">
      <c r="A55" s="24"/>
      <c r="B55" s="82"/>
      <c r="C55" s="36"/>
      <c r="D55" s="22"/>
      <c r="E55" s="11"/>
      <c r="F55" s="11"/>
      <c r="G55" s="23"/>
      <c r="H55" s="25"/>
    </row>
    <row r="56" spans="1:8">
      <c r="A56" s="24"/>
      <c r="B56" s="82" t="s">
        <v>56</v>
      </c>
      <c r="C56" s="36"/>
      <c r="D56" s="22"/>
      <c r="E56" s="11"/>
      <c r="F56" s="11"/>
      <c r="G56" s="23"/>
      <c r="H56" s="25"/>
    </row>
    <row r="57" spans="1:8">
      <c r="A57" s="24"/>
      <c r="B57" s="81" t="s">
        <v>74</v>
      </c>
      <c r="C57" s="36" t="s">
        <v>39</v>
      </c>
      <c r="D57" s="22">
        <v>48</v>
      </c>
      <c r="E57" s="89"/>
      <c r="F57" s="11">
        <v>350</v>
      </c>
      <c r="G57" s="23">
        <f>SUM(E57+F57)</f>
        <v>350</v>
      </c>
      <c r="H57" s="25">
        <f t="shared" ref="H57:H59" si="17">SUM(G57*D57)</f>
        <v>16800</v>
      </c>
    </row>
    <row r="58" spans="1:8">
      <c r="A58" s="24"/>
      <c r="B58" s="81" t="s">
        <v>75</v>
      </c>
      <c r="C58" s="36" t="s">
        <v>39</v>
      </c>
      <c r="D58" s="22">
        <v>96</v>
      </c>
      <c r="E58" s="11">
        <v>180</v>
      </c>
      <c r="F58" s="11"/>
      <c r="G58" s="23">
        <f>SUM(E58+F58)</f>
        <v>180</v>
      </c>
      <c r="H58" s="25">
        <f t="shared" si="17"/>
        <v>17280</v>
      </c>
    </row>
    <row r="59" spans="1:8">
      <c r="A59" s="24"/>
      <c r="B59" s="81" t="s">
        <v>79</v>
      </c>
      <c r="C59" s="36" t="s">
        <v>59</v>
      </c>
      <c r="D59" s="22">
        <v>100</v>
      </c>
      <c r="E59" s="11">
        <v>32</v>
      </c>
      <c r="F59" s="11">
        <v>29</v>
      </c>
      <c r="G59" s="23">
        <f>SUM(E59+F59)</f>
        <v>61</v>
      </c>
      <c r="H59" s="25">
        <f t="shared" si="17"/>
        <v>6100</v>
      </c>
    </row>
    <row r="60" spans="1:8">
      <c r="A60" s="24"/>
      <c r="B60" s="81" t="s">
        <v>76</v>
      </c>
      <c r="C60" s="36" t="s">
        <v>27</v>
      </c>
      <c r="D60" s="22">
        <v>1</v>
      </c>
      <c r="E60" s="11">
        <v>920</v>
      </c>
      <c r="F60" s="11"/>
      <c r="G60" s="23">
        <f>SUM(E60+F60)</f>
        <v>920</v>
      </c>
      <c r="H60" s="25">
        <f t="shared" ref="H60" si="18">SUM(G60*D60)</f>
        <v>920</v>
      </c>
    </row>
    <row r="61" spans="1:8">
      <c r="A61" s="24"/>
      <c r="B61" s="82"/>
      <c r="C61" s="36"/>
      <c r="D61" s="22"/>
      <c r="E61" s="11"/>
      <c r="F61" s="11"/>
      <c r="G61" s="23"/>
      <c r="H61" s="25"/>
    </row>
    <row r="62" spans="1:8">
      <c r="A62" s="24"/>
      <c r="B62" s="82" t="s">
        <v>57</v>
      </c>
      <c r="C62" s="36"/>
      <c r="D62" s="22"/>
      <c r="E62" s="11"/>
      <c r="F62" s="11"/>
      <c r="G62" s="23"/>
      <c r="H62" s="25"/>
    </row>
    <row r="63" spans="1:8">
      <c r="A63" s="24"/>
      <c r="B63" s="81" t="s">
        <v>80</v>
      </c>
      <c r="C63" s="36"/>
      <c r="D63" s="22"/>
      <c r="E63" s="11"/>
      <c r="F63" s="11"/>
      <c r="G63" s="23"/>
      <c r="H63" s="25"/>
    </row>
    <row r="64" spans="1:8">
      <c r="A64" s="24"/>
      <c r="B64" s="82"/>
      <c r="C64" s="36"/>
      <c r="D64" s="22"/>
      <c r="E64" s="11"/>
      <c r="F64" s="11"/>
      <c r="G64" s="23"/>
      <c r="H64" s="25"/>
    </row>
    <row r="65" spans="1:8">
      <c r="A65" s="24"/>
      <c r="B65" s="82" t="s">
        <v>67</v>
      </c>
      <c r="C65" s="36"/>
      <c r="D65" s="22"/>
      <c r="E65" s="11"/>
      <c r="F65" s="11"/>
      <c r="G65" s="23"/>
      <c r="H65" s="25"/>
    </row>
    <row r="66" spans="1:8">
      <c r="A66" s="24"/>
      <c r="B66" s="86" t="s">
        <v>81</v>
      </c>
      <c r="C66" s="36"/>
      <c r="D66" s="22"/>
      <c r="E66" s="11"/>
      <c r="F66" s="11"/>
      <c r="G66" s="23"/>
      <c r="H66" s="25"/>
    </row>
    <row r="67" spans="1:8">
      <c r="A67" s="38"/>
      <c r="B67" s="83"/>
      <c r="C67" s="39"/>
      <c r="D67" s="40"/>
      <c r="E67" s="41"/>
      <c r="F67" s="41"/>
      <c r="G67" s="42"/>
      <c r="H67" s="43"/>
    </row>
    <row r="68" spans="1:8">
      <c r="B68" s="77" t="s">
        <v>18</v>
      </c>
      <c r="C68" s="35"/>
      <c r="D68" s="10"/>
      <c r="E68" s="10"/>
      <c r="F68" s="10"/>
      <c r="G68" s="10"/>
      <c r="H68" s="8">
        <f>SUM(H70:H74)</f>
        <v>97250</v>
      </c>
    </row>
    <row r="69" spans="1:8" ht="9" customHeight="1">
      <c r="B69" s="29"/>
      <c r="C69" s="39"/>
      <c r="D69" s="40"/>
      <c r="E69" s="41"/>
      <c r="F69" s="41"/>
      <c r="G69" s="42"/>
      <c r="H69" s="43"/>
    </row>
    <row r="70" spans="1:8">
      <c r="A70" s="24"/>
      <c r="B70" s="81" t="s">
        <v>82</v>
      </c>
      <c r="C70" s="36" t="s">
        <v>27</v>
      </c>
      <c r="D70" s="22">
        <v>1</v>
      </c>
      <c r="E70" s="11">
        <v>8650</v>
      </c>
      <c r="F70" s="11">
        <v>0</v>
      </c>
      <c r="G70" s="23">
        <f t="shared" ref="G70" si="19">SUM(E70+F70)</f>
        <v>8650</v>
      </c>
      <c r="H70" s="25">
        <f t="shared" ref="H70" si="20">SUM(G70*D70)</f>
        <v>8650</v>
      </c>
    </row>
    <row r="71" spans="1:8">
      <c r="A71" s="24"/>
      <c r="B71" s="81" t="s">
        <v>83</v>
      </c>
      <c r="C71" s="36" t="s">
        <v>27</v>
      </c>
      <c r="D71" s="22">
        <v>1</v>
      </c>
      <c r="E71" s="11">
        <v>6600</v>
      </c>
      <c r="F71" s="11"/>
      <c r="G71" s="23">
        <f t="shared" ref="G71" si="21">SUM(E71+F71)</f>
        <v>6600</v>
      </c>
      <c r="H71" s="25">
        <f t="shared" ref="H71" si="22">SUM(G71*D71)</f>
        <v>6600</v>
      </c>
    </row>
    <row r="72" spans="1:8">
      <c r="A72" s="24"/>
      <c r="B72" s="81" t="s">
        <v>46</v>
      </c>
      <c r="C72" s="36" t="s">
        <v>27</v>
      </c>
      <c r="D72" s="22">
        <v>1</v>
      </c>
      <c r="E72" s="11">
        <v>3000</v>
      </c>
      <c r="F72" s="11">
        <v>0</v>
      </c>
      <c r="G72" s="23">
        <f t="shared" ref="G72:G74" si="23">SUM(E72+F72)</f>
        <v>3000</v>
      </c>
      <c r="H72" s="25">
        <f t="shared" ref="H72:H74" si="24">SUM(G72*D72)</f>
        <v>3000</v>
      </c>
    </row>
    <row r="73" spans="1:8">
      <c r="A73" s="24"/>
      <c r="B73" s="81" t="s">
        <v>47</v>
      </c>
      <c r="C73" s="36" t="s">
        <v>27</v>
      </c>
      <c r="D73" s="22">
        <v>1</v>
      </c>
      <c r="E73" s="11">
        <v>3000</v>
      </c>
      <c r="F73" s="11">
        <v>0</v>
      </c>
      <c r="G73" s="23">
        <f t="shared" ref="G73" si="25">SUM(E73+F73)</f>
        <v>3000</v>
      </c>
      <c r="H73" s="25">
        <f t="shared" ref="H73" si="26">SUM(G73*D73)</f>
        <v>3000</v>
      </c>
    </row>
    <row r="74" spans="1:8">
      <c r="A74" s="24"/>
      <c r="B74" s="81" t="s">
        <v>48</v>
      </c>
      <c r="C74" s="36" t="s">
        <v>49</v>
      </c>
      <c r="D74" s="22">
        <v>40</v>
      </c>
      <c r="E74" s="11">
        <v>1900</v>
      </c>
      <c r="F74" s="11"/>
      <c r="G74" s="23">
        <f t="shared" si="23"/>
        <v>1900</v>
      </c>
      <c r="H74" s="25">
        <f t="shared" si="24"/>
        <v>76000</v>
      </c>
    </row>
    <row r="76" spans="1:8">
      <c r="B76" s="30" t="s">
        <v>28</v>
      </c>
    </row>
  </sheetData>
  <pageMargins left="0.7" right="0.7" top="0.78740157499999996" bottom="0.78740157499999996" header="0.3" footer="0.3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Listy</vt:lpstr>
      </vt:variant>
      <vt:variant>
        <vt:i4>2</vt:i4>
      </vt:variant>
      <vt:variant>
        <vt:lpstr>Pojmenované oblasti</vt:lpstr>
      </vt:variant>
      <vt:variant>
        <vt:i4>2</vt:i4>
      </vt:variant>
    </vt:vector>
  </HeadingPairs>
  <TitlesOfParts>
    <vt:vector size="4" baseType="lpstr">
      <vt:lpstr>Krycí list</vt:lpstr>
      <vt:lpstr>elektro</vt:lpstr>
      <vt:lpstr>elektro!Oblast_tisku</vt:lpstr>
      <vt:lpstr>'Krycí list'!Oblast_tisku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Miloslav Brozik</cp:lastModifiedBy>
  <cp:lastPrinted>2023-10-27T09:29:40Z</cp:lastPrinted>
  <dcterms:created xsi:type="dcterms:W3CDTF">2017-03-14T13:45:40Z</dcterms:created>
  <dcterms:modified xsi:type="dcterms:W3CDTF">2025-04-05T14:51:55Z</dcterms:modified>
</cp:coreProperties>
</file>