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raterasro-my.sharepoint.com/personal/martinhrabcik_straterasro_onmicrosoft_com/Documents/Stratera/01_Zakázky/01_Realizace/2025_zakázky/25005_DEK Litvínov/03_Rozpočty/REV 5/"/>
    </mc:Choice>
  </mc:AlternateContent>
  <xr:revisionPtr revIDLastSave="63" documentId="8_{C8B56FD0-E2D9-4BAB-9B3A-90D231F1B6E9}" xr6:coauthVersionLast="47" xr6:coauthVersionMax="47" xr10:uidLastSave="{C8D64DF8-32B7-4440-A0F3-6BE1BEE81826}"/>
  <bookViews>
    <workbookView xWindow="28680" yWindow="-120" windowWidth="29040" windowHeight="17640" activeTab="1" xr2:uid="{00000000-000D-0000-FFFF-FFFF00000000}"/>
  </bookViews>
  <sheets>
    <sheet name="Rekapitulace" sheetId="3" r:id="rId1"/>
    <sheet name="Rozpočet" sheetId="2" r:id="rId2"/>
    <sheet name="Parametry" sheetId="1" r:id="rId3"/>
  </sheets>
  <externalReferences>
    <externalReference r:id="rId4"/>
    <externalReference r:id="rId5"/>
    <externalReference r:id="rId6"/>
  </externalReferences>
  <definedNames>
    <definedName name="_xlnm.Print_Area" localSheetId="2">Parametry!$A$1:$B$34</definedName>
    <definedName name="_xlnm.Print_Area" localSheetId="0">Rekapitulace!$A$1:$C$42</definedName>
    <definedName name="_xlnm.Print_Area" localSheetId="1">Rozpočet!$A$1:$Y$348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2" l="1"/>
  <c r="P193" i="2" l="1"/>
  <c r="P190" i="2"/>
  <c r="P189" i="2"/>
  <c r="P188" i="2"/>
  <c r="P187" i="2"/>
  <c r="X10" i="2"/>
  <c r="Y10" i="2"/>
  <c r="X11" i="2"/>
  <c r="Y11" i="2"/>
  <c r="X13" i="2"/>
  <c r="Y13" i="2"/>
  <c r="X14" i="2"/>
  <c r="Y14" i="2"/>
  <c r="X15" i="2"/>
  <c r="Y15" i="2"/>
  <c r="X16" i="2"/>
  <c r="Y16" i="2"/>
  <c r="X17" i="2"/>
  <c r="Y17" i="2"/>
  <c r="X18" i="2"/>
  <c r="Y18" i="2"/>
  <c r="X19" i="2"/>
  <c r="Y19" i="2"/>
  <c r="X20" i="2"/>
  <c r="Y20" i="2"/>
  <c r="X21" i="2"/>
  <c r="Y21" i="2"/>
  <c r="X22" i="2"/>
  <c r="Y22" i="2"/>
  <c r="X23" i="2"/>
  <c r="Y23" i="2"/>
  <c r="X24" i="2"/>
  <c r="Y24" i="2"/>
  <c r="X25" i="2"/>
  <c r="Y25" i="2"/>
  <c r="X26" i="2"/>
  <c r="Y26" i="2"/>
  <c r="X27" i="2"/>
  <c r="Y27" i="2"/>
  <c r="X28" i="2"/>
  <c r="Y28" i="2"/>
  <c r="X29" i="2"/>
  <c r="Y29" i="2"/>
  <c r="X30" i="2"/>
  <c r="Y30" i="2"/>
  <c r="X31" i="2"/>
  <c r="Y31" i="2"/>
  <c r="X32" i="2"/>
  <c r="Y32" i="2"/>
  <c r="X33" i="2"/>
  <c r="Y33" i="2"/>
  <c r="X34" i="2"/>
  <c r="Y34" i="2"/>
  <c r="X35" i="2"/>
  <c r="Y35" i="2"/>
  <c r="X36" i="2"/>
  <c r="Y36" i="2"/>
  <c r="X37" i="2"/>
  <c r="Y37" i="2"/>
  <c r="X38" i="2"/>
  <c r="Y38" i="2"/>
  <c r="X39" i="2"/>
  <c r="Y39" i="2"/>
  <c r="X40" i="2"/>
  <c r="Y40" i="2"/>
  <c r="X41" i="2"/>
  <c r="Y41" i="2"/>
  <c r="X42" i="2"/>
  <c r="Y42" i="2"/>
  <c r="X43" i="2"/>
  <c r="Y43" i="2"/>
  <c r="X44" i="2"/>
  <c r="Y44" i="2"/>
  <c r="X45" i="2"/>
  <c r="Y45" i="2"/>
  <c r="X46" i="2"/>
  <c r="Y46" i="2"/>
  <c r="X47" i="2"/>
  <c r="Y47" i="2"/>
  <c r="X48" i="2"/>
  <c r="Y48" i="2"/>
  <c r="X49" i="2"/>
  <c r="Y49" i="2"/>
  <c r="X50" i="2"/>
  <c r="Y50" i="2"/>
  <c r="X51" i="2"/>
  <c r="Y51" i="2"/>
  <c r="Y52" i="2"/>
  <c r="Y53" i="2"/>
  <c r="Y54" i="2"/>
  <c r="X55" i="2"/>
  <c r="Y55" i="2"/>
  <c r="Y56" i="2"/>
  <c r="X57" i="2"/>
  <c r="Y57" i="2"/>
  <c r="X58" i="2"/>
  <c r="Y58" i="2"/>
  <c r="X59" i="2"/>
  <c r="Y59" i="2"/>
  <c r="X60" i="2"/>
  <c r="Y60" i="2"/>
  <c r="X61" i="2"/>
  <c r="Y61" i="2"/>
  <c r="X62" i="2"/>
  <c r="Y62" i="2"/>
  <c r="X63" i="2"/>
  <c r="Y63" i="2"/>
  <c r="X64" i="2"/>
  <c r="Y64" i="2"/>
  <c r="X65" i="2"/>
  <c r="Y65" i="2"/>
  <c r="X66" i="2"/>
  <c r="Y66" i="2"/>
  <c r="Y67" i="2"/>
  <c r="X68" i="2"/>
  <c r="Y68" i="2"/>
  <c r="X69" i="2"/>
  <c r="Y69" i="2"/>
  <c r="X70" i="2"/>
  <c r="Y70" i="2"/>
  <c r="X71" i="2"/>
  <c r="Y71" i="2"/>
  <c r="X72" i="2"/>
  <c r="Y72" i="2"/>
  <c r="X73" i="2"/>
  <c r="Y73" i="2"/>
  <c r="X74" i="2"/>
  <c r="Y74" i="2"/>
  <c r="X75" i="2"/>
  <c r="Y75" i="2"/>
  <c r="X76" i="2"/>
  <c r="Y76" i="2"/>
  <c r="X77" i="2"/>
  <c r="Y77" i="2"/>
  <c r="X78" i="2"/>
  <c r="Y78" i="2"/>
  <c r="X79" i="2"/>
  <c r="Y79" i="2"/>
  <c r="X80" i="2"/>
  <c r="Y80" i="2"/>
  <c r="X81" i="2"/>
  <c r="Y81" i="2"/>
  <c r="X82" i="2"/>
  <c r="Y82" i="2"/>
  <c r="X83" i="2"/>
  <c r="Y83" i="2"/>
  <c r="X84" i="2"/>
  <c r="Y84" i="2"/>
  <c r="X85" i="2"/>
  <c r="Y85" i="2"/>
  <c r="X86" i="2"/>
  <c r="Y86" i="2"/>
  <c r="X87" i="2"/>
  <c r="Y87" i="2"/>
  <c r="X88" i="2"/>
  <c r="Y88" i="2"/>
  <c r="X89" i="2"/>
  <c r="Y89" i="2"/>
  <c r="X90" i="2"/>
  <c r="Y90" i="2"/>
  <c r="X91" i="2"/>
  <c r="Y91" i="2"/>
  <c r="X92" i="2"/>
  <c r="Y92" i="2"/>
  <c r="X93" i="2"/>
  <c r="Y93" i="2"/>
  <c r="X94" i="2"/>
  <c r="Y94" i="2"/>
  <c r="X95" i="2"/>
  <c r="Y95" i="2"/>
  <c r="X96" i="2"/>
  <c r="Y96" i="2"/>
  <c r="X97" i="2"/>
  <c r="Y97" i="2"/>
  <c r="X98" i="2"/>
  <c r="Y98" i="2"/>
  <c r="X99" i="2"/>
  <c r="Y99" i="2"/>
  <c r="X100" i="2"/>
  <c r="Y100" i="2"/>
  <c r="X101" i="2"/>
  <c r="Y101" i="2"/>
  <c r="X102" i="2"/>
  <c r="Y102" i="2"/>
  <c r="X103" i="2"/>
  <c r="Y103" i="2"/>
  <c r="X104" i="2"/>
  <c r="Y104" i="2"/>
  <c r="X105" i="2"/>
  <c r="Y105" i="2"/>
  <c r="X106" i="2"/>
  <c r="Y106" i="2"/>
  <c r="Y107" i="2"/>
  <c r="X108" i="2"/>
  <c r="Y108" i="2"/>
  <c r="X109" i="2"/>
  <c r="Y109" i="2"/>
  <c r="X110" i="2"/>
  <c r="Y110" i="2"/>
  <c r="X111" i="2"/>
  <c r="Y111" i="2"/>
  <c r="Y112" i="2"/>
  <c r="X113" i="2"/>
  <c r="Y113" i="2"/>
  <c r="Y114" i="2"/>
  <c r="X115" i="2"/>
  <c r="Y115" i="2"/>
  <c r="X116" i="2"/>
  <c r="Y116" i="2"/>
  <c r="X117" i="2"/>
  <c r="Y117" i="2"/>
  <c r="X118" i="2"/>
  <c r="Y118" i="2"/>
  <c r="X119" i="2"/>
  <c r="Y119" i="2"/>
  <c r="X120" i="2"/>
  <c r="Y120" i="2"/>
  <c r="X121" i="2"/>
  <c r="Y121" i="2"/>
  <c r="X122" i="2"/>
  <c r="Y122" i="2"/>
  <c r="X123" i="2"/>
  <c r="Y123" i="2"/>
  <c r="X124" i="2"/>
  <c r="Y124" i="2"/>
  <c r="X125" i="2"/>
  <c r="Y125" i="2"/>
  <c r="X126" i="2"/>
  <c r="Y126" i="2"/>
  <c r="X127" i="2"/>
  <c r="Y127" i="2"/>
  <c r="X128" i="2"/>
  <c r="Y128" i="2"/>
  <c r="X129" i="2"/>
  <c r="Y129" i="2"/>
  <c r="X130" i="2"/>
  <c r="Y130" i="2"/>
  <c r="X131" i="2"/>
  <c r="Y131" i="2"/>
  <c r="X132" i="2"/>
  <c r="Y132" i="2"/>
  <c r="X133" i="2"/>
  <c r="Y133" i="2"/>
  <c r="X134" i="2"/>
  <c r="Y134" i="2"/>
  <c r="X135" i="2"/>
  <c r="Y135" i="2"/>
  <c r="X136" i="2"/>
  <c r="Y136" i="2"/>
  <c r="X137" i="2"/>
  <c r="Y137" i="2"/>
  <c r="X138" i="2"/>
  <c r="Y138" i="2"/>
  <c r="X139" i="2"/>
  <c r="Y139" i="2"/>
  <c r="X140" i="2"/>
  <c r="Y140" i="2"/>
  <c r="X141" i="2"/>
  <c r="Y141" i="2"/>
  <c r="X142" i="2"/>
  <c r="Y142" i="2"/>
  <c r="X143" i="2"/>
  <c r="Y143" i="2"/>
  <c r="X144" i="2"/>
  <c r="Y144" i="2"/>
  <c r="X145" i="2"/>
  <c r="Y145" i="2"/>
  <c r="X146" i="2"/>
  <c r="Y146" i="2"/>
  <c r="X147" i="2"/>
  <c r="Y147" i="2"/>
  <c r="X148" i="2"/>
  <c r="Y148" i="2"/>
  <c r="X149" i="2"/>
  <c r="Y149" i="2"/>
  <c r="X150" i="2"/>
  <c r="Y150" i="2"/>
  <c r="X151" i="2"/>
  <c r="Y151" i="2"/>
  <c r="X152" i="2"/>
  <c r="Y152" i="2"/>
  <c r="X153" i="2"/>
  <c r="Y153" i="2"/>
  <c r="X154" i="2"/>
  <c r="Y154" i="2"/>
  <c r="X155" i="2"/>
  <c r="Y155" i="2"/>
  <c r="X156" i="2"/>
  <c r="Y156" i="2"/>
  <c r="X157" i="2"/>
  <c r="Y157" i="2"/>
  <c r="X158" i="2"/>
  <c r="Y158" i="2"/>
  <c r="X159" i="2"/>
  <c r="Y159" i="2"/>
  <c r="X160" i="2"/>
  <c r="Y160" i="2"/>
  <c r="X161" i="2"/>
  <c r="Y161" i="2"/>
  <c r="X162" i="2"/>
  <c r="Y162" i="2"/>
  <c r="X163" i="2"/>
  <c r="Y163" i="2"/>
  <c r="X164" i="2"/>
  <c r="Y164" i="2"/>
  <c r="X165" i="2"/>
  <c r="Y165" i="2"/>
  <c r="X166" i="2"/>
  <c r="Y166" i="2"/>
  <c r="X167" i="2"/>
  <c r="Y167" i="2"/>
  <c r="X168" i="2"/>
  <c r="Y168" i="2"/>
  <c r="X169" i="2"/>
  <c r="Y169" i="2"/>
  <c r="X170" i="2"/>
  <c r="Y170" i="2"/>
  <c r="X171" i="2"/>
  <c r="Y171" i="2"/>
  <c r="X172" i="2"/>
  <c r="Y172" i="2"/>
  <c r="X173" i="2"/>
  <c r="Y173" i="2"/>
  <c r="X174" i="2"/>
  <c r="Y174" i="2"/>
  <c r="X175" i="2"/>
  <c r="Y175" i="2"/>
  <c r="X176" i="2"/>
  <c r="Y176" i="2"/>
  <c r="X177" i="2"/>
  <c r="Y177" i="2"/>
  <c r="X178" i="2"/>
  <c r="Y178" i="2"/>
  <c r="X179" i="2"/>
  <c r="Y179" i="2"/>
  <c r="X180" i="2"/>
  <c r="Y180" i="2"/>
  <c r="X181" i="2"/>
  <c r="Y181" i="2"/>
  <c r="X182" i="2"/>
  <c r="Y182" i="2"/>
  <c r="X183" i="2"/>
  <c r="Y183" i="2"/>
  <c r="X184" i="2"/>
  <c r="Y184" i="2"/>
  <c r="X185" i="2"/>
  <c r="Y185" i="2"/>
  <c r="X186" i="2"/>
  <c r="Y186" i="2"/>
  <c r="X187" i="2"/>
  <c r="Y187" i="2"/>
  <c r="X188" i="2"/>
  <c r="Y188" i="2"/>
  <c r="X189" i="2"/>
  <c r="Y189" i="2"/>
  <c r="X190" i="2"/>
  <c r="Y190" i="2"/>
  <c r="X191" i="2"/>
  <c r="Y191" i="2"/>
  <c r="X192" i="2"/>
  <c r="Y192" i="2"/>
  <c r="X193" i="2"/>
  <c r="Y193" i="2"/>
  <c r="X194" i="2"/>
  <c r="Y194" i="2"/>
  <c r="X195" i="2"/>
  <c r="Y195" i="2"/>
  <c r="Y196" i="2"/>
  <c r="X197" i="2"/>
  <c r="Y197" i="2"/>
  <c r="Y198" i="2"/>
  <c r="X199" i="2"/>
  <c r="Y199" i="2"/>
  <c r="X200" i="2"/>
  <c r="Y200" i="2"/>
  <c r="X201" i="2"/>
  <c r="Y201" i="2"/>
  <c r="X202" i="2"/>
  <c r="Y202" i="2"/>
  <c r="X203" i="2"/>
  <c r="Y203" i="2"/>
  <c r="X204" i="2"/>
  <c r="Y204" i="2"/>
  <c r="X205" i="2"/>
  <c r="Y205" i="2"/>
  <c r="X206" i="2"/>
  <c r="Y206" i="2"/>
  <c r="X207" i="2"/>
  <c r="Y207" i="2"/>
  <c r="X208" i="2"/>
  <c r="Y208" i="2"/>
  <c r="X209" i="2"/>
  <c r="Y209" i="2"/>
  <c r="X210" i="2"/>
  <c r="Y210" i="2"/>
  <c r="X211" i="2"/>
  <c r="Y211" i="2"/>
  <c r="X212" i="2"/>
  <c r="Y212" i="2"/>
  <c r="X213" i="2"/>
  <c r="Y213" i="2"/>
  <c r="X214" i="2"/>
  <c r="Y214" i="2"/>
  <c r="X215" i="2"/>
  <c r="Y215" i="2"/>
  <c r="X216" i="2"/>
  <c r="Y216" i="2"/>
  <c r="X217" i="2"/>
  <c r="Y217" i="2"/>
  <c r="X218" i="2"/>
  <c r="Y218" i="2"/>
  <c r="X219" i="2"/>
  <c r="Y219" i="2"/>
  <c r="X220" i="2"/>
  <c r="Y220" i="2"/>
  <c r="X221" i="2"/>
  <c r="Y221" i="2"/>
  <c r="X222" i="2"/>
  <c r="Y222" i="2"/>
  <c r="X223" i="2"/>
  <c r="Y223" i="2"/>
  <c r="X224" i="2"/>
  <c r="Y224" i="2"/>
  <c r="X225" i="2"/>
  <c r="Y225" i="2"/>
  <c r="X226" i="2"/>
  <c r="Y226" i="2"/>
  <c r="X227" i="2"/>
  <c r="Y227" i="2"/>
  <c r="X228" i="2"/>
  <c r="Y228" i="2"/>
  <c r="X229" i="2"/>
  <c r="Y229" i="2"/>
  <c r="X230" i="2"/>
  <c r="Y230" i="2"/>
  <c r="X231" i="2"/>
  <c r="Y231" i="2"/>
  <c r="X232" i="2"/>
  <c r="Y232" i="2"/>
  <c r="X233" i="2"/>
  <c r="Y233" i="2"/>
  <c r="X234" i="2"/>
  <c r="Y234" i="2"/>
  <c r="Y235" i="2"/>
  <c r="X236" i="2"/>
  <c r="Y236" i="2"/>
  <c r="X237" i="2"/>
  <c r="Y237" i="2"/>
  <c r="X238" i="2"/>
  <c r="Y238" i="2"/>
  <c r="Y239" i="2"/>
  <c r="Y240" i="2"/>
  <c r="Y241" i="2"/>
  <c r="X242" i="2"/>
  <c r="Y242" i="2"/>
  <c r="X243" i="2"/>
  <c r="Y243" i="2"/>
  <c r="X244" i="2"/>
  <c r="Y244" i="2"/>
  <c r="X245" i="2"/>
  <c r="Y245" i="2"/>
  <c r="X246" i="2"/>
  <c r="Y246" i="2"/>
  <c r="X247" i="2"/>
  <c r="Y247" i="2"/>
  <c r="X248" i="2"/>
  <c r="Y248" i="2"/>
  <c r="X249" i="2"/>
  <c r="Y249" i="2"/>
  <c r="X250" i="2"/>
  <c r="Y250" i="2"/>
  <c r="X251" i="2"/>
  <c r="Y251" i="2"/>
  <c r="X252" i="2"/>
  <c r="Y252" i="2"/>
  <c r="Y253" i="2"/>
  <c r="X254" i="2"/>
  <c r="Y254" i="2"/>
  <c r="X255" i="2"/>
  <c r="Y255" i="2"/>
  <c r="X256" i="2"/>
  <c r="Y256" i="2"/>
  <c r="X257" i="2"/>
  <c r="Y257" i="2"/>
  <c r="X258" i="2"/>
  <c r="Y258" i="2"/>
  <c r="X259" i="2"/>
  <c r="Y259" i="2"/>
  <c r="X260" i="2"/>
  <c r="Y260" i="2"/>
  <c r="X261" i="2"/>
  <c r="Y261" i="2"/>
  <c r="X262" i="2"/>
  <c r="Y262" i="2"/>
  <c r="X263" i="2"/>
  <c r="Y263" i="2"/>
  <c r="X264" i="2"/>
  <c r="Y264" i="2"/>
  <c r="X265" i="2"/>
  <c r="Y265" i="2"/>
  <c r="X266" i="2"/>
  <c r="Y266" i="2"/>
  <c r="X267" i="2"/>
  <c r="Y267" i="2"/>
  <c r="X268" i="2"/>
  <c r="Y268" i="2"/>
  <c r="X269" i="2"/>
  <c r="Y269" i="2"/>
  <c r="X270" i="2"/>
  <c r="Y270" i="2"/>
  <c r="X271" i="2"/>
  <c r="Y271" i="2"/>
  <c r="X272" i="2"/>
  <c r="Y272" i="2"/>
  <c r="X273" i="2"/>
  <c r="Y273" i="2"/>
  <c r="X274" i="2"/>
  <c r="Y274" i="2"/>
  <c r="X275" i="2"/>
  <c r="Y275" i="2"/>
  <c r="X276" i="2"/>
  <c r="Y276" i="2"/>
  <c r="X277" i="2"/>
  <c r="Y277" i="2"/>
  <c r="X278" i="2"/>
  <c r="Y278" i="2"/>
  <c r="X279" i="2"/>
  <c r="Y279" i="2"/>
  <c r="X280" i="2"/>
  <c r="Y280" i="2"/>
  <c r="X281" i="2"/>
  <c r="Y281" i="2"/>
  <c r="X282" i="2"/>
  <c r="Y282" i="2"/>
  <c r="X283" i="2"/>
  <c r="Y283" i="2"/>
  <c r="X284" i="2"/>
  <c r="Y284" i="2"/>
  <c r="X285" i="2"/>
  <c r="Y285" i="2"/>
  <c r="X286" i="2"/>
  <c r="Y286" i="2"/>
  <c r="X287" i="2"/>
  <c r="Y287" i="2"/>
  <c r="X288" i="2"/>
  <c r="Y288" i="2"/>
  <c r="X289" i="2"/>
  <c r="Y289" i="2"/>
  <c r="X290" i="2"/>
  <c r="Y290" i="2"/>
  <c r="X291" i="2"/>
  <c r="Y291" i="2"/>
  <c r="X292" i="2"/>
  <c r="Y292" i="2"/>
  <c r="X293" i="2"/>
  <c r="Y293" i="2"/>
  <c r="X294" i="2"/>
  <c r="Y294" i="2"/>
  <c r="X295" i="2"/>
  <c r="Y295" i="2"/>
  <c r="X296" i="2"/>
  <c r="Y296" i="2"/>
  <c r="X297" i="2"/>
  <c r="Y297" i="2"/>
  <c r="X298" i="2"/>
  <c r="Y298" i="2"/>
  <c r="X299" i="2"/>
  <c r="Y299" i="2"/>
  <c r="X300" i="2"/>
  <c r="Y300" i="2"/>
  <c r="X301" i="2"/>
  <c r="Y301" i="2"/>
  <c r="Y302" i="2"/>
  <c r="X303" i="2"/>
  <c r="Y303" i="2"/>
  <c r="X304" i="2"/>
  <c r="Y304" i="2"/>
  <c r="X305" i="2"/>
  <c r="Y305" i="2"/>
  <c r="X306" i="2"/>
  <c r="Y306" i="2"/>
  <c r="X307" i="2"/>
  <c r="Y307" i="2"/>
  <c r="X308" i="2"/>
  <c r="Y308" i="2"/>
  <c r="X309" i="2"/>
  <c r="Y309" i="2"/>
  <c r="X310" i="2"/>
  <c r="Y310" i="2"/>
  <c r="X311" i="2"/>
  <c r="Y311" i="2"/>
  <c r="X312" i="2"/>
  <c r="Y312" i="2"/>
  <c r="X313" i="2"/>
  <c r="Y313" i="2"/>
  <c r="X314" i="2"/>
  <c r="Y314" i="2"/>
  <c r="X315" i="2"/>
  <c r="Y315" i="2"/>
  <c r="X316" i="2"/>
  <c r="Y316" i="2"/>
  <c r="X317" i="2"/>
  <c r="Y317" i="2"/>
  <c r="X318" i="2"/>
  <c r="Y318" i="2"/>
  <c r="X319" i="2"/>
  <c r="Y319" i="2"/>
  <c r="X320" i="2"/>
  <c r="Y320" i="2"/>
  <c r="X321" i="2"/>
  <c r="Y321" i="2"/>
  <c r="X322" i="2"/>
  <c r="Y322" i="2"/>
  <c r="X323" i="2"/>
  <c r="Y323" i="2"/>
  <c r="X324" i="2"/>
  <c r="Y324" i="2"/>
  <c r="X325" i="2"/>
  <c r="Y325" i="2"/>
  <c r="X326" i="2"/>
  <c r="Y326" i="2"/>
  <c r="X327" i="2"/>
  <c r="Y327" i="2"/>
  <c r="X328" i="2"/>
  <c r="Y328" i="2"/>
  <c r="X329" i="2"/>
  <c r="Y329" i="2"/>
  <c r="X330" i="2"/>
  <c r="Y330" i="2"/>
  <c r="X331" i="2"/>
  <c r="Y331" i="2"/>
  <c r="X332" i="2"/>
  <c r="Y332" i="2"/>
  <c r="X333" i="2"/>
  <c r="Y333" i="2"/>
  <c r="X334" i="2"/>
  <c r="Y334" i="2"/>
  <c r="X335" i="2"/>
  <c r="Y335" i="2"/>
  <c r="X336" i="2"/>
  <c r="Y336" i="2"/>
  <c r="X337" i="2"/>
  <c r="U275" i="2"/>
  <c r="P275" i="2"/>
  <c r="O302" i="2" l="1"/>
  <c r="X302" i="2" s="1"/>
  <c r="O253" i="2"/>
  <c r="X253" i="2" s="1"/>
  <c r="O241" i="2"/>
  <c r="X241" i="2" s="1"/>
  <c r="O240" i="2"/>
  <c r="X240" i="2" s="1"/>
  <c r="O239" i="2"/>
  <c r="X239" i="2" s="1"/>
  <c r="O235" i="2"/>
  <c r="X235" i="2" s="1"/>
  <c r="O198" i="2"/>
  <c r="X198" i="2" s="1"/>
  <c r="O196" i="2"/>
  <c r="X196" i="2" s="1"/>
  <c r="O114" i="2"/>
  <c r="X114" i="2" s="1"/>
  <c r="O112" i="2"/>
  <c r="X112" i="2" s="1"/>
  <c r="O107" i="2"/>
  <c r="X107" i="2" s="1"/>
  <c r="U93" i="2"/>
  <c r="V93" i="2" s="1"/>
  <c r="H93" i="2" s="1"/>
  <c r="I93" i="2" s="1"/>
  <c r="P93" i="2"/>
  <c r="Q93" i="2" s="1"/>
  <c r="E93" i="2" s="1"/>
  <c r="F93" i="2" s="1"/>
  <c r="K93" i="2" l="1"/>
  <c r="J93" i="2"/>
  <c r="O67" i="2" l="1"/>
  <c r="X67" i="2" s="1"/>
  <c r="O56" i="2"/>
  <c r="X56" i="2" s="1"/>
  <c r="O54" i="2"/>
  <c r="X54" i="2" s="1"/>
  <c r="O53" i="2"/>
  <c r="X53" i="2" s="1"/>
  <c r="O52" i="2"/>
  <c r="X52" i="2" s="1"/>
  <c r="O12" i="2"/>
  <c r="X12" i="2" s="1"/>
  <c r="O9" i="2"/>
  <c r="X9" i="2" s="1"/>
  <c r="X340" i="2" l="1"/>
  <c r="E45" i="2"/>
  <c r="F45" i="2" s="1"/>
  <c r="E43" i="2"/>
  <c r="F43" i="2" s="1"/>
  <c r="E41" i="2"/>
  <c r="F41" i="2" s="1"/>
  <c r="E39" i="2"/>
  <c r="F39" i="2" s="1"/>
  <c r="E37" i="2"/>
  <c r="F37" i="2" s="1"/>
  <c r="F36" i="2"/>
  <c r="E36" i="2"/>
  <c r="E34" i="2"/>
  <c r="F34" i="2" s="1"/>
  <c r="F32" i="2"/>
  <c r="E32" i="2"/>
  <c r="E30" i="2"/>
  <c r="F30" i="2" s="1"/>
  <c r="E28" i="2"/>
  <c r="F28" i="2" s="1"/>
  <c r="P337" i="2"/>
  <c r="Q337" i="2" s="1"/>
  <c r="E337" i="2" s="1"/>
  <c r="P331" i="2"/>
  <c r="Q331" i="2" s="1"/>
  <c r="E331" i="2" s="1"/>
  <c r="F331" i="2" s="1"/>
  <c r="P329" i="2"/>
  <c r="Q329" i="2" s="1"/>
  <c r="E329" i="2" s="1"/>
  <c r="F329" i="2" s="1"/>
  <c r="P322" i="2"/>
  <c r="Q322" i="2" s="1"/>
  <c r="E322" i="2" s="1"/>
  <c r="F322" i="2" s="1"/>
  <c r="P321" i="2"/>
  <c r="Q321" i="2" s="1"/>
  <c r="E321" i="2" s="1"/>
  <c r="F321" i="2" s="1"/>
  <c r="P320" i="2"/>
  <c r="Q320" i="2" s="1"/>
  <c r="E320" i="2" s="1"/>
  <c r="F320" i="2" s="1"/>
  <c r="P319" i="2"/>
  <c r="Q319" i="2" s="1"/>
  <c r="E319" i="2" s="1"/>
  <c r="F319" i="2" s="1"/>
  <c r="P318" i="2"/>
  <c r="Q318" i="2" s="1"/>
  <c r="E318" i="2" s="1"/>
  <c r="F318" i="2" s="1"/>
  <c r="P316" i="2"/>
  <c r="Q316" i="2" s="1"/>
  <c r="E316" i="2" s="1"/>
  <c r="F316" i="2" s="1"/>
  <c r="P315" i="2"/>
  <c r="Q315" i="2" s="1"/>
  <c r="E315" i="2" s="1"/>
  <c r="F315" i="2" s="1"/>
  <c r="P314" i="2"/>
  <c r="Q314" i="2" s="1"/>
  <c r="E314" i="2" s="1"/>
  <c r="F314" i="2" s="1"/>
  <c r="P313" i="2"/>
  <c r="Q313" i="2" s="1"/>
  <c r="E313" i="2" s="1"/>
  <c r="F313" i="2" s="1"/>
  <c r="P312" i="2"/>
  <c r="Q312" i="2" s="1"/>
  <c r="E312" i="2" s="1"/>
  <c r="F312" i="2" s="1"/>
  <c r="P311" i="2"/>
  <c r="Q311" i="2" s="1"/>
  <c r="E311" i="2" s="1"/>
  <c r="F311" i="2" s="1"/>
  <c r="P310" i="2"/>
  <c r="Q310" i="2" s="1"/>
  <c r="E310" i="2" s="1"/>
  <c r="F310" i="2" s="1"/>
  <c r="P309" i="2"/>
  <c r="Q309" i="2" s="1"/>
  <c r="E309" i="2" s="1"/>
  <c r="F309" i="2" s="1"/>
  <c r="P308" i="2"/>
  <c r="Q308" i="2" s="1"/>
  <c r="E308" i="2" s="1"/>
  <c r="F308" i="2" s="1"/>
  <c r="P307" i="2"/>
  <c r="Q307" i="2" s="1"/>
  <c r="E307" i="2" s="1"/>
  <c r="F307" i="2" s="1"/>
  <c r="P306" i="2"/>
  <c r="Q306" i="2" s="1"/>
  <c r="E306" i="2" s="1"/>
  <c r="F306" i="2" s="1"/>
  <c r="P305" i="2"/>
  <c r="P304" i="2"/>
  <c r="P302" i="2"/>
  <c r="P301" i="2"/>
  <c r="Q301" i="2" s="1"/>
  <c r="E301" i="2" s="1"/>
  <c r="F301" i="2" s="1"/>
  <c r="P299" i="2"/>
  <c r="Q299" i="2" s="1"/>
  <c r="E299" i="2" s="1"/>
  <c r="F299" i="2" s="1"/>
  <c r="P298" i="2"/>
  <c r="Q298" i="2" s="1"/>
  <c r="E298" i="2" s="1"/>
  <c r="F298" i="2" s="1"/>
  <c r="P296" i="2"/>
  <c r="Q296" i="2" s="1"/>
  <c r="E296" i="2" s="1"/>
  <c r="F296" i="2" s="1"/>
  <c r="P295" i="2"/>
  <c r="Q295" i="2" s="1"/>
  <c r="E295" i="2" s="1"/>
  <c r="F295" i="2" s="1"/>
  <c r="P293" i="2"/>
  <c r="Q293" i="2" s="1"/>
  <c r="E293" i="2" s="1"/>
  <c r="F293" i="2" s="1"/>
  <c r="P292" i="2"/>
  <c r="Q292" i="2" s="1"/>
  <c r="E292" i="2" s="1"/>
  <c r="F292" i="2" s="1"/>
  <c r="P290" i="2"/>
  <c r="Q290" i="2" s="1"/>
  <c r="E290" i="2" s="1"/>
  <c r="F290" i="2" s="1"/>
  <c r="P289" i="2"/>
  <c r="Q289" i="2" s="1"/>
  <c r="E289" i="2" s="1"/>
  <c r="F289" i="2" s="1"/>
  <c r="P288" i="2"/>
  <c r="Q288" i="2" s="1"/>
  <c r="E288" i="2" s="1"/>
  <c r="F288" i="2" s="1"/>
  <c r="P287" i="2"/>
  <c r="Q287" i="2" s="1"/>
  <c r="E287" i="2" s="1"/>
  <c r="F287" i="2" s="1"/>
  <c r="P286" i="2"/>
  <c r="Q286" i="2" s="1"/>
  <c r="E286" i="2" s="1"/>
  <c r="F286" i="2" s="1"/>
  <c r="P280" i="2"/>
  <c r="Q280" i="2" s="1"/>
  <c r="E280" i="2" s="1"/>
  <c r="F280" i="2" s="1"/>
  <c r="P279" i="2"/>
  <c r="Q279" i="2" s="1"/>
  <c r="E279" i="2" s="1"/>
  <c r="F279" i="2" s="1"/>
  <c r="P278" i="2"/>
  <c r="Q278" i="2" s="1"/>
  <c r="E278" i="2" s="1"/>
  <c r="F278" i="2" s="1"/>
  <c r="P277" i="2"/>
  <c r="Q277" i="2" s="1"/>
  <c r="E277" i="2" s="1"/>
  <c r="F277" i="2" s="1"/>
  <c r="P276" i="2"/>
  <c r="Q276" i="2" s="1"/>
  <c r="E276" i="2" s="1"/>
  <c r="F276" i="2" s="1"/>
  <c r="Q275" i="2"/>
  <c r="E275" i="2" s="1"/>
  <c r="F275" i="2" s="1"/>
  <c r="P268" i="2"/>
  <c r="Q268" i="2" s="1"/>
  <c r="E268" i="2" s="1"/>
  <c r="F268" i="2" s="1"/>
  <c r="P267" i="2"/>
  <c r="Q267" i="2" s="1"/>
  <c r="E267" i="2" s="1"/>
  <c r="F267" i="2" s="1"/>
  <c r="P261" i="2"/>
  <c r="Q261" i="2" s="1"/>
  <c r="E261" i="2" s="1"/>
  <c r="F261" i="2" s="1"/>
  <c r="P262" i="2"/>
  <c r="Q262" i="2" s="1"/>
  <c r="E262" i="2" s="1"/>
  <c r="F262" i="2" s="1"/>
  <c r="P265" i="2"/>
  <c r="P264" i="2"/>
  <c r="P259" i="2"/>
  <c r="Q259" i="2" s="1"/>
  <c r="E259" i="2" s="1"/>
  <c r="F259" i="2" s="1"/>
  <c r="P258" i="2"/>
  <c r="Q258" i="2" s="1"/>
  <c r="E258" i="2" s="1"/>
  <c r="F258" i="2" s="1"/>
  <c r="P257" i="2"/>
  <c r="Q257" i="2" s="1"/>
  <c r="E257" i="2" s="1"/>
  <c r="F257" i="2" s="1"/>
  <c r="P256" i="2"/>
  <c r="Q256" i="2" s="1"/>
  <c r="E256" i="2" s="1"/>
  <c r="F256" i="2" s="1"/>
  <c r="P255" i="2"/>
  <c r="Q255" i="2" s="1"/>
  <c r="E255" i="2" s="1"/>
  <c r="F255" i="2" s="1"/>
  <c r="P253" i="2"/>
  <c r="Q253" i="2" s="1"/>
  <c r="E253" i="2" s="1"/>
  <c r="F253" i="2" s="1"/>
  <c r="P251" i="2"/>
  <c r="Q251" i="2" s="1"/>
  <c r="E251" i="2" s="1"/>
  <c r="F251" i="2" s="1"/>
  <c r="P250" i="2"/>
  <c r="Q250" i="2" s="1"/>
  <c r="E250" i="2" s="1"/>
  <c r="F250" i="2" s="1"/>
  <c r="P249" i="2"/>
  <c r="Q249" i="2" s="1"/>
  <c r="E249" i="2" s="1"/>
  <c r="F249" i="2" s="1"/>
  <c r="P248" i="2"/>
  <c r="Q248" i="2" s="1"/>
  <c r="E248" i="2" s="1"/>
  <c r="F248" i="2" s="1"/>
  <c r="P247" i="2"/>
  <c r="Q247" i="2" s="1"/>
  <c r="E247" i="2" s="1"/>
  <c r="F247" i="2" s="1"/>
  <c r="P246" i="2"/>
  <c r="Q246" i="2" s="1"/>
  <c r="E246" i="2" s="1"/>
  <c r="F246" i="2" s="1"/>
  <c r="P245" i="2"/>
  <c r="Q245" i="2" s="1"/>
  <c r="E245" i="2" s="1"/>
  <c r="F245" i="2" s="1"/>
  <c r="P244" i="2"/>
  <c r="Q244" i="2" s="1"/>
  <c r="E244" i="2" s="1"/>
  <c r="F244" i="2" s="1"/>
  <c r="P241" i="2"/>
  <c r="P240" i="2"/>
  <c r="P239" i="2"/>
  <c r="Q239" i="2" s="1"/>
  <c r="E239" i="2" s="1"/>
  <c r="F239" i="2" s="1"/>
  <c r="P235" i="2"/>
  <c r="Q235" i="2" s="1"/>
  <c r="E235" i="2" s="1"/>
  <c r="F235" i="2" s="1"/>
  <c r="P231" i="2"/>
  <c r="Q231" i="2" s="1"/>
  <c r="E231" i="2" s="1"/>
  <c r="F231" i="2" s="1"/>
  <c r="P226" i="2"/>
  <c r="Q226" i="2" s="1"/>
  <c r="E226" i="2" s="1"/>
  <c r="F226" i="2" s="1"/>
  <c r="P225" i="2"/>
  <c r="Q225" i="2" s="1"/>
  <c r="E225" i="2" s="1"/>
  <c r="F225" i="2" s="1"/>
  <c r="P223" i="2"/>
  <c r="Q223" i="2" s="1"/>
  <c r="E223" i="2" s="1"/>
  <c r="F223" i="2" s="1"/>
  <c r="P222" i="2"/>
  <c r="Q222" i="2" s="1"/>
  <c r="E222" i="2" s="1"/>
  <c r="F222" i="2" s="1"/>
  <c r="P221" i="2"/>
  <c r="Q221" i="2" s="1"/>
  <c r="E221" i="2" s="1"/>
  <c r="F221" i="2" s="1"/>
  <c r="P218" i="2"/>
  <c r="Q218" i="2" s="1"/>
  <c r="E218" i="2" s="1"/>
  <c r="F218" i="2" s="1"/>
  <c r="P217" i="2"/>
  <c r="Q217" i="2" s="1"/>
  <c r="E217" i="2" s="1"/>
  <c r="F217" i="2" s="1"/>
  <c r="P216" i="2"/>
  <c r="Q216" i="2" s="1"/>
  <c r="E216" i="2" s="1"/>
  <c r="F216" i="2" s="1"/>
  <c r="P215" i="2"/>
  <c r="Q215" i="2" s="1"/>
  <c r="E215" i="2" s="1"/>
  <c r="F215" i="2" s="1"/>
  <c r="P214" i="2"/>
  <c r="Q214" i="2" s="1"/>
  <c r="E214" i="2" s="1"/>
  <c r="F214" i="2" s="1"/>
  <c r="P207" i="2"/>
  <c r="Q207" i="2" s="1"/>
  <c r="E207" i="2" s="1"/>
  <c r="F207" i="2" s="1"/>
  <c r="P206" i="2"/>
  <c r="Q206" i="2" s="1"/>
  <c r="E206" i="2" s="1"/>
  <c r="F206" i="2" s="1"/>
  <c r="P205" i="2"/>
  <c r="Q205" i="2" s="1"/>
  <c r="E205" i="2" s="1"/>
  <c r="F205" i="2" s="1"/>
  <c r="P204" i="2"/>
  <c r="Q204" i="2" s="1"/>
  <c r="E204" i="2" s="1"/>
  <c r="F204" i="2" s="1"/>
  <c r="P202" i="2"/>
  <c r="Q202" i="2" s="1"/>
  <c r="E202" i="2" s="1"/>
  <c r="F202" i="2" s="1"/>
  <c r="P201" i="2"/>
  <c r="Q201" i="2" s="1"/>
  <c r="E201" i="2" s="1"/>
  <c r="F201" i="2" s="1"/>
  <c r="P200" i="2"/>
  <c r="Q200" i="2" s="1"/>
  <c r="E200" i="2" s="1"/>
  <c r="F200" i="2" s="1"/>
  <c r="P198" i="2"/>
  <c r="Q198" i="2" s="1"/>
  <c r="E198" i="2" s="1"/>
  <c r="F198" i="2" s="1"/>
  <c r="P196" i="2"/>
  <c r="Q196" i="2" s="1"/>
  <c r="E196" i="2" s="1"/>
  <c r="F196" i="2" s="1"/>
  <c r="P194" i="2"/>
  <c r="Q194" i="2" s="1"/>
  <c r="E194" i="2" s="1"/>
  <c r="F194" i="2" s="1"/>
  <c r="P192" i="2"/>
  <c r="Q192" i="2" s="1"/>
  <c r="E192" i="2" s="1"/>
  <c r="F192" i="2" s="1"/>
  <c r="P191" i="2"/>
  <c r="Q191" i="2" s="1"/>
  <c r="E191" i="2" s="1"/>
  <c r="F191" i="2" s="1"/>
  <c r="Q189" i="2"/>
  <c r="E189" i="2" s="1"/>
  <c r="F189" i="2" s="1"/>
  <c r="Q188" i="2"/>
  <c r="E188" i="2" s="1"/>
  <c r="F188" i="2" s="1"/>
  <c r="Q187" i="2"/>
  <c r="E187" i="2" s="1"/>
  <c r="F187" i="2" s="1"/>
  <c r="P180" i="2"/>
  <c r="Q180" i="2" s="1"/>
  <c r="E180" i="2" s="1"/>
  <c r="F180" i="2" s="1"/>
  <c r="P174" i="2"/>
  <c r="Q174" i="2" s="1"/>
  <c r="E174" i="2" s="1"/>
  <c r="F174" i="2" s="1"/>
  <c r="P173" i="2"/>
  <c r="Q173" i="2" s="1"/>
  <c r="E173" i="2" s="1"/>
  <c r="F173" i="2" s="1"/>
  <c r="P171" i="2"/>
  <c r="Q171" i="2" s="1"/>
  <c r="E171" i="2" s="1"/>
  <c r="F171" i="2" s="1"/>
  <c r="P168" i="2"/>
  <c r="Q168" i="2" s="1"/>
  <c r="E168" i="2" s="1"/>
  <c r="F168" i="2" s="1"/>
  <c r="P167" i="2"/>
  <c r="Q167" i="2" s="1"/>
  <c r="E167" i="2" s="1"/>
  <c r="F167" i="2" s="1"/>
  <c r="P166" i="2"/>
  <c r="Q166" i="2" s="1"/>
  <c r="E166" i="2" s="1"/>
  <c r="F166" i="2" s="1"/>
  <c r="P165" i="2"/>
  <c r="P164" i="2"/>
  <c r="Q164" i="2" s="1"/>
  <c r="E164" i="2" s="1"/>
  <c r="F164" i="2" s="1"/>
  <c r="P162" i="2"/>
  <c r="Q162" i="2" s="1"/>
  <c r="E162" i="2" s="1"/>
  <c r="F162" i="2" s="1"/>
  <c r="P160" i="2"/>
  <c r="Q160" i="2" s="1"/>
  <c r="E160" i="2" s="1"/>
  <c r="F160" i="2" s="1"/>
  <c r="P159" i="2"/>
  <c r="Q159" i="2" s="1"/>
  <c r="E159" i="2" s="1"/>
  <c r="F159" i="2" s="1"/>
  <c r="P158" i="2"/>
  <c r="Q158" i="2" s="1"/>
  <c r="E158" i="2" s="1"/>
  <c r="F158" i="2" s="1"/>
  <c r="P156" i="2"/>
  <c r="Q156" i="2" s="1"/>
  <c r="E156" i="2" s="1"/>
  <c r="F156" i="2" s="1"/>
  <c r="P154" i="2"/>
  <c r="Q154" i="2" s="1"/>
  <c r="E154" i="2" s="1"/>
  <c r="F154" i="2" s="1"/>
  <c r="P152" i="2"/>
  <c r="Q152" i="2" s="1"/>
  <c r="E152" i="2" s="1"/>
  <c r="F152" i="2" s="1"/>
  <c r="P150" i="2"/>
  <c r="Q150" i="2" s="1"/>
  <c r="E150" i="2" s="1"/>
  <c r="F150" i="2" s="1"/>
  <c r="P149" i="2"/>
  <c r="P148" i="2"/>
  <c r="P147" i="2"/>
  <c r="Q147" i="2" s="1"/>
  <c r="E147" i="2" s="1"/>
  <c r="F147" i="2" s="1"/>
  <c r="P145" i="2"/>
  <c r="Q145" i="2" s="1"/>
  <c r="E145" i="2" s="1"/>
  <c r="F145" i="2" s="1"/>
  <c r="P144" i="2"/>
  <c r="Q144" i="2" s="1"/>
  <c r="E144" i="2" s="1"/>
  <c r="F144" i="2" s="1"/>
  <c r="P143" i="2"/>
  <c r="Q143" i="2" s="1"/>
  <c r="E143" i="2" s="1"/>
  <c r="F143" i="2" s="1"/>
  <c r="P142" i="2"/>
  <c r="Q142" i="2" s="1"/>
  <c r="E142" i="2" s="1"/>
  <c r="F142" i="2" s="1"/>
  <c r="P140" i="2"/>
  <c r="Q140" i="2" s="1"/>
  <c r="E140" i="2" s="1"/>
  <c r="F140" i="2" s="1"/>
  <c r="P139" i="2"/>
  <c r="Q139" i="2" s="1"/>
  <c r="E139" i="2" s="1"/>
  <c r="F139" i="2" s="1"/>
  <c r="P138" i="2"/>
  <c r="Q138" i="2" s="1"/>
  <c r="E138" i="2" s="1"/>
  <c r="F138" i="2" s="1"/>
  <c r="P136" i="2"/>
  <c r="Q136" i="2" s="1"/>
  <c r="E136" i="2" s="1"/>
  <c r="F136" i="2" s="1"/>
  <c r="P135" i="2"/>
  <c r="Q135" i="2" s="1"/>
  <c r="E135" i="2" s="1"/>
  <c r="F135" i="2" s="1"/>
  <c r="P134" i="2"/>
  <c r="Q134" i="2" s="1"/>
  <c r="E134" i="2" s="1"/>
  <c r="F134" i="2" s="1"/>
  <c r="P133" i="2"/>
  <c r="Q133" i="2" s="1"/>
  <c r="E133" i="2" s="1"/>
  <c r="F133" i="2" s="1"/>
  <c r="P131" i="2"/>
  <c r="Q131" i="2" s="1"/>
  <c r="E131" i="2" s="1"/>
  <c r="F131" i="2" s="1"/>
  <c r="P130" i="2"/>
  <c r="Q130" i="2" s="1"/>
  <c r="E130" i="2" s="1"/>
  <c r="F130" i="2" s="1"/>
  <c r="P129" i="2"/>
  <c r="Q129" i="2" s="1"/>
  <c r="E129" i="2" s="1"/>
  <c r="F129" i="2" s="1"/>
  <c r="P127" i="2"/>
  <c r="Q127" i="2" s="1"/>
  <c r="E127" i="2" s="1"/>
  <c r="F127" i="2" s="1"/>
  <c r="P126" i="2"/>
  <c r="Q126" i="2" s="1"/>
  <c r="E126" i="2" s="1"/>
  <c r="F126" i="2" s="1"/>
  <c r="P125" i="2"/>
  <c r="Q125" i="2" s="1"/>
  <c r="E125" i="2" s="1"/>
  <c r="F125" i="2" s="1"/>
  <c r="P123" i="2"/>
  <c r="Q123" i="2" s="1"/>
  <c r="E123" i="2" s="1"/>
  <c r="F123" i="2" s="1"/>
  <c r="P122" i="2"/>
  <c r="Q122" i="2" s="1"/>
  <c r="E122" i="2" s="1"/>
  <c r="F122" i="2" s="1"/>
  <c r="P120" i="2"/>
  <c r="Q120" i="2" s="1"/>
  <c r="E120" i="2" s="1"/>
  <c r="F120" i="2" s="1"/>
  <c r="P118" i="2"/>
  <c r="Q118" i="2" s="1"/>
  <c r="E118" i="2" s="1"/>
  <c r="F118" i="2" s="1"/>
  <c r="P117" i="2"/>
  <c r="Q117" i="2" s="1"/>
  <c r="E117" i="2" s="1"/>
  <c r="F117" i="2" s="1"/>
  <c r="P116" i="2"/>
  <c r="P114" i="2"/>
  <c r="Q114" i="2" s="1"/>
  <c r="E114" i="2" s="1"/>
  <c r="F114" i="2" s="1"/>
  <c r="P112" i="2"/>
  <c r="Q112" i="2" s="1"/>
  <c r="E112" i="2" s="1"/>
  <c r="F112" i="2" s="1"/>
  <c r="P110" i="2"/>
  <c r="Q110" i="2" s="1"/>
  <c r="E110" i="2" s="1"/>
  <c r="F110" i="2" s="1"/>
  <c r="P109" i="2"/>
  <c r="Q109" i="2" s="1"/>
  <c r="E109" i="2" s="1"/>
  <c r="F109" i="2" s="1"/>
  <c r="P107" i="2"/>
  <c r="Q107" i="2" s="1"/>
  <c r="E107" i="2" s="1"/>
  <c r="F107" i="2" s="1"/>
  <c r="P105" i="2"/>
  <c r="Q105" i="2" s="1"/>
  <c r="E105" i="2" s="1"/>
  <c r="F105" i="2" s="1"/>
  <c r="P104" i="2"/>
  <c r="Q104" i="2" s="1"/>
  <c r="E104" i="2" s="1"/>
  <c r="F104" i="2" s="1"/>
  <c r="P103" i="2"/>
  <c r="Q103" i="2" s="1"/>
  <c r="E103" i="2" s="1"/>
  <c r="F103" i="2" s="1"/>
  <c r="P101" i="2"/>
  <c r="Q101" i="2" s="1"/>
  <c r="E101" i="2" s="1"/>
  <c r="F101" i="2" s="1"/>
  <c r="P100" i="2"/>
  <c r="Q100" i="2" s="1"/>
  <c r="E100" i="2" s="1"/>
  <c r="F100" i="2" s="1"/>
  <c r="P99" i="2"/>
  <c r="Q99" i="2" s="1"/>
  <c r="E99" i="2" s="1"/>
  <c r="F99" i="2" s="1"/>
  <c r="P97" i="2"/>
  <c r="Q97" i="2" s="1"/>
  <c r="E97" i="2" s="1"/>
  <c r="F97" i="2" s="1"/>
  <c r="P96" i="2"/>
  <c r="Q96" i="2" s="1"/>
  <c r="E96" i="2" s="1"/>
  <c r="F96" i="2" s="1"/>
  <c r="P95" i="2"/>
  <c r="Q95" i="2" s="1"/>
  <c r="E95" i="2" s="1"/>
  <c r="F95" i="2" s="1"/>
  <c r="P92" i="2"/>
  <c r="Q92" i="2" s="1"/>
  <c r="E92" i="2" s="1"/>
  <c r="F92" i="2" s="1"/>
  <c r="P91" i="2"/>
  <c r="Q91" i="2" s="1"/>
  <c r="E91" i="2" s="1"/>
  <c r="F91" i="2" s="1"/>
  <c r="P89" i="2"/>
  <c r="Q89" i="2" s="1"/>
  <c r="E89" i="2" s="1"/>
  <c r="F89" i="2" s="1"/>
  <c r="P88" i="2"/>
  <c r="Q88" i="2" s="1"/>
  <c r="E88" i="2" s="1"/>
  <c r="F88" i="2" s="1"/>
  <c r="P87" i="2"/>
  <c r="Q87" i="2" s="1"/>
  <c r="E87" i="2" s="1"/>
  <c r="F87" i="2" s="1"/>
  <c r="P85" i="2"/>
  <c r="Q85" i="2" s="1"/>
  <c r="E85" i="2" s="1"/>
  <c r="F85" i="2" s="1"/>
  <c r="P84" i="2"/>
  <c r="Q84" i="2" s="1"/>
  <c r="E84" i="2" s="1"/>
  <c r="F84" i="2" s="1"/>
  <c r="P83" i="2"/>
  <c r="Q83" i="2" s="1"/>
  <c r="E83" i="2" s="1"/>
  <c r="F83" i="2" s="1"/>
  <c r="P81" i="2"/>
  <c r="P80" i="2"/>
  <c r="P79" i="2"/>
  <c r="Q79" i="2" s="1"/>
  <c r="E79" i="2" s="1"/>
  <c r="F79" i="2" s="1"/>
  <c r="P77" i="2"/>
  <c r="Q77" i="2" s="1"/>
  <c r="E77" i="2" s="1"/>
  <c r="F77" i="2" s="1"/>
  <c r="P76" i="2"/>
  <c r="Q76" i="2" s="1"/>
  <c r="E76" i="2" s="1"/>
  <c r="F76" i="2" s="1"/>
  <c r="P75" i="2"/>
  <c r="Q75" i="2" s="1"/>
  <c r="E75" i="2" s="1"/>
  <c r="F75" i="2" s="1"/>
  <c r="P73" i="2"/>
  <c r="Q73" i="2" s="1"/>
  <c r="E73" i="2" s="1"/>
  <c r="F73" i="2" s="1"/>
  <c r="P72" i="2"/>
  <c r="Q72" i="2" s="1"/>
  <c r="E72" i="2" s="1"/>
  <c r="F72" i="2" s="1"/>
  <c r="P71" i="2"/>
  <c r="Q71" i="2" s="1"/>
  <c r="E71" i="2" s="1"/>
  <c r="F71" i="2" s="1"/>
  <c r="P70" i="2"/>
  <c r="Q70" i="2" s="1"/>
  <c r="E70" i="2" s="1"/>
  <c r="F70" i="2" s="1"/>
  <c r="P69" i="2"/>
  <c r="Q69" i="2" s="1"/>
  <c r="E69" i="2" s="1"/>
  <c r="F69" i="2" s="1"/>
  <c r="P67" i="2"/>
  <c r="Q67" i="2" s="1"/>
  <c r="E67" i="2" s="1"/>
  <c r="F67" i="2" s="1"/>
  <c r="P60" i="2"/>
  <c r="Q60" i="2" s="1"/>
  <c r="E60" i="2" s="1"/>
  <c r="F60" i="2" s="1"/>
  <c r="P59" i="2"/>
  <c r="Q59" i="2" s="1"/>
  <c r="E59" i="2" s="1"/>
  <c r="F59" i="2" s="1"/>
  <c r="P58" i="2"/>
  <c r="Q58" i="2" s="1"/>
  <c r="E58" i="2" s="1"/>
  <c r="F58" i="2" s="1"/>
  <c r="P56" i="2"/>
  <c r="Q56" i="2" s="1"/>
  <c r="E56" i="2" s="1"/>
  <c r="F56" i="2" s="1"/>
  <c r="P54" i="2"/>
  <c r="Q54" i="2" s="1"/>
  <c r="E54" i="2" s="1"/>
  <c r="F54" i="2" s="1"/>
  <c r="P53" i="2"/>
  <c r="Q53" i="2" s="1"/>
  <c r="E53" i="2" s="1"/>
  <c r="F53" i="2" s="1"/>
  <c r="P52" i="2"/>
  <c r="Q52" i="2" s="1"/>
  <c r="E52" i="2" s="1"/>
  <c r="F52" i="2" s="1"/>
  <c r="P26" i="2"/>
  <c r="Q26" i="2" s="1"/>
  <c r="E26" i="2" s="1"/>
  <c r="F26" i="2" s="1"/>
  <c r="P24" i="2"/>
  <c r="Q24" i="2" s="1"/>
  <c r="E24" i="2" s="1"/>
  <c r="F24" i="2" s="1"/>
  <c r="P22" i="2"/>
  <c r="Q22" i="2" s="1"/>
  <c r="E22" i="2" s="1"/>
  <c r="F22" i="2" s="1"/>
  <c r="P15" i="2"/>
  <c r="Q15" i="2" s="1"/>
  <c r="P14" i="2"/>
  <c r="Q14" i="2" s="1"/>
  <c r="E14" i="2" s="1"/>
  <c r="F14" i="2" s="1"/>
  <c r="P12" i="2"/>
  <c r="Q12" i="2" s="1"/>
  <c r="E12" i="2" s="1"/>
  <c r="F12" i="2" s="1"/>
  <c r="P11" i="2"/>
  <c r="P9" i="2"/>
  <c r="Q9" i="2" s="1"/>
  <c r="E9" i="2" s="1"/>
  <c r="P8" i="2"/>
  <c r="Q8" i="2" s="1"/>
  <c r="U337" i="2"/>
  <c r="U331" i="2"/>
  <c r="V331" i="2" s="1"/>
  <c r="H331" i="2" s="1"/>
  <c r="I331" i="2" s="1"/>
  <c r="U329" i="2"/>
  <c r="V329" i="2" s="1"/>
  <c r="H329" i="2" s="1"/>
  <c r="I329" i="2" s="1"/>
  <c r="U322" i="2"/>
  <c r="V322" i="2" s="1"/>
  <c r="H322" i="2" s="1"/>
  <c r="I322" i="2" s="1"/>
  <c r="U321" i="2"/>
  <c r="V321" i="2" s="1"/>
  <c r="H321" i="2" s="1"/>
  <c r="I321" i="2" s="1"/>
  <c r="U320" i="2"/>
  <c r="V320" i="2" s="1"/>
  <c r="H320" i="2" s="1"/>
  <c r="I320" i="2" s="1"/>
  <c r="U319" i="2"/>
  <c r="V319" i="2" s="1"/>
  <c r="H319" i="2" s="1"/>
  <c r="I319" i="2" s="1"/>
  <c r="U318" i="2"/>
  <c r="V318" i="2" s="1"/>
  <c r="H318" i="2" s="1"/>
  <c r="I318" i="2" s="1"/>
  <c r="U316" i="2"/>
  <c r="V316" i="2" s="1"/>
  <c r="H316" i="2" s="1"/>
  <c r="I316" i="2" s="1"/>
  <c r="U315" i="2"/>
  <c r="V315" i="2" s="1"/>
  <c r="H315" i="2" s="1"/>
  <c r="I315" i="2" s="1"/>
  <c r="U314" i="2"/>
  <c r="V314" i="2" s="1"/>
  <c r="H314" i="2" s="1"/>
  <c r="I314" i="2" s="1"/>
  <c r="U313" i="2"/>
  <c r="V313" i="2" s="1"/>
  <c r="H313" i="2" s="1"/>
  <c r="I313" i="2" s="1"/>
  <c r="U312" i="2"/>
  <c r="V312" i="2" s="1"/>
  <c r="H312" i="2" s="1"/>
  <c r="I312" i="2" s="1"/>
  <c r="U311" i="2"/>
  <c r="V311" i="2" s="1"/>
  <c r="H311" i="2" s="1"/>
  <c r="I311" i="2" s="1"/>
  <c r="U310" i="2"/>
  <c r="V310" i="2" s="1"/>
  <c r="H310" i="2" s="1"/>
  <c r="I310" i="2" s="1"/>
  <c r="U309" i="2"/>
  <c r="V309" i="2" s="1"/>
  <c r="H309" i="2" s="1"/>
  <c r="I309" i="2" s="1"/>
  <c r="U308" i="2"/>
  <c r="V308" i="2" s="1"/>
  <c r="H308" i="2" s="1"/>
  <c r="I308" i="2" s="1"/>
  <c r="U307" i="2"/>
  <c r="V307" i="2" s="1"/>
  <c r="H307" i="2" s="1"/>
  <c r="I307" i="2" s="1"/>
  <c r="U306" i="2"/>
  <c r="V306" i="2" s="1"/>
  <c r="H306" i="2" s="1"/>
  <c r="I306" i="2" s="1"/>
  <c r="U305" i="2"/>
  <c r="V305" i="2" s="1"/>
  <c r="H305" i="2" s="1"/>
  <c r="I305" i="2" s="1"/>
  <c r="U304" i="2"/>
  <c r="V304" i="2" s="1"/>
  <c r="H304" i="2" s="1"/>
  <c r="I304" i="2" s="1"/>
  <c r="U302" i="2"/>
  <c r="V302" i="2" s="1"/>
  <c r="H302" i="2" s="1"/>
  <c r="I302" i="2" s="1"/>
  <c r="U301" i="2"/>
  <c r="V301" i="2" s="1"/>
  <c r="H301" i="2" s="1"/>
  <c r="I301" i="2" s="1"/>
  <c r="U299" i="2"/>
  <c r="V299" i="2" s="1"/>
  <c r="H299" i="2" s="1"/>
  <c r="I299" i="2" s="1"/>
  <c r="U298" i="2"/>
  <c r="V298" i="2" s="1"/>
  <c r="H298" i="2" s="1"/>
  <c r="I298" i="2" s="1"/>
  <c r="U296" i="2"/>
  <c r="V296" i="2" s="1"/>
  <c r="H296" i="2" s="1"/>
  <c r="I296" i="2" s="1"/>
  <c r="U295" i="2"/>
  <c r="V295" i="2" s="1"/>
  <c r="H295" i="2" s="1"/>
  <c r="I295" i="2" s="1"/>
  <c r="U293" i="2"/>
  <c r="V293" i="2" s="1"/>
  <c r="H293" i="2" s="1"/>
  <c r="I293" i="2" s="1"/>
  <c r="U292" i="2"/>
  <c r="V292" i="2" s="1"/>
  <c r="H292" i="2" s="1"/>
  <c r="I292" i="2" s="1"/>
  <c r="U290" i="2"/>
  <c r="V290" i="2" s="1"/>
  <c r="H290" i="2" s="1"/>
  <c r="I290" i="2" s="1"/>
  <c r="U289" i="2"/>
  <c r="V289" i="2" s="1"/>
  <c r="H289" i="2" s="1"/>
  <c r="I289" i="2" s="1"/>
  <c r="U288" i="2"/>
  <c r="V288" i="2" s="1"/>
  <c r="H288" i="2" s="1"/>
  <c r="I288" i="2" s="1"/>
  <c r="U287" i="2"/>
  <c r="V287" i="2" s="1"/>
  <c r="H287" i="2" s="1"/>
  <c r="I287" i="2" s="1"/>
  <c r="U286" i="2"/>
  <c r="V286" i="2" s="1"/>
  <c r="H286" i="2" s="1"/>
  <c r="I286" i="2" s="1"/>
  <c r="U280" i="2"/>
  <c r="V280" i="2" s="1"/>
  <c r="H280" i="2" s="1"/>
  <c r="I280" i="2" s="1"/>
  <c r="U279" i="2"/>
  <c r="V279" i="2" s="1"/>
  <c r="H279" i="2" s="1"/>
  <c r="I279" i="2" s="1"/>
  <c r="U278" i="2"/>
  <c r="V278" i="2" s="1"/>
  <c r="H278" i="2" s="1"/>
  <c r="I278" i="2" s="1"/>
  <c r="U277" i="2"/>
  <c r="V277" i="2" s="1"/>
  <c r="H277" i="2" s="1"/>
  <c r="I277" i="2" s="1"/>
  <c r="U276" i="2"/>
  <c r="V276" i="2" s="1"/>
  <c r="H276" i="2" s="1"/>
  <c r="I276" i="2" s="1"/>
  <c r="V275" i="2"/>
  <c r="H275" i="2" s="1"/>
  <c r="I275" i="2" s="1"/>
  <c r="U268" i="2"/>
  <c r="V268" i="2" s="1"/>
  <c r="H268" i="2" s="1"/>
  <c r="I268" i="2" s="1"/>
  <c r="U267" i="2"/>
  <c r="V267" i="2" s="1"/>
  <c r="H267" i="2" s="1"/>
  <c r="I267" i="2" s="1"/>
  <c r="U265" i="2"/>
  <c r="V265" i="2" s="1"/>
  <c r="H265" i="2" s="1"/>
  <c r="I265" i="2" s="1"/>
  <c r="U264" i="2"/>
  <c r="V264" i="2" s="1"/>
  <c r="H264" i="2" s="1"/>
  <c r="I264" i="2" s="1"/>
  <c r="U262" i="2"/>
  <c r="V262" i="2" s="1"/>
  <c r="H262" i="2" s="1"/>
  <c r="I262" i="2" s="1"/>
  <c r="U261" i="2"/>
  <c r="V261" i="2" s="1"/>
  <c r="H261" i="2" s="1"/>
  <c r="I261" i="2" s="1"/>
  <c r="U259" i="2"/>
  <c r="V259" i="2" s="1"/>
  <c r="H259" i="2" s="1"/>
  <c r="I259" i="2" s="1"/>
  <c r="U258" i="2"/>
  <c r="V258" i="2" s="1"/>
  <c r="H258" i="2" s="1"/>
  <c r="I258" i="2" s="1"/>
  <c r="U257" i="2"/>
  <c r="V257" i="2" s="1"/>
  <c r="H257" i="2" s="1"/>
  <c r="I257" i="2" s="1"/>
  <c r="U256" i="2"/>
  <c r="V256" i="2" s="1"/>
  <c r="H256" i="2" s="1"/>
  <c r="I256" i="2" s="1"/>
  <c r="U255" i="2"/>
  <c r="V255" i="2" s="1"/>
  <c r="H255" i="2" s="1"/>
  <c r="I255" i="2" s="1"/>
  <c r="U253" i="2"/>
  <c r="V253" i="2" s="1"/>
  <c r="H253" i="2" s="1"/>
  <c r="I253" i="2" s="1"/>
  <c r="U251" i="2"/>
  <c r="V251" i="2" s="1"/>
  <c r="H251" i="2" s="1"/>
  <c r="I251" i="2" s="1"/>
  <c r="U250" i="2"/>
  <c r="V250" i="2" s="1"/>
  <c r="H250" i="2" s="1"/>
  <c r="I250" i="2" s="1"/>
  <c r="U249" i="2"/>
  <c r="V249" i="2" s="1"/>
  <c r="H249" i="2" s="1"/>
  <c r="I249" i="2" s="1"/>
  <c r="U248" i="2"/>
  <c r="V248" i="2" s="1"/>
  <c r="H248" i="2" s="1"/>
  <c r="I248" i="2" s="1"/>
  <c r="U247" i="2"/>
  <c r="V247" i="2" s="1"/>
  <c r="H247" i="2" s="1"/>
  <c r="I247" i="2" s="1"/>
  <c r="U246" i="2"/>
  <c r="V246" i="2" s="1"/>
  <c r="H246" i="2" s="1"/>
  <c r="I246" i="2" s="1"/>
  <c r="U245" i="2"/>
  <c r="V245" i="2" s="1"/>
  <c r="H245" i="2" s="1"/>
  <c r="I245" i="2" s="1"/>
  <c r="U244" i="2"/>
  <c r="V244" i="2" s="1"/>
  <c r="H244" i="2" s="1"/>
  <c r="I244" i="2" s="1"/>
  <c r="U241" i="2"/>
  <c r="V241" i="2" s="1"/>
  <c r="H241" i="2" s="1"/>
  <c r="I241" i="2" s="1"/>
  <c r="U240" i="2"/>
  <c r="V240" i="2" s="1"/>
  <c r="H240" i="2" s="1"/>
  <c r="I240" i="2" s="1"/>
  <c r="U239" i="2"/>
  <c r="V239" i="2" s="1"/>
  <c r="H239" i="2" s="1"/>
  <c r="I239" i="2" s="1"/>
  <c r="U235" i="2"/>
  <c r="V235" i="2" s="1"/>
  <c r="H235" i="2" s="1"/>
  <c r="I235" i="2" s="1"/>
  <c r="U231" i="2"/>
  <c r="V231" i="2" s="1"/>
  <c r="H231" i="2" s="1"/>
  <c r="I231" i="2" s="1"/>
  <c r="U226" i="2"/>
  <c r="V226" i="2" s="1"/>
  <c r="H226" i="2" s="1"/>
  <c r="I226" i="2" s="1"/>
  <c r="U225" i="2"/>
  <c r="V225" i="2" s="1"/>
  <c r="H225" i="2" s="1"/>
  <c r="I225" i="2" s="1"/>
  <c r="U223" i="2"/>
  <c r="V223" i="2" s="1"/>
  <c r="H223" i="2" s="1"/>
  <c r="I223" i="2" s="1"/>
  <c r="U222" i="2"/>
  <c r="V222" i="2" s="1"/>
  <c r="H222" i="2" s="1"/>
  <c r="I222" i="2" s="1"/>
  <c r="U221" i="2"/>
  <c r="V221" i="2" s="1"/>
  <c r="H221" i="2" s="1"/>
  <c r="I221" i="2" s="1"/>
  <c r="U218" i="2"/>
  <c r="V218" i="2" s="1"/>
  <c r="H218" i="2" s="1"/>
  <c r="I218" i="2" s="1"/>
  <c r="U217" i="2"/>
  <c r="V217" i="2" s="1"/>
  <c r="H217" i="2" s="1"/>
  <c r="I217" i="2" s="1"/>
  <c r="U216" i="2"/>
  <c r="V216" i="2" s="1"/>
  <c r="H216" i="2" s="1"/>
  <c r="I216" i="2" s="1"/>
  <c r="U215" i="2"/>
  <c r="V215" i="2" s="1"/>
  <c r="H215" i="2" s="1"/>
  <c r="I215" i="2" s="1"/>
  <c r="U214" i="2"/>
  <c r="V214" i="2" s="1"/>
  <c r="H214" i="2" s="1"/>
  <c r="I214" i="2" s="1"/>
  <c r="U207" i="2"/>
  <c r="V207" i="2" s="1"/>
  <c r="H207" i="2" s="1"/>
  <c r="I207" i="2" s="1"/>
  <c r="U206" i="2"/>
  <c r="V206" i="2" s="1"/>
  <c r="H206" i="2" s="1"/>
  <c r="I206" i="2" s="1"/>
  <c r="U205" i="2"/>
  <c r="V205" i="2" s="1"/>
  <c r="H205" i="2" s="1"/>
  <c r="I205" i="2" s="1"/>
  <c r="U204" i="2"/>
  <c r="V204" i="2" s="1"/>
  <c r="H204" i="2" s="1"/>
  <c r="I204" i="2" s="1"/>
  <c r="U202" i="2"/>
  <c r="V202" i="2" s="1"/>
  <c r="H202" i="2" s="1"/>
  <c r="I202" i="2" s="1"/>
  <c r="U201" i="2"/>
  <c r="V201" i="2" s="1"/>
  <c r="H201" i="2" s="1"/>
  <c r="I201" i="2" s="1"/>
  <c r="U200" i="2"/>
  <c r="V200" i="2" s="1"/>
  <c r="H200" i="2" s="1"/>
  <c r="I200" i="2" s="1"/>
  <c r="U198" i="2"/>
  <c r="V198" i="2" s="1"/>
  <c r="H198" i="2" s="1"/>
  <c r="I198" i="2" s="1"/>
  <c r="U196" i="2"/>
  <c r="V196" i="2" s="1"/>
  <c r="H196" i="2" s="1"/>
  <c r="I196" i="2" s="1"/>
  <c r="U194" i="2"/>
  <c r="V194" i="2" s="1"/>
  <c r="H194" i="2" s="1"/>
  <c r="I194" i="2" s="1"/>
  <c r="U193" i="2"/>
  <c r="V193" i="2" s="1"/>
  <c r="H193" i="2" s="1"/>
  <c r="I193" i="2" s="1"/>
  <c r="U192" i="2"/>
  <c r="V192" i="2" s="1"/>
  <c r="H192" i="2" s="1"/>
  <c r="I192" i="2" s="1"/>
  <c r="U191" i="2"/>
  <c r="V191" i="2" s="1"/>
  <c r="H191" i="2" s="1"/>
  <c r="I191" i="2" s="1"/>
  <c r="U190" i="2"/>
  <c r="V190" i="2" s="1"/>
  <c r="H190" i="2" s="1"/>
  <c r="I190" i="2" s="1"/>
  <c r="U189" i="2"/>
  <c r="V189" i="2" s="1"/>
  <c r="H189" i="2" s="1"/>
  <c r="I189" i="2" s="1"/>
  <c r="U188" i="2"/>
  <c r="V188" i="2" s="1"/>
  <c r="H188" i="2" s="1"/>
  <c r="I188" i="2" s="1"/>
  <c r="U187" i="2"/>
  <c r="V187" i="2" s="1"/>
  <c r="H187" i="2" s="1"/>
  <c r="I187" i="2" s="1"/>
  <c r="U180" i="2"/>
  <c r="V180" i="2" s="1"/>
  <c r="H180" i="2" s="1"/>
  <c r="I180" i="2" s="1"/>
  <c r="U174" i="2"/>
  <c r="V174" i="2" s="1"/>
  <c r="H174" i="2" s="1"/>
  <c r="I174" i="2" s="1"/>
  <c r="U173" i="2"/>
  <c r="V173" i="2" s="1"/>
  <c r="H173" i="2" s="1"/>
  <c r="I173" i="2" s="1"/>
  <c r="U171" i="2"/>
  <c r="V171" i="2" s="1"/>
  <c r="H171" i="2" s="1"/>
  <c r="I171" i="2" s="1"/>
  <c r="U168" i="2"/>
  <c r="V168" i="2" s="1"/>
  <c r="H168" i="2" s="1"/>
  <c r="I168" i="2" s="1"/>
  <c r="U167" i="2"/>
  <c r="V167" i="2" s="1"/>
  <c r="H167" i="2" s="1"/>
  <c r="I167" i="2" s="1"/>
  <c r="U166" i="2"/>
  <c r="V166" i="2" s="1"/>
  <c r="H166" i="2" s="1"/>
  <c r="I166" i="2" s="1"/>
  <c r="U165" i="2"/>
  <c r="V165" i="2" s="1"/>
  <c r="H165" i="2" s="1"/>
  <c r="I165" i="2" s="1"/>
  <c r="U164" i="2"/>
  <c r="V164" i="2" s="1"/>
  <c r="H164" i="2" s="1"/>
  <c r="I164" i="2" s="1"/>
  <c r="U162" i="2"/>
  <c r="V162" i="2" s="1"/>
  <c r="H162" i="2" s="1"/>
  <c r="I162" i="2" s="1"/>
  <c r="U160" i="2"/>
  <c r="V160" i="2" s="1"/>
  <c r="H160" i="2" s="1"/>
  <c r="I160" i="2" s="1"/>
  <c r="U159" i="2"/>
  <c r="V159" i="2" s="1"/>
  <c r="H159" i="2" s="1"/>
  <c r="I159" i="2" s="1"/>
  <c r="U158" i="2"/>
  <c r="V158" i="2" s="1"/>
  <c r="H158" i="2" s="1"/>
  <c r="I158" i="2" s="1"/>
  <c r="U156" i="2"/>
  <c r="V156" i="2" s="1"/>
  <c r="H156" i="2" s="1"/>
  <c r="I156" i="2" s="1"/>
  <c r="U154" i="2"/>
  <c r="V154" i="2" s="1"/>
  <c r="H154" i="2" s="1"/>
  <c r="I154" i="2" s="1"/>
  <c r="U152" i="2"/>
  <c r="V152" i="2" s="1"/>
  <c r="H152" i="2" s="1"/>
  <c r="I152" i="2" s="1"/>
  <c r="U150" i="2"/>
  <c r="V150" i="2" s="1"/>
  <c r="H150" i="2" s="1"/>
  <c r="I150" i="2" s="1"/>
  <c r="U149" i="2"/>
  <c r="V149" i="2" s="1"/>
  <c r="H149" i="2" s="1"/>
  <c r="I149" i="2" s="1"/>
  <c r="U148" i="2"/>
  <c r="V148" i="2" s="1"/>
  <c r="H148" i="2" s="1"/>
  <c r="I148" i="2" s="1"/>
  <c r="U147" i="2"/>
  <c r="V147" i="2" s="1"/>
  <c r="H147" i="2" s="1"/>
  <c r="I147" i="2" s="1"/>
  <c r="U145" i="2"/>
  <c r="V145" i="2" s="1"/>
  <c r="H145" i="2" s="1"/>
  <c r="I145" i="2" s="1"/>
  <c r="U144" i="2"/>
  <c r="V144" i="2" s="1"/>
  <c r="H144" i="2" s="1"/>
  <c r="I144" i="2" s="1"/>
  <c r="U143" i="2"/>
  <c r="V143" i="2" s="1"/>
  <c r="H143" i="2" s="1"/>
  <c r="I143" i="2" s="1"/>
  <c r="U142" i="2"/>
  <c r="V142" i="2" s="1"/>
  <c r="H142" i="2" s="1"/>
  <c r="I142" i="2" s="1"/>
  <c r="U140" i="2"/>
  <c r="V140" i="2" s="1"/>
  <c r="H140" i="2" s="1"/>
  <c r="I140" i="2" s="1"/>
  <c r="U139" i="2"/>
  <c r="V139" i="2" s="1"/>
  <c r="H139" i="2" s="1"/>
  <c r="I139" i="2" s="1"/>
  <c r="U138" i="2"/>
  <c r="V138" i="2" s="1"/>
  <c r="H138" i="2" s="1"/>
  <c r="I138" i="2" s="1"/>
  <c r="U136" i="2"/>
  <c r="V136" i="2" s="1"/>
  <c r="H136" i="2" s="1"/>
  <c r="I136" i="2" s="1"/>
  <c r="U135" i="2"/>
  <c r="V135" i="2" s="1"/>
  <c r="H135" i="2" s="1"/>
  <c r="I135" i="2" s="1"/>
  <c r="U134" i="2"/>
  <c r="V134" i="2" s="1"/>
  <c r="H134" i="2" s="1"/>
  <c r="I134" i="2" s="1"/>
  <c r="U133" i="2"/>
  <c r="V133" i="2" s="1"/>
  <c r="H133" i="2" s="1"/>
  <c r="I133" i="2" s="1"/>
  <c r="U131" i="2"/>
  <c r="V131" i="2" s="1"/>
  <c r="H131" i="2" s="1"/>
  <c r="I131" i="2" s="1"/>
  <c r="U130" i="2"/>
  <c r="V130" i="2" s="1"/>
  <c r="H130" i="2" s="1"/>
  <c r="I130" i="2" s="1"/>
  <c r="U129" i="2"/>
  <c r="V129" i="2" s="1"/>
  <c r="H129" i="2" s="1"/>
  <c r="I129" i="2" s="1"/>
  <c r="U127" i="2"/>
  <c r="V127" i="2" s="1"/>
  <c r="H127" i="2" s="1"/>
  <c r="I127" i="2" s="1"/>
  <c r="U126" i="2"/>
  <c r="V126" i="2" s="1"/>
  <c r="H126" i="2" s="1"/>
  <c r="I126" i="2" s="1"/>
  <c r="U125" i="2"/>
  <c r="V125" i="2" s="1"/>
  <c r="H125" i="2" s="1"/>
  <c r="I125" i="2" s="1"/>
  <c r="U122" i="2"/>
  <c r="V122" i="2" s="1"/>
  <c r="H122" i="2" s="1"/>
  <c r="I122" i="2" s="1"/>
  <c r="U123" i="2"/>
  <c r="V123" i="2" s="1"/>
  <c r="H123" i="2" s="1"/>
  <c r="I123" i="2" s="1"/>
  <c r="U120" i="2"/>
  <c r="V120" i="2" s="1"/>
  <c r="H120" i="2" s="1"/>
  <c r="I120" i="2" s="1"/>
  <c r="U118" i="2"/>
  <c r="V118" i="2" s="1"/>
  <c r="H118" i="2" s="1"/>
  <c r="I118" i="2" s="1"/>
  <c r="U117" i="2"/>
  <c r="V117" i="2" s="1"/>
  <c r="H117" i="2" s="1"/>
  <c r="I117" i="2" s="1"/>
  <c r="U116" i="2"/>
  <c r="V116" i="2" s="1"/>
  <c r="H116" i="2" s="1"/>
  <c r="I116" i="2" s="1"/>
  <c r="U114" i="2"/>
  <c r="V114" i="2" s="1"/>
  <c r="H114" i="2" s="1"/>
  <c r="I114" i="2" s="1"/>
  <c r="U112" i="2"/>
  <c r="V112" i="2" s="1"/>
  <c r="H112" i="2" s="1"/>
  <c r="I112" i="2" s="1"/>
  <c r="U110" i="2"/>
  <c r="V110" i="2" s="1"/>
  <c r="H110" i="2" s="1"/>
  <c r="I110" i="2" s="1"/>
  <c r="U109" i="2"/>
  <c r="V109" i="2" s="1"/>
  <c r="H109" i="2" s="1"/>
  <c r="I109" i="2" s="1"/>
  <c r="U107" i="2"/>
  <c r="V107" i="2" s="1"/>
  <c r="H107" i="2" s="1"/>
  <c r="I107" i="2" s="1"/>
  <c r="U105" i="2"/>
  <c r="V105" i="2" s="1"/>
  <c r="H105" i="2" s="1"/>
  <c r="I105" i="2" s="1"/>
  <c r="U104" i="2"/>
  <c r="V104" i="2" s="1"/>
  <c r="H104" i="2" s="1"/>
  <c r="I104" i="2" s="1"/>
  <c r="U103" i="2"/>
  <c r="V103" i="2" s="1"/>
  <c r="H103" i="2" s="1"/>
  <c r="I103" i="2" s="1"/>
  <c r="U101" i="2"/>
  <c r="V101" i="2" s="1"/>
  <c r="H101" i="2" s="1"/>
  <c r="I101" i="2" s="1"/>
  <c r="U100" i="2"/>
  <c r="V100" i="2" s="1"/>
  <c r="H100" i="2" s="1"/>
  <c r="I100" i="2" s="1"/>
  <c r="U99" i="2"/>
  <c r="V99" i="2" s="1"/>
  <c r="H99" i="2" s="1"/>
  <c r="I99" i="2" s="1"/>
  <c r="U97" i="2"/>
  <c r="V97" i="2" s="1"/>
  <c r="H97" i="2" s="1"/>
  <c r="I97" i="2" s="1"/>
  <c r="U96" i="2"/>
  <c r="V96" i="2" s="1"/>
  <c r="H96" i="2" s="1"/>
  <c r="I96" i="2" s="1"/>
  <c r="U95" i="2"/>
  <c r="V95" i="2" s="1"/>
  <c r="H95" i="2" s="1"/>
  <c r="I95" i="2" s="1"/>
  <c r="U92" i="2"/>
  <c r="V92" i="2" s="1"/>
  <c r="H92" i="2" s="1"/>
  <c r="I92" i="2" s="1"/>
  <c r="U91" i="2"/>
  <c r="V91" i="2" s="1"/>
  <c r="H91" i="2" s="1"/>
  <c r="I91" i="2" s="1"/>
  <c r="U89" i="2"/>
  <c r="V89" i="2" s="1"/>
  <c r="H89" i="2" s="1"/>
  <c r="I89" i="2" s="1"/>
  <c r="U88" i="2"/>
  <c r="V88" i="2" s="1"/>
  <c r="H88" i="2" s="1"/>
  <c r="I88" i="2" s="1"/>
  <c r="U87" i="2"/>
  <c r="V87" i="2" s="1"/>
  <c r="H87" i="2" s="1"/>
  <c r="I87" i="2" s="1"/>
  <c r="U85" i="2"/>
  <c r="V85" i="2" s="1"/>
  <c r="H85" i="2" s="1"/>
  <c r="I85" i="2" s="1"/>
  <c r="U84" i="2"/>
  <c r="V84" i="2" s="1"/>
  <c r="H84" i="2" s="1"/>
  <c r="I84" i="2" s="1"/>
  <c r="U83" i="2"/>
  <c r="V83" i="2" s="1"/>
  <c r="H83" i="2" s="1"/>
  <c r="I83" i="2" s="1"/>
  <c r="U81" i="2"/>
  <c r="V81" i="2" s="1"/>
  <c r="H81" i="2" s="1"/>
  <c r="I81" i="2" s="1"/>
  <c r="U80" i="2"/>
  <c r="V80" i="2" s="1"/>
  <c r="H80" i="2" s="1"/>
  <c r="I80" i="2" s="1"/>
  <c r="U79" i="2"/>
  <c r="V79" i="2" s="1"/>
  <c r="H79" i="2" s="1"/>
  <c r="I79" i="2" s="1"/>
  <c r="U77" i="2"/>
  <c r="V77" i="2" s="1"/>
  <c r="H77" i="2" s="1"/>
  <c r="I77" i="2" s="1"/>
  <c r="U76" i="2"/>
  <c r="V76" i="2" s="1"/>
  <c r="H76" i="2" s="1"/>
  <c r="I76" i="2" s="1"/>
  <c r="U75" i="2"/>
  <c r="V75" i="2" s="1"/>
  <c r="H75" i="2" s="1"/>
  <c r="I75" i="2" s="1"/>
  <c r="U73" i="2"/>
  <c r="V73" i="2" s="1"/>
  <c r="H73" i="2" s="1"/>
  <c r="I73" i="2" s="1"/>
  <c r="U72" i="2"/>
  <c r="V72" i="2" s="1"/>
  <c r="H72" i="2" s="1"/>
  <c r="I72" i="2" s="1"/>
  <c r="U71" i="2"/>
  <c r="V71" i="2" s="1"/>
  <c r="H71" i="2" s="1"/>
  <c r="I71" i="2" s="1"/>
  <c r="U70" i="2"/>
  <c r="V70" i="2" s="1"/>
  <c r="H70" i="2" s="1"/>
  <c r="I70" i="2" s="1"/>
  <c r="U69" i="2"/>
  <c r="V69" i="2" s="1"/>
  <c r="H69" i="2" s="1"/>
  <c r="I69" i="2" s="1"/>
  <c r="U67" i="2"/>
  <c r="V67" i="2" s="1"/>
  <c r="H67" i="2" s="1"/>
  <c r="I67" i="2" s="1"/>
  <c r="U60" i="2"/>
  <c r="V60" i="2" s="1"/>
  <c r="H60" i="2" s="1"/>
  <c r="I60" i="2" s="1"/>
  <c r="U59" i="2"/>
  <c r="V59" i="2" s="1"/>
  <c r="H59" i="2" s="1"/>
  <c r="I59" i="2" s="1"/>
  <c r="U58" i="2"/>
  <c r="V58" i="2" s="1"/>
  <c r="H58" i="2" s="1"/>
  <c r="I58" i="2" s="1"/>
  <c r="U56" i="2"/>
  <c r="V56" i="2" s="1"/>
  <c r="H56" i="2" s="1"/>
  <c r="I56" i="2" s="1"/>
  <c r="U54" i="2"/>
  <c r="V54" i="2" s="1"/>
  <c r="H54" i="2" s="1"/>
  <c r="I54" i="2" s="1"/>
  <c r="U53" i="2"/>
  <c r="V53" i="2" s="1"/>
  <c r="H53" i="2" s="1"/>
  <c r="I53" i="2" s="1"/>
  <c r="U52" i="2"/>
  <c r="V52" i="2" s="1"/>
  <c r="H52" i="2" s="1"/>
  <c r="I52" i="2" s="1"/>
  <c r="U45" i="2"/>
  <c r="V45" i="2" s="1"/>
  <c r="H45" i="2" s="1"/>
  <c r="I45" i="2" s="1"/>
  <c r="U43" i="2"/>
  <c r="V43" i="2" s="1"/>
  <c r="H43" i="2" s="1"/>
  <c r="I43" i="2" s="1"/>
  <c r="U41" i="2"/>
  <c r="V41" i="2" s="1"/>
  <c r="H41" i="2" s="1"/>
  <c r="I41" i="2" s="1"/>
  <c r="U39" i="2"/>
  <c r="V39" i="2" s="1"/>
  <c r="H39" i="2" s="1"/>
  <c r="I39" i="2" s="1"/>
  <c r="U37" i="2"/>
  <c r="V37" i="2" s="1"/>
  <c r="H37" i="2" s="1"/>
  <c r="I37" i="2" s="1"/>
  <c r="U36" i="2"/>
  <c r="V36" i="2" s="1"/>
  <c r="H36" i="2" s="1"/>
  <c r="I36" i="2" s="1"/>
  <c r="U34" i="2"/>
  <c r="V34" i="2" s="1"/>
  <c r="H34" i="2" s="1"/>
  <c r="I34" i="2" s="1"/>
  <c r="U32" i="2"/>
  <c r="V32" i="2" s="1"/>
  <c r="H32" i="2" s="1"/>
  <c r="I32" i="2" s="1"/>
  <c r="U30" i="2"/>
  <c r="V30" i="2" s="1"/>
  <c r="H30" i="2" s="1"/>
  <c r="I30" i="2" s="1"/>
  <c r="U28" i="2"/>
  <c r="V28" i="2" s="1"/>
  <c r="H28" i="2" s="1"/>
  <c r="I28" i="2" s="1"/>
  <c r="U26" i="2"/>
  <c r="V26" i="2" s="1"/>
  <c r="H26" i="2" s="1"/>
  <c r="I26" i="2" s="1"/>
  <c r="U24" i="2"/>
  <c r="V24" i="2" s="1"/>
  <c r="H24" i="2" s="1"/>
  <c r="I24" i="2" s="1"/>
  <c r="U22" i="2"/>
  <c r="V22" i="2" s="1"/>
  <c r="H22" i="2" s="1"/>
  <c r="I22" i="2" s="1"/>
  <c r="U15" i="2"/>
  <c r="V15" i="2" s="1"/>
  <c r="U14" i="2"/>
  <c r="V14" i="2" s="1"/>
  <c r="H14" i="2" s="1"/>
  <c r="U12" i="2"/>
  <c r="U11" i="2"/>
  <c r="V11" i="2" s="1"/>
  <c r="H11" i="2" s="1"/>
  <c r="I11" i="2" s="1"/>
  <c r="U9" i="2"/>
  <c r="U8" i="2"/>
  <c r="V8" i="2" s="1"/>
  <c r="T12" i="2"/>
  <c r="Y12" i="2" s="1"/>
  <c r="T9" i="2"/>
  <c r="Y9" i="2" s="1"/>
  <c r="Q305" i="2"/>
  <c r="E305" i="2" s="1"/>
  <c r="F305" i="2" s="1"/>
  <c r="Q304" i="2"/>
  <c r="E304" i="2" s="1"/>
  <c r="F304" i="2" s="1"/>
  <c r="Q302" i="2"/>
  <c r="E302" i="2" s="1"/>
  <c r="F302" i="2" s="1"/>
  <c r="Q265" i="2"/>
  <c r="E265" i="2" s="1"/>
  <c r="F265" i="2" s="1"/>
  <c r="Q264" i="2"/>
  <c r="E264" i="2" s="1"/>
  <c r="F264" i="2" s="1"/>
  <c r="Q241" i="2"/>
  <c r="E241" i="2" s="1"/>
  <c r="F241" i="2" s="1"/>
  <c r="Q240" i="2"/>
  <c r="E240" i="2" s="1"/>
  <c r="F240" i="2" s="1"/>
  <c r="Q193" i="2"/>
  <c r="E193" i="2" s="1"/>
  <c r="F193" i="2" s="1"/>
  <c r="Q190" i="2"/>
  <c r="E190" i="2" s="1"/>
  <c r="F190" i="2" s="1"/>
  <c r="Q165" i="2"/>
  <c r="E165" i="2" s="1"/>
  <c r="F165" i="2" s="1"/>
  <c r="Q149" i="2"/>
  <c r="E149" i="2" s="1"/>
  <c r="F149" i="2" s="1"/>
  <c r="Q148" i="2"/>
  <c r="E148" i="2" s="1"/>
  <c r="F148" i="2" s="1"/>
  <c r="Q116" i="2"/>
  <c r="E116" i="2" s="1"/>
  <c r="F116" i="2" s="1"/>
  <c r="Q81" i="2"/>
  <c r="E81" i="2" s="1"/>
  <c r="F81" i="2" s="1"/>
  <c r="Q80" i="2"/>
  <c r="E80" i="2" s="1"/>
  <c r="F80" i="2" s="1"/>
  <c r="Q11" i="2"/>
  <c r="E11" i="2" s="1"/>
  <c r="F11" i="2" s="1"/>
  <c r="V12" i="2" l="1"/>
  <c r="H12" i="2" s="1"/>
  <c r="I12" i="2" s="1"/>
  <c r="I14" i="2"/>
  <c r="K14" i="2" s="1"/>
  <c r="J14" i="2"/>
  <c r="V9" i="2"/>
  <c r="H9" i="2" s="1"/>
  <c r="J12" i="2" l="1"/>
  <c r="K12" i="2"/>
  <c r="C9" i="3"/>
  <c r="B3" i="3"/>
  <c r="K348" i="2"/>
  <c r="J348" i="2"/>
  <c r="K346" i="2"/>
  <c r="J346" i="2"/>
  <c r="J345" i="2"/>
  <c r="I345" i="2"/>
  <c r="F345" i="2"/>
  <c r="J343" i="2"/>
  <c r="I343" i="2"/>
  <c r="F343" i="2"/>
  <c r="K343" i="2" s="1"/>
  <c r="K341" i="2"/>
  <c r="J341" i="2"/>
  <c r="K339" i="2"/>
  <c r="J339" i="2"/>
  <c r="K336" i="2"/>
  <c r="J336" i="2"/>
  <c r="K334" i="2"/>
  <c r="J334" i="2"/>
  <c r="K332" i="2"/>
  <c r="J332" i="2"/>
  <c r="J331" i="2"/>
  <c r="J329" i="2"/>
  <c r="K327" i="2"/>
  <c r="J327" i="2"/>
  <c r="K325" i="2"/>
  <c r="J325" i="2"/>
  <c r="K323" i="2"/>
  <c r="J323" i="2"/>
  <c r="J322" i="2"/>
  <c r="J321" i="2"/>
  <c r="K321" i="2"/>
  <c r="J320" i="2"/>
  <c r="J319" i="2"/>
  <c r="K319" i="2"/>
  <c r="J318" i="2"/>
  <c r="J316" i="2"/>
  <c r="K316" i="2"/>
  <c r="J315" i="2"/>
  <c r="J314" i="2"/>
  <c r="J313" i="2"/>
  <c r="J312" i="2"/>
  <c r="K312" i="2"/>
  <c r="J311" i="2"/>
  <c r="J310" i="2"/>
  <c r="K310" i="2"/>
  <c r="J309" i="2"/>
  <c r="J308" i="2"/>
  <c r="K308" i="2"/>
  <c r="J307" i="2"/>
  <c r="J306" i="2"/>
  <c r="J305" i="2"/>
  <c r="J304" i="2"/>
  <c r="K304" i="2"/>
  <c r="J302" i="2"/>
  <c r="J301" i="2"/>
  <c r="K301" i="2"/>
  <c r="J299" i="2"/>
  <c r="J298" i="2"/>
  <c r="K298" i="2"/>
  <c r="J296" i="2"/>
  <c r="J295" i="2"/>
  <c r="J293" i="2"/>
  <c r="J292" i="2"/>
  <c r="K292" i="2"/>
  <c r="J290" i="2"/>
  <c r="J289" i="2"/>
  <c r="K289" i="2"/>
  <c r="J288" i="2"/>
  <c r="J287" i="2"/>
  <c r="K287" i="2"/>
  <c r="J286" i="2"/>
  <c r="K285" i="2"/>
  <c r="J285" i="2"/>
  <c r="K283" i="2"/>
  <c r="J283" i="2"/>
  <c r="K281" i="2"/>
  <c r="J281" i="2"/>
  <c r="J280" i="2"/>
  <c r="J279" i="2"/>
  <c r="J278" i="2"/>
  <c r="J277" i="2"/>
  <c r="J276" i="2"/>
  <c r="J275" i="2"/>
  <c r="K273" i="2"/>
  <c r="J273" i="2"/>
  <c r="K271" i="2"/>
  <c r="J271" i="2"/>
  <c r="K269" i="2"/>
  <c r="J269" i="2"/>
  <c r="J268" i="2"/>
  <c r="K268" i="2"/>
  <c r="J267" i="2"/>
  <c r="J265" i="2"/>
  <c r="J264" i="2"/>
  <c r="K264" i="2"/>
  <c r="J262" i="2"/>
  <c r="J261" i="2"/>
  <c r="K261" i="2"/>
  <c r="J259" i="2"/>
  <c r="J258" i="2"/>
  <c r="J257" i="2"/>
  <c r="J256" i="2"/>
  <c r="J255" i="2"/>
  <c r="J253" i="2"/>
  <c r="K253" i="2"/>
  <c r="J251" i="2"/>
  <c r="J250" i="2"/>
  <c r="K250" i="2"/>
  <c r="J249" i="2"/>
  <c r="J248" i="2"/>
  <c r="J247" i="2"/>
  <c r="J246" i="2"/>
  <c r="J245" i="2"/>
  <c r="J244" i="2"/>
  <c r="K244" i="2"/>
  <c r="J241" i="2"/>
  <c r="J240" i="2"/>
  <c r="K240" i="2"/>
  <c r="J239" i="2"/>
  <c r="J235" i="2"/>
  <c r="J231" i="2"/>
  <c r="K229" i="2"/>
  <c r="J229" i="2"/>
  <c r="K227" i="2"/>
  <c r="J227" i="2"/>
  <c r="J226" i="2"/>
  <c r="J225" i="2"/>
  <c r="J223" i="2"/>
  <c r="K223" i="2"/>
  <c r="J222" i="2"/>
  <c r="J221" i="2"/>
  <c r="K221" i="2"/>
  <c r="J218" i="2"/>
  <c r="J217" i="2"/>
  <c r="J216" i="2"/>
  <c r="J215" i="2"/>
  <c r="J214" i="2"/>
  <c r="K212" i="2"/>
  <c r="J212" i="2"/>
  <c r="K210" i="2"/>
  <c r="J210" i="2"/>
  <c r="K208" i="2"/>
  <c r="J208" i="2"/>
  <c r="J207" i="2"/>
  <c r="J206" i="2"/>
  <c r="J205" i="2"/>
  <c r="J204" i="2"/>
  <c r="J202" i="2"/>
  <c r="J201" i="2"/>
  <c r="J200" i="2"/>
  <c r="J198" i="2"/>
  <c r="J196" i="2"/>
  <c r="J194" i="2"/>
  <c r="J193" i="2"/>
  <c r="K193" i="2"/>
  <c r="J192" i="2"/>
  <c r="J191" i="2"/>
  <c r="K191" i="2"/>
  <c r="J190" i="2"/>
  <c r="J189" i="2"/>
  <c r="J188" i="2"/>
  <c r="J187" i="2"/>
  <c r="K185" i="2"/>
  <c r="J185" i="2"/>
  <c r="K183" i="2"/>
  <c r="J183" i="2"/>
  <c r="K181" i="2"/>
  <c r="J181" i="2"/>
  <c r="J180" i="2"/>
  <c r="I182" i="2"/>
  <c r="C33" i="3" s="1"/>
  <c r="F182" i="2"/>
  <c r="B33" i="3" s="1"/>
  <c r="K179" i="2"/>
  <c r="J179" i="2"/>
  <c r="K177" i="2"/>
  <c r="J177" i="2"/>
  <c r="K175" i="2"/>
  <c r="J175" i="2"/>
  <c r="J174" i="2"/>
  <c r="J173" i="2"/>
  <c r="J171" i="2"/>
  <c r="K169" i="2"/>
  <c r="J169" i="2"/>
  <c r="J168" i="2"/>
  <c r="K168" i="2"/>
  <c r="J167" i="2"/>
  <c r="J166" i="2"/>
  <c r="K166" i="2"/>
  <c r="J165" i="2"/>
  <c r="J164" i="2"/>
  <c r="K164" i="2"/>
  <c r="J162" i="2"/>
  <c r="J160" i="2"/>
  <c r="J159" i="2"/>
  <c r="J158" i="2"/>
  <c r="K158" i="2"/>
  <c r="J156" i="2"/>
  <c r="J154" i="2"/>
  <c r="K154" i="2"/>
  <c r="J152" i="2"/>
  <c r="J150" i="2"/>
  <c r="K150" i="2"/>
  <c r="J149" i="2"/>
  <c r="J148" i="2"/>
  <c r="J147" i="2"/>
  <c r="J145" i="2"/>
  <c r="K145" i="2"/>
  <c r="J144" i="2"/>
  <c r="J143" i="2"/>
  <c r="K143" i="2"/>
  <c r="J142" i="2"/>
  <c r="J140" i="2"/>
  <c r="K140" i="2"/>
  <c r="J139" i="2"/>
  <c r="J138" i="2"/>
  <c r="J136" i="2"/>
  <c r="J135" i="2"/>
  <c r="K135" i="2"/>
  <c r="J134" i="2"/>
  <c r="J133" i="2"/>
  <c r="K133" i="2"/>
  <c r="J131" i="2"/>
  <c r="J130" i="2"/>
  <c r="K130" i="2"/>
  <c r="J129" i="2"/>
  <c r="J127" i="2"/>
  <c r="J126" i="2"/>
  <c r="J125" i="2"/>
  <c r="K125" i="2"/>
  <c r="J123" i="2"/>
  <c r="J122" i="2"/>
  <c r="K122" i="2"/>
  <c r="J120" i="2"/>
  <c r="J118" i="2"/>
  <c r="K118" i="2"/>
  <c r="J117" i="2"/>
  <c r="J116" i="2"/>
  <c r="J114" i="2"/>
  <c r="J112" i="2"/>
  <c r="K112" i="2"/>
  <c r="J110" i="2"/>
  <c r="J109" i="2"/>
  <c r="K109" i="2"/>
  <c r="J107" i="2"/>
  <c r="J105" i="2"/>
  <c r="K105" i="2"/>
  <c r="J104" i="2"/>
  <c r="J103" i="2"/>
  <c r="J101" i="2"/>
  <c r="J100" i="2"/>
  <c r="K100" i="2"/>
  <c r="J99" i="2"/>
  <c r="J97" i="2"/>
  <c r="K97" i="2"/>
  <c r="J96" i="2"/>
  <c r="J95" i="2"/>
  <c r="K95" i="2"/>
  <c r="J92" i="2"/>
  <c r="J91" i="2"/>
  <c r="J89" i="2"/>
  <c r="J88" i="2"/>
  <c r="K88" i="2"/>
  <c r="J87" i="2"/>
  <c r="J85" i="2"/>
  <c r="K85" i="2"/>
  <c r="J84" i="2"/>
  <c r="J83" i="2"/>
  <c r="K83" i="2"/>
  <c r="J81" i="2"/>
  <c r="J80" i="2"/>
  <c r="J79" i="2"/>
  <c r="J77" i="2"/>
  <c r="K77" i="2"/>
  <c r="J76" i="2"/>
  <c r="J75" i="2"/>
  <c r="K75" i="2"/>
  <c r="J73" i="2"/>
  <c r="J72" i="2"/>
  <c r="K72" i="2"/>
  <c r="J71" i="2"/>
  <c r="J70" i="2"/>
  <c r="J69" i="2"/>
  <c r="J67" i="2"/>
  <c r="K65" i="2"/>
  <c r="J65" i="2"/>
  <c r="K63" i="2"/>
  <c r="J63" i="2"/>
  <c r="K61" i="2"/>
  <c r="J61" i="2"/>
  <c r="J60" i="2"/>
  <c r="J59" i="2"/>
  <c r="J58" i="2"/>
  <c r="J56" i="2"/>
  <c r="J54" i="2"/>
  <c r="K54" i="2"/>
  <c r="J53" i="2"/>
  <c r="J52" i="2"/>
  <c r="K50" i="2"/>
  <c r="J50" i="2"/>
  <c r="K48" i="2"/>
  <c r="J48" i="2"/>
  <c r="K46" i="2"/>
  <c r="J46" i="2"/>
  <c r="J45" i="2"/>
  <c r="J43" i="2"/>
  <c r="J41" i="2"/>
  <c r="J39" i="2"/>
  <c r="J37" i="2"/>
  <c r="J36" i="2"/>
  <c r="J34" i="2"/>
  <c r="J32" i="2"/>
  <c r="J30" i="2"/>
  <c r="J28" i="2"/>
  <c r="K28" i="2"/>
  <c r="J26" i="2"/>
  <c r="J24" i="2"/>
  <c r="J22" i="2"/>
  <c r="K21" i="2"/>
  <c r="J21" i="2"/>
  <c r="K20" i="2"/>
  <c r="J20" i="2"/>
  <c r="K19" i="2"/>
  <c r="J19" i="2"/>
  <c r="K17" i="2"/>
  <c r="J17" i="2"/>
  <c r="K15" i="2"/>
  <c r="J15" i="2"/>
  <c r="J11" i="2"/>
  <c r="K11" i="2"/>
  <c r="J9" i="2"/>
  <c r="I9" i="2"/>
  <c r="F9" i="2"/>
  <c r="K8" i="2"/>
  <c r="J8" i="2"/>
  <c r="K6" i="2"/>
  <c r="J6" i="2"/>
  <c r="K4" i="2"/>
  <c r="J4" i="2"/>
  <c r="K2" i="2"/>
  <c r="J2" i="2"/>
  <c r="F47" i="2" l="1"/>
  <c r="B30" i="3" s="1"/>
  <c r="I16" i="2"/>
  <c r="C29" i="3" s="1"/>
  <c r="I270" i="2"/>
  <c r="C36" i="3" s="1"/>
  <c r="F282" i="2"/>
  <c r="B37" i="3" s="1"/>
  <c r="F324" i="2"/>
  <c r="B38" i="3" s="1"/>
  <c r="C4" i="3"/>
  <c r="F176" i="2"/>
  <c r="B32" i="3" s="1"/>
  <c r="K217" i="2"/>
  <c r="B4" i="3"/>
  <c r="B7" i="3" s="1"/>
  <c r="B12" i="3" s="1"/>
  <c r="K215" i="2"/>
  <c r="K226" i="2"/>
  <c r="I282" i="2"/>
  <c r="C37" i="3" s="1"/>
  <c r="I324" i="2"/>
  <c r="C38" i="3" s="1"/>
  <c r="I47" i="2"/>
  <c r="C30" i="3" s="1"/>
  <c r="K58" i="2"/>
  <c r="K24" i="2"/>
  <c r="K189" i="2"/>
  <c r="K200" i="2"/>
  <c r="K235" i="2"/>
  <c r="K248" i="2"/>
  <c r="K258" i="2"/>
  <c r="K277" i="2"/>
  <c r="K331" i="2"/>
  <c r="F333" i="2"/>
  <c r="B39" i="3" s="1"/>
  <c r="K60" i="2"/>
  <c r="I176" i="2"/>
  <c r="C32" i="3" s="1"/>
  <c r="F209" i="2"/>
  <c r="B34" i="3" s="1"/>
  <c r="K196" i="2"/>
  <c r="K246" i="2"/>
  <c r="K256" i="2"/>
  <c r="I62" i="2"/>
  <c r="C31" i="3" s="1"/>
  <c r="K70" i="2"/>
  <c r="K80" i="2"/>
  <c r="K91" i="2"/>
  <c r="K103" i="2"/>
  <c r="K116" i="2"/>
  <c r="K127" i="2"/>
  <c r="K138" i="2"/>
  <c r="K148" i="2"/>
  <c r="K160" i="2"/>
  <c r="F228" i="2"/>
  <c r="B35" i="3" s="1"/>
  <c r="K295" i="2"/>
  <c r="K306" i="2"/>
  <c r="K314" i="2"/>
  <c r="I347" i="2"/>
  <c r="C40" i="3" s="1"/>
  <c r="K32" i="2"/>
  <c r="K36" i="2"/>
  <c r="K39" i="2"/>
  <c r="K43" i="2"/>
  <c r="F62" i="2"/>
  <c r="B31" i="3" s="1"/>
  <c r="K53" i="2"/>
  <c r="K56" i="2"/>
  <c r="K59" i="2"/>
  <c r="K202" i="2"/>
  <c r="K205" i="2"/>
  <c r="K207" i="2"/>
  <c r="K214" i="2"/>
  <c r="K216" i="2"/>
  <c r="K218" i="2"/>
  <c r="K222" i="2"/>
  <c r="K225" i="2"/>
  <c r="K279" i="2"/>
  <c r="K173" i="2"/>
  <c r="I228" i="2"/>
  <c r="C35" i="3" s="1"/>
  <c r="K267" i="2"/>
  <c r="K276" i="2"/>
  <c r="K278" i="2"/>
  <c r="K280" i="2"/>
  <c r="K329" i="2"/>
  <c r="K52" i="2"/>
  <c r="I335" i="2"/>
  <c r="C28" i="3" s="1"/>
  <c r="K9" i="2"/>
  <c r="K16" i="2" s="1"/>
  <c r="K26" i="2"/>
  <c r="K30" i="2"/>
  <c r="K34" i="2"/>
  <c r="K37" i="2"/>
  <c r="K41" i="2"/>
  <c r="K180" i="2"/>
  <c r="K182" i="2" s="1"/>
  <c r="I209" i="2"/>
  <c r="C34" i="3" s="1"/>
  <c r="K275" i="2"/>
  <c r="K288" i="2"/>
  <c r="K290" i="2"/>
  <c r="K293" i="2"/>
  <c r="K296" i="2"/>
  <c r="K299" i="2"/>
  <c r="K302" i="2"/>
  <c r="K305" i="2"/>
  <c r="K307" i="2"/>
  <c r="K309" i="2"/>
  <c r="K311" i="2"/>
  <c r="K313" i="2"/>
  <c r="K315" i="2"/>
  <c r="K318" i="2"/>
  <c r="K320" i="2"/>
  <c r="K322" i="2"/>
  <c r="I333" i="2"/>
  <c r="C39" i="3" s="1"/>
  <c r="K45" i="2"/>
  <c r="K69" i="2"/>
  <c r="K71" i="2"/>
  <c r="K73" i="2"/>
  <c r="K76" i="2"/>
  <c r="K79" i="2"/>
  <c r="K81" i="2"/>
  <c r="K84" i="2"/>
  <c r="K87" i="2"/>
  <c r="K89" i="2"/>
  <c r="K92" i="2"/>
  <c r="K96" i="2"/>
  <c r="K99" i="2"/>
  <c r="K101" i="2"/>
  <c r="K104" i="2"/>
  <c r="K107" i="2"/>
  <c r="K110" i="2"/>
  <c r="K114" i="2"/>
  <c r="K117" i="2"/>
  <c r="K120" i="2"/>
  <c r="K123" i="2"/>
  <c r="K126" i="2"/>
  <c r="K129" i="2"/>
  <c r="K131" i="2"/>
  <c r="K134" i="2"/>
  <c r="K136" i="2"/>
  <c r="K139" i="2"/>
  <c r="K142" i="2"/>
  <c r="K144" i="2"/>
  <c r="K147" i="2"/>
  <c r="K149" i="2"/>
  <c r="K152" i="2"/>
  <c r="K156" i="2"/>
  <c r="K159" i="2"/>
  <c r="K162" i="2"/>
  <c r="K165" i="2"/>
  <c r="K167" i="2"/>
  <c r="K171" i="2"/>
  <c r="K174" i="2"/>
  <c r="K188" i="2"/>
  <c r="K190" i="2"/>
  <c r="K192" i="2"/>
  <c r="K194" i="2"/>
  <c r="K198" i="2"/>
  <c r="K201" i="2"/>
  <c r="K204" i="2"/>
  <c r="K206" i="2"/>
  <c r="K239" i="2"/>
  <c r="K241" i="2"/>
  <c r="K245" i="2"/>
  <c r="K247" i="2"/>
  <c r="K249" i="2"/>
  <c r="K251" i="2"/>
  <c r="K255" i="2"/>
  <c r="K257" i="2"/>
  <c r="K259" i="2"/>
  <c r="K262" i="2"/>
  <c r="K265" i="2"/>
  <c r="K345" i="2"/>
  <c r="K347" i="2" s="1"/>
  <c r="F335" i="2"/>
  <c r="N1" i="2"/>
  <c r="N2" i="2" s="1"/>
  <c r="N3" i="2" s="1"/>
  <c r="N4" i="2" s="1"/>
  <c r="N5" i="2" s="1"/>
  <c r="N6" i="2" s="1"/>
  <c r="N7" i="2" s="1"/>
  <c r="F16" i="2"/>
  <c r="B29" i="3" s="1"/>
  <c r="K22" i="2"/>
  <c r="K67" i="2"/>
  <c r="K187" i="2"/>
  <c r="F270" i="2"/>
  <c r="B36" i="3" s="1"/>
  <c r="K231" i="2"/>
  <c r="K286" i="2"/>
  <c r="F347" i="2"/>
  <c r="B28" i="3" l="1"/>
  <c r="F337" i="2"/>
  <c r="T337" i="2" s="1"/>
  <c r="K333" i="2"/>
  <c r="K324" i="2"/>
  <c r="K270" i="2"/>
  <c r="K209" i="2"/>
  <c r="K176" i="2"/>
  <c r="K62" i="2"/>
  <c r="K47" i="2"/>
  <c r="K282" i="2"/>
  <c r="K228" i="2"/>
  <c r="B40" i="3"/>
  <c r="C10" i="3"/>
  <c r="C11" i="3" s="1"/>
  <c r="K335" i="2"/>
  <c r="F338" i="2" l="1"/>
  <c r="C5" i="3" s="1"/>
  <c r="V337" i="2"/>
  <c r="H337" i="2" s="1"/>
  <c r="I337" i="2" s="1"/>
  <c r="Y337" i="2"/>
  <c r="Y340" i="2" s="1"/>
  <c r="X341" i="2" s="1"/>
  <c r="B27" i="3" l="1"/>
  <c r="J337" i="2"/>
  <c r="I338" i="2"/>
  <c r="K337" i="2"/>
  <c r="K338" i="2" s="1"/>
  <c r="C27" i="3" l="1"/>
  <c r="C6" i="3"/>
  <c r="C8" i="3" l="1"/>
  <c r="C7" i="3"/>
  <c r="C15" i="3" l="1"/>
  <c r="C12" i="3"/>
  <c r="C14" i="3" l="1"/>
  <c r="C19" i="3"/>
  <c r="C13" i="3"/>
  <c r="C20" i="3"/>
  <c r="C16" i="3" l="1"/>
  <c r="C22" i="3" s="1"/>
  <c r="C21" i="3"/>
  <c r="C24" i="3" l="1"/>
  <c r="X343" i="2" l="1"/>
  <c r="Y343" i="2"/>
</calcChain>
</file>

<file path=xl/sharedStrings.xml><?xml version="1.0" encoding="utf-8"?>
<sst xmlns="http://schemas.openxmlformats.org/spreadsheetml/2006/main" count="1117" uniqueCount="428">
  <si>
    <t>Název</t>
  </si>
  <si>
    <t>Hodnota</t>
  </si>
  <si>
    <t>Nadpis rekapitulace</t>
  </si>
  <si>
    <t>Seznam prací a dodávek elektrotechnických zařízení</t>
  </si>
  <si>
    <t>Akce</t>
  </si>
  <si>
    <t>PRODEJNA PRO DŮM A ZAHRADU,_x000D_
ULICE LOMSKÁ. LITVÍNOV</t>
  </si>
  <si>
    <t>Projekt</t>
  </si>
  <si>
    <t>D.1.4.3 Zařízení silnoproudé elektrotechniky</t>
  </si>
  <si>
    <t>Investor</t>
  </si>
  <si>
    <t>DEKINVEST, investiční fond s proměnným základním kapitálem, a.s. Tiskařská 257/10, 108 00 Praha 10</t>
  </si>
  <si>
    <t>Z. č.</t>
  </si>
  <si>
    <t>2017-24-05</t>
  </si>
  <si>
    <t>A. č.</t>
  </si>
  <si>
    <t>24438</t>
  </si>
  <si>
    <t>Smlouva</t>
  </si>
  <si>
    <t>Vypracoval</t>
  </si>
  <si>
    <t>Martin Zeman</t>
  </si>
  <si>
    <t>Kontroloval</t>
  </si>
  <si>
    <t>Datum</t>
  </si>
  <si>
    <t>10.4.2021</t>
  </si>
  <si>
    <t>Zpracovatel</t>
  </si>
  <si>
    <t>Martin Zeman, Zašovská 256, Valašské Meziříčí</t>
  </si>
  <si>
    <t>CÚ</t>
  </si>
  <si>
    <t>04/2021</t>
  </si>
  <si>
    <t>Poznámka</t>
  </si>
  <si>
    <t>Uvedené ceny jsou v Kč a nezahrnují DPH, pokud to není uvedeno.</t>
  </si>
  <si>
    <t/>
  </si>
  <si>
    <t>Doprava dodávek  (3,6) %</t>
  </si>
  <si>
    <t>3,60</t>
  </si>
  <si>
    <t>Přesun dodávek  (1) %</t>
  </si>
  <si>
    <t>1,00</t>
  </si>
  <si>
    <t>PPV  (1 nebo 6) %</t>
  </si>
  <si>
    <t>PPV zemních prací, nátěrů  (1) %</t>
  </si>
  <si>
    <t>0,00</t>
  </si>
  <si>
    <t>Dodavat. dokumentace  (1 - 1,5) %</t>
  </si>
  <si>
    <t>Rizika a pojištění  (1 - 1,5) %</t>
  </si>
  <si>
    <t>Opravy v záruce  (5 - 7) %</t>
  </si>
  <si>
    <t>GZS  (3,25 nebo 8,4) %</t>
  </si>
  <si>
    <t>Provozní vlivy  %</t>
  </si>
  <si>
    <t>Kompletační činnost - a</t>
  </si>
  <si>
    <t>Kompletační činnost - b</t>
  </si>
  <si>
    <t>0,952842</t>
  </si>
  <si>
    <t>Kompletační činnost - k1</t>
  </si>
  <si>
    <t>Kompletační činnost - k2</t>
  </si>
  <si>
    <t>Roční nárůst cen 1   %</t>
  </si>
  <si>
    <t>Roční nárůst cen 2   %</t>
  </si>
  <si>
    <t>1. sazba DPH %
- i pro přirážky rekapitulace</t>
  </si>
  <si>
    <t>21</t>
  </si>
  <si>
    <t>2. sazba DPH %</t>
  </si>
  <si>
    <t>15</t>
  </si>
  <si>
    <t>Procento PM % 1</t>
  </si>
  <si>
    <t>Procento PM % 2</t>
  </si>
  <si>
    <t>Mj</t>
  </si>
  <si>
    <t>Počet</t>
  </si>
  <si>
    <t>Materiál</t>
  </si>
  <si>
    <t>Materiál celkem</t>
  </si>
  <si>
    <t>Montáž</t>
  </si>
  <si>
    <t>Montáž celkem</t>
  </si>
  <si>
    <t>Cena</t>
  </si>
  <si>
    <t>Cena celkem</t>
  </si>
  <si>
    <t>Elektromontáže</t>
  </si>
  <si>
    <t>D.1.4.3 - Zařízení silnoproudé elektrotechniky</t>
  </si>
  <si>
    <t>Rozvaděče</t>
  </si>
  <si>
    <t>Skříňový rozvaděč RH, volně stojící, přívod zdola, vývody shora, prostorová rezerva 30%, dle revize č.1</t>
  </si>
  <si>
    <t>ks</t>
  </si>
  <si>
    <t>MONTÁŽ  ROZVADĚČŮ SKŘÍŇOVÝCH</t>
  </si>
  <si>
    <t xml:space="preserve"> do  300 kg</t>
  </si>
  <si>
    <t>Rozvaděče - celkem</t>
  </si>
  <si>
    <t>Svítidla</t>
  </si>
  <si>
    <t>POZNÁMKA: CENA SVÍTIDEL A PŘESNÉ POČTY NOSNÉHO SYSTÉMU BUDE UPŘESNĚNO FIRMOU THOME</t>
  </si>
  <si>
    <t>Svítidla hlavní + nouzová, Thome Lighting</t>
  </si>
  <si>
    <t>sada</t>
  </si>
  <si>
    <t>Montáž modulového osvětlovacího systému se zapojením vodičů, ked světelných zdrojů, délky</t>
  </si>
  <si>
    <t xml:space="preserve"> přes 1100 mm</t>
  </si>
  <si>
    <t>m</t>
  </si>
  <si>
    <t>Montáž svítidel LED se zapojením vodičů - Modulový systém, A, A2, A2/N13, A3/N13, AS2, AS2/N13</t>
  </si>
  <si>
    <t xml:space="preserve"> 1 zdroj</t>
  </si>
  <si>
    <t>Montáž LED svítidel se zapojením vodičů, vestavných - B, B+</t>
  </si>
  <si>
    <t>Montáž svítidel LED se zapojením vodičů - 600x600mm, D++, D+</t>
  </si>
  <si>
    <t>Montáž svítidel LED (DALI) se zapojením vodičů - 600x600mm, D1</t>
  </si>
  <si>
    <t>Montáž LED svítidel se zapojením vodičů průmyslových stropních přisazených, E5, F, F1, H</t>
  </si>
  <si>
    <t>Montáž svítidel výbojkových se zapojením vodičů, průmyslových nebo venkovních, V1</t>
  </si>
  <si>
    <t xml:space="preserve"> na třmen</t>
  </si>
  <si>
    <t>K - Nástěnné svítidlo Lucis Izar I LED 16W, l=600mm, bílá</t>
  </si>
  <si>
    <t>Montáž svítidel LED se zapojením vodičů - K</t>
  </si>
  <si>
    <t>Montáž LED svítidel se zapojením vodičů, vestavných - N6, N8</t>
  </si>
  <si>
    <t>Montáž LED svítidel se zapojením vodičů, přizazených - N1, N12</t>
  </si>
  <si>
    <t>Montáž LED svítidel se zapojením vodičů, přizazených, s pikrogramem - P1</t>
  </si>
  <si>
    <t>Svítidla - celkem</t>
  </si>
  <si>
    <t>Elektrické vytápění</t>
  </si>
  <si>
    <t>ELEKTRICKÝ PŘÍMOTOP</t>
  </si>
  <si>
    <t xml:space="preserve"> STIEBEL Konvektor nást. CWM 500 U</t>
  </si>
  <si>
    <t>8502200050</t>
  </si>
  <si>
    <t xml:space="preserve"> STIEBEL Konvektor nást. CWM 750 U</t>
  </si>
  <si>
    <t>8502200053</t>
  </si>
  <si>
    <t xml:space="preserve"> STIEBEL Konvektor nást. CWM 1000 U</t>
  </si>
  <si>
    <t>8502200054</t>
  </si>
  <si>
    <t>REGULÁTOR TEPLOTY</t>
  </si>
  <si>
    <t xml:space="preserve"> FENIX Termostat TFT dotykový podlah.sonda pro rohož</t>
  </si>
  <si>
    <t>8500193780</t>
  </si>
  <si>
    <t>TOPNÝ ŽEBŘÍK</t>
  </si>
  <si>
    <t xml:space="preserve"> FENIX Žebřík koupelnový rovný KD-E 750x1680mm; 900W</t>
  </si>
  <si>
    <t>8500196400</t>
  </si>
  <si>
    <t xml:space="preserve"> FENIX Termostat zásuvkový HT-600 programovatelný</t>
  </si>
  <si>
    <t>8500193770</t>
  </si>
  <si>
    <t xml:space="preserve"> FENIX Sada stěnových úchytů pro topné žebříky K(D)-E</t>
  </si>
  <si>
    <t>bal.</t>
  </si>
  <si>
    <t>8500194070</t>
  </si>
  <si>
    <t>Elektrické vytápění - celkem</t>
  </si>
  <si>
    <t>Zásuvky, spínače, krabice</t>
  </si>
  <si>
    <t>PARAPETNÍ, ZÁSUVKY, PROFIL 45, BARVA BÍLÁ</t>
  </si>
  <si>
    <t xml:space="preserve"> LEGRAND Zásuvka 1nás PO AS MOSAIC bílá</t>
  </si>
  <si>
    <t>8500202296</t>
  </si>
  <si>
    <t>PODLAHOVÉ KRABICE, ZÁSUVKY, PŘÍSLUŠENSTVÍ</t>
  </si>
  <si>
    <t xml:space="preserve"> LEGRAND Krabice podlahová uni 18M horizontální</t>
  </si>
  <si>
    <t>8500210049</t>
  </si>
  <si>
    <t xml:space="preserve"> LEGRAND Univerzální kryt 12/18M plastový</t>
  </si>
  <si>
    <t>8500210043</t>
  </si>
  <si>
    <t xml:space="preserve"> LEGRAND Krabice instalační do betonu 12/18M plast</t>
  </si>
  <si>
    <t>8501510980</t>
  </si>
  <si>
    <t xml:space="preserve"> LEGRAND Zásuvka 1nás AS MOSAIC bílá</t>
  </si>
  <si>
    <t>8500224930</t>
  </si>
  <si>
    <t>ZÁSUVKA, HAGER, IP20, BARVA ANTRACIT MAT, DVOJNÁSOBNÁ</t>
  </si>
  <si>
    <t xml:space="preserve"> Strojek zásuvky 16A 250V BERKER bezšr.</t>
  </si>
  <si>
    <t>8500303216</t>
  </si>
  <si>
    <t xml:space="preserve"> Rámeček 2nás BERKER S.1 antracit mat</t>
  </si>
  <si>
    <t>8500700642</t>
  </si>
  <si>
    <t xml:space="preserve"> Cent.díl pro zásuvku zem.kolík BERKER S.1/B.x antracit mat</t>
  </si>
  <si>
    <t>8500303308</t>
  </si>
  <si>
    <t>ZÁSUVKA, HAGER, IP20, BARVA BÍLÁ/LESK, JEDNONÁSOBNÁ</t>
  </si>
  <si>
    <t xml:space="preserve"> Rámeček 1nás BERKER S1 bílá/lesk</t>
  </si>
  <si>
    <t>8500303230</t>
  </si>
  <si>
    <t xml:space="preserve"> Cent.díl pro zásuvku zem.kolík BERKER S.1/B.x bílá/lesk</t>
  </si>
  <si>
    <t>8500303306</t>
  </si>
  <si>
    <t>ZÁSUVKA, HAGER, IP20, BARVA BÍLÁ/LESK, JEDNONÁSOBNÁ, PŘEP. OCHRANA</t>
  </si>
  <si>
    <t xml:space="preserve"> 3965768999SP Zásuvka se zemnícím kolíkem + SP</t>
  </si>
  <si>
    <t>8500700980</t>
  </si>
  <si>
    <t>ZÁSUVKA, HAGER, IP20, BARVA BÍLÁ/LESK, DVOJNÁSOBNÁ</t>
  </si>
  <si>
    <t xml:space="preserve"> Rámeček 2nás BERKER S1 bílá/lesk</t>
  </si>
  <si>
    <t>8500303231</t>
  </si>
  <si>
    <t>ZÁSUVKA, HAGER, IP20, BARVA ANTRACIT/SAMET, JEDNONÁSOBNÁ</t>
  </si>
  <si>
    <t>8500303251</t>
  </si>
  <si>
    <t>ZÁSUVKA, HAGER, IP20, BARVA BÍLÁ/SAMET, JEDNONÁSOBNÁ</t>
  </si>
  <si>
    <t xml:space="preserve"> Rámeček 1nás BERKER Q.3 bílá/samet</t>
  </si>
  <si>
    <t>8500303252</t>
  </si>
  <si>
    <t xml:space="preserve"> Cent.díl pro zásuvku BERKER Q.x bílá/samet</t>
  </si>
  <si>
    <t>8500303274</t>
  </si>
  <si>
    <t>ZÁSUVKA, HAGER, IP20, BARVA BÍLÁ/SAMET, DVOJNÁSOBNÁ</t>
  </si>
  <si>
    <t xml:space="preserve"> Rámeček 2nás BERKER Q.3 bílá/samet</t>
  </si>
  <si>
    <t>8500303254</t>
  </si>
  <si>
    <t>ZÁSUVKA ZAPUŠTĚNÁ, HAGER, IP44, BARVA BÍLÁ/LESK, JEDNONÁSOBNÁ</t>
  </si>
  <si>
    <t xml:space="preserve"> Zásuvka se zemnícím kolíkem a víčkem, IP44, Lumina, bílá lesk</t>
  </si>
  <si>
    <t xml:space="preserve">  Rámeček 1nás BERKER S1 bílá/lesk</t>
  </si>
  <si>
    <t xml:space="preserve"> Těsnící sada pro zásuvky WL7023</t>
  </si>
  <si>
    <t>ZÁSUVKA NÁSTĚNNÁ S VYŠŠÍM KRYTÍM</t>
  </si>
  <si>
    <t xml:space="preserve"> FAMATEL Zásuvka 1nás+víčko GALATEA bílá IP44, 5321-02</t>
  </si>
  <si>
    <t>8500231129</t>
  </si>
  <si>
    <t>ZÁSUVKA, PŘÍVODKA PRŮMYSLOVÁ, 400V, SEZ-CZ</t>
  </si>
  <si>
    <t xml:space="preserve"> Nástěnná přívodka IP67, 32A, 5-pól</t>
  </si>
  <si>
    <t>8500460390</t>
  </si>
  <si>
    <t xml:space="preserve"> Nástěnná zásuvka bezšroubová IP44,16A,5-pól</t>
  </si>
  <si>
    <t>8500060580</t>
  </si>
  <si>
    <t>ZÁSUVKA PRŮMYSLOVÁ, 400V, HENSEL</t>
  </si>
  <si>
    <t xml:space="preserve"> HENSEL Zásuvka vestavná 16A 5P 400V CEPEX IP44, včetně krabice</t>
  </si>
  <si>
    <t>8501200205</t>
  </si>
  <si>
    <t>ZÁSUVKOVÉ SKŘÍNĚ</t>
  </si>
  <si>
    <t xml:space="preserve"> SCAME Rozvodnice BLOCK4 4x zásuvka 2x230V;chránič, Typ: 632.3122-111F2, Zásuvky: 1x 400V/32A/5p, 1x 400V/16A/5p, 2x 230V/16A, Jištění PL6 (6kA): 1x C25/3, 1x C16/3, 1x B16/1, 1x FI40/4/003 (centrální FI), Krytí IP54, In 32A, svorky pro kabel do 5x 10mm2 b</t>
  </si>
  <si>
    <t>8500162682</t>
  </si>
  <si>
    <t>STMÍVAČ, HAGER, IP20, BARVA BÍLÁ/SAMET</t>
  </si>
  <si>
    <t xml:space="preserve"> Otočný potenciometr DALI s řízením barvy a integr. síťovým napájecím zdrojem</t>
  </si>
  <si>
    <t>8500700860</t>
  </si>
  <si>
    <t xml:space="preserve"> Cent.díl pro ot.stmívač BERKER Q.x bílá/samet</t>
  </si>
  <si>
    <t>8500303234</t>
  </si>
  <si>
    <t>POHYBOVÝ SPÍNAČ AUTOMATICKÝ, ZAPUŠTĚNÝ, IP20, BARVA BÍLÁ</t>
  </si>
  <si>
    <t xml:space="preserve"> PANLUX SENSOR PIR vestavné stropní pohybové čidlo 360°, bílá, SL2502/B</t>
  </si>
  <si>
    <t>POHYBOVÝ SPÍNAČ AUTOMATICKÝ, KOMPLETNÍ, IP44, BARVA BÍLÁ</t>
  </si>
  <si>
    <t xml:space="preserve"> BEG BRÜCK Pohyb.senzor LC-Click 200° bílý</t>
  </si>
  <si>
    <t>8500084781</t>
  </si>
  <si>
    <t>SPÍNAČ, PŘEPÍNAČ, HAGER, IP20, BARVA BÍLÁ/LESK, ŘAZENÍ Č.1</t>
  </si>
  <si>
    <t xml:space="preserve"> Vypínač kolébkový ř1 10AX 250V BERKER</t>
  </si>
  <si>
    <t>8500303200</t>
  </si>
  <si>
    <t xml:space="preserve"> Kolébka BERKER S1/B bílá/lesk</t>
  </si>
  <si>
    <t>8500303202</t>
  </si>
  <si>
    <t>SPÍNAČ, HAGER, IP20, BARVA BÍLÁ/LESK, ŘAZENÍ Č.6</t>
  </si>
  <si>
    <t xml:space="preserve">  Vypínač kolébkový ř6 10AX 250V BERKER</t>
  </si>
  <si>
    <t>8500303208</t>
  </si>
  <si>
    <t>SPÍNAČ, HAGER, IP20, BARVA BÍLÁ/LESK, ŘAZENÍ Č.6, DOUTNAVKA</t>
  </si>
  <si>
    <t xml:space="preserve"> Kolébka s průzorem, Berker S.1/B.x, bílá</t>
  </si>
  <si>
    <t>8500700990</t>
  </si>
  <si>
    <t>8500700711</t>
  </si>
  <si>
    <t>TLAČÍTKO, HAGER, IP20, BARVA BÍLÁ/LESK, ŘAZENÍ Č.1/0</t>
  </si>
  <si>
    <t xml:space="preserve"> Tlačítko kolébk. ř1/0 10A 250V BERKER bezšr.</t>
  </si>
  <si>
    <t>8500303214</t>
  </si>
  <si>
    <t>SPÍNAČ, HAGER, IP44, BARVA BÍLÁ/LESK, ŘAZENÍ Č.5</t>
  </si>
  <si>
    <t xml:space="preserve"> Vypínač kolébkový ř5 10AX 250V BERKER</t>
  </si>
  <si>
    <t>8500303204</t>
  </si>
  <si>
    <t xml:space="preserve"> Kolébka dělená BERKER S1/B bílá/lesk</t>
  </si>
  <si>
    <t>8500303206</t>
  </si>
  <si>
    <t xml:space="preserve"> Těsnící sada pro 1nás. rámeček Berker S.1</t>
  </si>
  <si>
    <t>8500302099</t>
  </si>
  <si>
    <t>SPÍNAČ, HAGER, IP44, BARVA BÍLÁ/LESK, ŘAZENÍ Č.6 (1)</t>
  </si>
  <si>
    <t xml:space="preserve"> Vypínač kolébkový ř6 10AX 250V BERKER</t>
  </si>
  <si>
    <t>TLAČÍTKO, HAGER, IP44, BARVA BÍLÁ/LESK, ŘAZENÍ Č.7</t>
  </si>
  <si>
    <t xml:space="preserve"> 5336-02 GALATEA, Tlačítko symbol "světlo" č.1/0</t>
  </si>
  <si>
    <t>8500070200</t>
  </si>
  <si>
    <t>SADA PRO NOUZOVOU SIGNALIZACI, EATON, IP20, BARVA BÍLÁ</t>
  </si>
  <si>
    <t xml:space="preserve"> TYP: CFEAPULLKIT - Asist.systém na WC pro invalidy zdroj+indikátor</t>
  </si>
  <si>
    <t>8500050160</t>
  </si>
  <si>
    <t>STOP TLAČÍTKO PROSKLENNÉ, (CENTRAL/TOTAL STOP), IP55, BARVA ČERVENÁ</t>
  </si>
  <si>
    <t xml:space="preserve"> GEWISS Nouz.tlačítko požární osvětlené, IP55 - červené</t>
  </si>
  <si>
    <t>8501510100</t>
  </si>
  <si>
    <t>SPÍNAČ, HAGER, IP20, BARVA BÍLÁ/SAMET, ŘAZENÍ Č.1</t>
  </si>
  <si>
    <t xml:space="preserve"> Kolébka BERKER Q.x bílá/samet</t>
  </si>
  <si>
    <t>8500303268</t>
  </si>
  <si>
    <t>SPORÁKOVA PŘÍPOJKA  3-PÓLOVÁ ZAPUŠTĚNÁ</t>
  </si>
  <si>
    <t xml:space="preserve"> ABB Spínač 3pól kryt+krabice TANGO bílá (6ks/bal)</t>
  </si>
  <si>
    <t>8500176080</t>
  </si>
  <si>
    <t>ZÁSUVKA KOMPLETNÍ, S RÁMEČKEM, IP20, BARVA BÍLÁ/LESK, USB port</t>
  </si>
  <si>
    <t xml:space="preserve"> Zásuvka nabíjecí USB 230V 2nás 3A BERKER bílá mat</t>
  </si>
  <si>
    <t>8500303321</t>
  </si>
  <si>
    <t xml:space="preserve"> Cent.díl pro dat. a reprodukt. zásuvku BERKER S.1/B.x bílá/lesk</t>
  </si>
  <si>
    <t>8500303372</t>
  </si>
  <si>
    <t>INSTALAČNÍ KRABICE</t>
  </si>
  <si>
    <t xml:space="preserve"> HENSEL Krabicová rozvodka IP66, svorkov. do 2,5mm2</t>
  </si>
  <si>
    <t>8501200200</t>
  </si>
  <si>
    <t>HAGER Krabice pro nástěnou montáž</t>
  </si>
  <si>
    <t>Zásuvky, spínače, krabice - celkem</t>
  </si>
  <si>
    <t>Ovládací skříně</t>
  </si>
  <si>
    <t>Ovládací plastová skříň s tlačítky pro ovládání el. vrat. Přesný počet ovládacích tlačítek bude upřesněn firmou dodávající el. vrata</t>
  </si>
  <si>
    <t>Ovládací skříně - celkem</t>
  </si>
  <si>
    <t>Kabely</t>
  </si>
  <si>
    <t>KABEL SILOVÝ,IZOLACE PVC</t>
  </si>
  <si>
    <t>CYKY-J 3x1.5</t>
  </si>
  <si>
    <t>CYKY-J 3x2.5</t>
  </si>
  <si>
    <t>CYKY-J 5x1.5</t>
  </si>
  <si>
    <t>CYKY-J 5x2.5</t>
  </si>
  <si>
    <t>CYKY-J 5x4</t>
  </si>
  <si>
    <t>CYKY-J 5x6</t>
  </si>
  <si>
    <t>CYKY-J 5x10</t>
  </si>
  <si>
    <t>CYKY-J 5x16</t>
  </si>
  <si>
    <t>KABEL STÍNĚNÝ</t>
  </si>
  <si>
    <t>FTP 4P, kabel je pro propojení el. vrat s centrálním ovládáním. Přesný typ bude upřesněn firmou dodávající el. vrata.</t>
  </si>
  <si>
    <t>KABEL SE SNÍŽENOU HOŘLAVOSTÍ, S FUNKČNÍ SCHOPNOSTÍ PŘI POŽÁRU, TŘÍDA REAKCE NA OHEŇ - B2 ca, s1, d0</t>
  </si>
  <si>
    <t>1-CXKH-V-J 4x1.5</t>
  </si>
  <si>
    <t>CYKY-O 2x1.5</t>
  </si>
  <si>
    <t>CYKY-O 3x1.5</t>
  </si>
  <si>
    <t>CYKY-O 5x1.5</t>
  </si>
  <si>
    <t>VODIČ JEDNOŽILOVÝ, IZOLACE PVC</t>
  </si>
  <si>
    <t>H07V-K 25</t>
  </si>
  <si>
    <t>H07V-K 4</t>
  </si>
  <si>
    <t>H07V-K 10</t>
  </si>
  <si>
    <t>H07V-K 6</t>
  </si>
  <si>
    <t>Kabely - celkem</t>
  </si>
  <si>
    <t>Ukončení vodičů</t>
  </si>
  <si>
    <t>Ukončení vodičů izolovaných s označením a zapojením na svorkovnici s otevřením a uzavřením krytu</t>
  </si>
  <si>
    <t xml:space="preserve"> do 2,5 mm2</t>
  </si>
  <si>
    <t xml:space="preserve"> 4 mm2</t>
  </si>
  <si>
    <t xml:space="preserve"> 6 mm2</t>
  </si>
  <si>
    <t xml:space="preserve"> 10 mm2</t>
  </si>
  <si>
    <t xml:space="preserve"> 16 mm2</t>
  </si>
  <si>
    <t>UKONČENÍ KABELŮ SMRŠŤOVACÍ</t>
  </si>
  <si>
    <t>ZÁKLOPKOU DO</t>
  </si>
  <si>
    <t xml:space="preserve"> 4x10 mm2</t>
  </si>
  <si>
    <t xml:space="preserve"> 4x 16mm2</t>
  </si>
  <si>
    <t>Štítky, označení kabelů, stahovací pásky a ostatní</t>
  </si>
  <si>
    <t>klp</t>
  </si>
  <si>
    <t>Vývody, Zapojení</t>
  </si>
  <si>
    <t xml:space="preserve"> Jednofázový vývod 230V, 3 žíly</t>
  </si>
  <si>
    <t xml:space="preserve"> Trojfázový vývod 400V, 5 žíl</t>
  </si>
  <si>
    <t>Ukončení vodičů - celkem</t>
  </si>
  <si>
    <t>Kabelové trasy, nosné konstrukce</t>
  </si>
  <si>
    <t>PK 110X65 D_HD KANÁL PARAPETNÍ DUTÝ, VČETNĚ PŘÍSLUŠENSTVÍ</t>
  </si>
  <si>
    <t>KABELOVÝ ŽLAB PLECHOVÝ</t>
  </si>
  <si>
    <t>DÉLKA 2 M VČETNĚ SPOJEK</t>
  </si>
  <si>
    <t>A SPOJOVACÍHO MAT.</t>
  </si>
  <si>
    <t>40/20 žlab s víkem</t>
  </si>
  <si>
    <t>DÉLKA 3 M VČETNĚ SPOJEK</t>
  </si>
  <si>
    <t>125/50 žlab s víkem</t>
  </si>
  <si>
    <t>250/100 žlab s víkem</t>
  </si>
  <si>
    <t>500/100 žlab s víkem</t>
  </si>
  <si>
    <t>PŘÍSLUŠENSTVÍ  KABELOVÝCH</t>
  </si>
  <si>
    <t>ŽLABŮ PLECHOVÝCH</t>
  </si>
  <si>
    <t xml:space="preserve"> nosník žlabu 40</t>
  </si>
  <si>
    <t xml:space="preserve"> nosník zlabu 125</t>
  </si>
  <si>
    <t xml:space="preserve"> nosník žlabu 250</t>
  </si>
  <si>
    <t xml:space="preserve"> nosník žlabu 500</t>
  </si>
  <si>
    <t>1436/1 TRUBKA OHEBNÁ - MONOFLEX</t>
  </si>
  <si>
    <t>1520 TRUBKA TUHÁ PVC 320N délka 3 m barva světle šedá</t>
  </si>
  <si>
    <t>1525 TRUBKA TUHÁ PVC 320N délka 3 m barva světle šedá</t>
  </si>
  <si>
    <t>1532 TRUBKA TUHÁ PVC 320N délka 3 m barva světle šedá</t>
  </si>
  <si>
    <t>TRUBKA OCELOVÁ  ŽÁROVĚ ZINKOVANÁ</t>
  </si>
  <si>
    <t>6040 ZN d 40mm</t>
  </si>
  <si>
    <t>OHEBNÁ CHRÁNIČKA KOPOFLEX</t>
  </si>
  <si>
    <t>KF09160 světlost 136mm</t>
  </si>
  <si>
    <t>KF09110 světlost 94mm</t>
  </si>
  <si>
    <t>SB 6.3X45 ŠROUB DO BETONU</t>
  </si>
  <si>
    <t>5225 PŘÍCHYTKA TYP OMEGA, pro požární kabelové trasy</t>
  </si>
  <si>
    <t>OCEL.NOSNÉ KONSTR.PRO PŘÍSTR., do 10kg</t>
  </si>
  <si>
    <t>LANO OCELOVÉ POZINKOVANÉ</t>
  </si>
  <si>
    <t>D 2.5mm</t>
  </si>
  <si>
    <t>Svěrka lanová</t>
  </si>
  <si>
    <t>PRŮRAZ CIHLOVÝM ZDIVEM</t>
  </si>
  <si>
    <t xml:space="preserve"> O tloušťce 15cm</t>
  </si>
  <si>
    <t xml:space="preserve"> O tloušťce 30cm</t>
  </si>
  <si>
    <t>PRŮRAZ BETONOVOU ZDÍ</t>
  </si>
  <si>
    <t xml:space="preserve"> O tloušťce 45cm</t>
  </si>
  <si>
    <t>Kabelové trasy, nosné konstrukce - celkem</t>
  </si>
  <si>
    <t>Protipožární zabezpečení</t>
  </si>
  <si>
    <t>PROTIPOŽÁRNÍ PŘEPÁŽKY</t>
  </si>
  <si>
    <t xml:space="preserve"> Protip.průchod stropem t 20cm</t>
  </si>
  <si>
    <t>m2</t>
  </si>
  <si>
    <t xml:space="preserve"> Protip.průchod stěnou t 15cm</t>
  </si>
  <si>
    <t xml:space="preserve"> Protip.průchod stěnou t 30cm</t>
  </si>
  <si>
    <t>CP 673 Protipožární nátěr 6kg</t>
  </si>
  <si>
    <t>Minerální vata</t>
  </si>
  <si>
    <t>Montáž a vyplnění štítku požár. uzávěru</t>
  </si>
  <si>
    <t>Protipožární zabezpečení - celkem</t>
  </si>
  <si>
    <t>Hromosvod</t>
  </si>
  <si>
    <t>Ocelová tyč Fe 60/5, délka 6m, váha 2,36kg/m</t>
  </si>
  <si>
    <t>Nátěr zemnícího pásku, asfalt</t>
  </si>
  <si>
    <t>H07V-K 50  mm2 , pevně</t>
  </si>
  <si>
    <t>H07V-K 70  mm2 , pevně</t>
  </si>
  <si>
    <t xml:space="preserve"> Vodič AlMgSi Rd 8 polotvrdý</t>
  </si>
  <si>
    <t>JÍMACÍ TYČ A OCHRANNÁ TRUBKA, VČETNĚ PŘÍSLUŠENSTVÍ</t>
  </si>
  <si>
    <t>JR 1,0 AlMgSi s rovným koncem, L 1000mm</t>
  </si>
  <si>
    <t>JR 2,0 AlMgSi s rovným koncem, L 2000mm</t>
  </si>
  <si>
    <t>ODDÁLENÝ HROMOSVOD</t>
  </si>
  <si>
    <t>PB9 podstavec betonový 9kg</t>
  </si>
  <si>
    <t>Podl. PB9 podložka gumová</t>
  </si>
  <si>
    <t>ITJc 43 izolační tyč pro jímací tyč 430mm</t>
  </si>
  <si>
    <t>DOHT 6 držák oddáleného hromosvodu na trubku 2"</t>
  </si>
  <si>
    <t>PODPĚRA VEDENÍ</t>
  </si>
  <si>
    <t>PV21c na ploché střechy, plast se štěrkovou výplní ø 144mm</t>
  </si>
  <si>
    <t>297 110 Podpěra vedení s lepícím páskem DEHNsnap</t>
  </si>
  <si>
    <t>SVORKA HROMOSVODNÍ,UZEMŇOVACÍ</t>
  </si>
  <si>
    <t>SZ zkušební</t>
  </si>
  <si>
    <t>SJ k jímací tyči</t>
  </si>
  <si>
    <t>SS spojovací</t>
  </si>
  <si>
    <t>SP připojovací</t>
  </si>
  <si>
    <t>SK křížová</t>
  </si>
  <si>
    <t>SR 3 svorka páska-drát</t>
  </si>
  <si>
    <t>ZSA16 zemnicí svorka na potrubí</t>
  </si>
  <si>
    <t>Cu pás.ZSA16 Pásek uzemňovací Cu, 0.5m</t>
  </si>
  <si>
    <t>Štítek uzemnění</t>
  </si>
  <si>
    <t>Kabelové oko lisovací CU50</t>
  </si>
  <si>
    <t>Kabelové oko lisovací CU70</t>
  </si>
  <si>
    <t>Betonový prefabrikát 100x100x50, po 1m</t>
  </si>
  <si>
    <t>Betonová zálivka B20, 300x120mm</t>
  </si>
  <si>
    <t>MONTÁŽNÍ PRÁCE</t>
  </si>
  <si>
    <t>Tvarování mont.dílu</t>
  </si>
  <si>
    <t>Napojení svárem délky 10cm</t>
  </si>
  <si>
    <t>Měření zemních odporů, zemnící sítě délky pásu přes 500 do 1000m</t>
  </si>
  <si>
    <t>Způsob připojení uzemňovacíh bodů č.1, viz. výkres uzemnění</t>
  </si>
  <si>
    <t>Způsob připojení uzemňovacíh bodů č.2, viz. výkres uzemnění</t>
  </si>
  <si>
    <t>Hromosvod - celkem</t>
  </si>
  <si>
    <t>Revize</t>
  </si>
  <si>
    <t>Zkoušky a prohlídky elektrických rozvodů a zařízení celková prohlídka a vyhotovení revizní zprávy pro objem montážních prací</t>
  </si>
  <si>
    <t xml:space="preserve"> přes 100 do 500 tis.Kč</t>
  </si>
  <si>
    <t>Zkoušky a prohlídky elektrických rozvodů a zařízení celková prohlídka a vyhotovení revizní zprávy, příplatek k ceně</t>
  </si>
  <si>
    <t xml:space="preserve"> za každých  dalších i zap.500 tis.Kč</t>
  </si>
  <si>
    <t>Revize - celkem</t>
  </si>
  <si>
    <t>D.1.4.3 - Zařízení silnoproudé elektrotechniky_x000D_
 - celkem</t>
  </si>
  <si>
    <t>Podružný materiál</t>
  </si>
  <si>
    <t>Elektromontáže - celkem</t>
  </si>
  <si>
    <t>Zemní práce</t>
  </si>
  <si>
    <t>HLOUBENÍ KABELOVÉ RÝHY</t>
  </si>
  <si>
    <t xml:space="preserve"> Zemina třídy 3, šíře 600mm,hloubka 1000mm</t>
  </si>
  <si>
    <t>ZÁHOZ KABELOVÉ RÝHY</t>
  </si>
  <si>
    <t>Zemní práce - celkem</t>
  </si>
  <si>
    <t>Hodnota A</t>
  </si>
  <si>
    <t>Hodnota B</t>
  </si>
  <si>
    <t>Základní náklady</t>
  </si>
  <si>
    <t>Dodávka</t>
  </si>
  <si>
    <t>Doprava 3,60%, Přesun 1,00%</t>
  </si>
  <si>
    <t>Montáž - materiál</t>
  </si>
  <si>
    <t>Montáž - práce</t>
  </si>
  <si>
    <t>Mezisoučet 1</t>
  </si>
  <si>
    <t>PPV 1,00% z montáže: materiál + práce</t>
  </si>
  <si>
    <t>Nátěry</t>
  </si>
  <si>
    <t>PPV 0,00% z nátěrů a zemních prací</t>
  </si>
  <si>
    <t>Mezisoučet 2</t>
  </si>
  <si>
    <t>Dodav. dokumentace 0,00% z mezisoučtu 2</t>
  </si>
  <si>
    <t>Rizika a pojištění 0,00% z mezisoučtu 2</t>
  </si>
  <si>
    <t>Opravy v záruce 0,00% z mezisoučtu 1</t>
  </si>
  <si>
    <t>Základní náklady celkem</t>
  </si>
  <si>
    <t>Vedlejší náklady</t>
  </si>
  <si>
    <t>GZS 0,00% z pravé strany mezisoučtu 2</t>
  </si>
  <si>
    <t>Provozní vlivy 0,00% z pravé strany mezisoučtu 2</t>
  </si>
  <si>
    <t>Vedlejší náklady celkem</t>
  </si>
  <si>
    <t>Kompletační činnost</t>
  </si>
  <si>
    <t>Náklady celkem bez DPH</t>
  </si>
  <si>
    <t>Součty odstavců</t>
  </si>
  <si>
    <t xml:space="preserve">  D.1.4.3 - Zařízení silnoproudé elektrotechniky</t>
  </si>
  <si>
    <t xml:space="preserve">    Rozvaděče</t>
  </si>
  <si>
    <t xml:space="preserve">    Svítidla</t>
  </si>
  <si>
    <t xml:space="preserve">    Elektrické vytápění</t>
  </si>
  <si>
    <t xml:space="preserve">    Zásuvky, spínače, krabice</t>
  </si>
  <si>
    <t xml:space="preserve">    Ovládací skříně</t>
  </si>
  <si>
    <t xml:space="preserve">    Kabely</t>
  </si>
  <si>
    <t xml:space="preserve">    Ukončení vodičů</t>
  </si>
  <si>
    <t xml:space="preserve">    Kabelové trasy, nosné konstrukce</t>
  </si>
  <si>
    <t xml:space="preserve">    Protipožární zabezpečení</t>
  </si>
  <si>
    <t xml:space="preserve">    Hromosvod</t>
  </si>
  <si>
    <t xml:space="preserve">    Revize</t>
  </si>
  <si>
    <t>Položka DEK</t>
  </si>
  <si>
    <t>Revize č.2: 28.12.2024 - položka označené červeně</t>
  </si>
  <si>
    <t>Nástěnný rozvaděč R1, prostorová rezerva 30%,</t>
  </si>
  <si>
    <t>MONTÁŽ ROZVODNIC</t>
  </si>
  <si>
    <t xml:space="preserve"> do  50 kg</t>
  </si>
  <si>
    <t>Dodávka "A"</t>
  </si>
  <si>
    <t>Koeficient</t>
  </si>
  <si>
    <t>Dodávka "C"</t>
  </si>
  <si>
    <t>Montáž "A"</t>
  </si>
  <si>
    <t>Montáž "C"</t>
  </si>
  <si>
    <t>doplněny 2 ks</t>
  </si>
  <si>
    <t>není potřeba</t>
  </si>
  <si>
    <t>HAGER Cent.díl pro zásuvku BERKER Q.x antracit/samet</t>
  </si>
  <si>
    <r>
      <t xml:space="preserve"> Rámeček</t>
    </r>
    <r>
      <rPr>
        <sz val="8"/>
        <color theme="1"/>
        <rFont val="慔潨慭"/>
        <charset val="238"/>
      </rPr>
      <t xml:space="preserve"> </t>
    </r>
    <r>
      <rPr>
        <strike/>
        <sz val="8"/>
        <color theme="1"/>
        <rFont val="慔潨慭"/>
        <charset val="238"/>
      </rPr>
      <t>1</t>
    </r>
    <r>
      <rPr>
        <sz val="8"/>
        <color theme="1"/>
        <rFont val="慔潨慭"/>
        <charset val="238"/>
      </rPr>
      <t xml:space="preserve">  2 </t>
    </r>
    <r>
      <rPr>
        <sz val="8"/>
        <color rgb="FFFF0000"/>
        <rFont val="慔潨慭"/>
        <charset val="238"/>
      </rPr>
      <t>nás BERKER Q.3 antracit/samet</t>
    </r>
  </si>
  <si>
    <r>
      <rPr>
        <sz val="8"/>
        <color rgb="FFFF0000"/>
        <rFont val="慔潨慭"/>
        <charset val="238"/>
      </rPr>
      <t xml:space="preserve">  Rámeček 1nás</t>
    </r>
    <r>
      <rPr>
        <sz val="8"/>
        <color theme="1"/>
        <rFont val="慔潨慭"/>
        <charset val="238"/>
      </rPr>
      <t xml:space="preserve"> </t>
    </r>
    <r>
      <rPr>
        <strike/>
        <sz val="8"/>
        <color theme="1"/>
        <rFont val="慔潨慭"/>
        <charset val="238"/>
      </rPr>
      <t xml:space="preserve">BERKER S1 bílá/lesk </t>
    </r>
    <r>
      <rPr>
        <sz val="8"/>
        <color theme="1"/>
        <rFont val="慔潨慭"/>
        <charset val="238"/>
      </rPr>
      <t xml:space="preserve"> LUMINA INTENSE bílá</t>
    </r>
  </si>
  <si>
    <r>
      <t xml:space="preserve"> Doutnavka 0,4mA, 230VAC, s N-svorkou, Berker, </t>
    </r>
    <r>
      <rPr>
        <strike/>
        <sz val="8"/>
        <color rgb="FFFF0000"/>
        <rFont val="慔潨慭"/>
        <charset val="238"/>
      </rPr>
      <t xml:space="preserve">šedá </t>
    </r>
    <r>
      <rPr>
        <sz val="8"/>
        <rFont val="慔潨慭"/>
        <charset val="238"/>
      </rPr>
      <t>bílá</t>
    </r>
  </si>
  <si>
    <t>upraveno</t>
  </si>
  <si>
    <r>
      <t xml:space="preserve"> Kryt, jednoduchý, na omítku, B.3, bílá mat  </t>
    </r>
    <r>
      <rPr>
        <sz val="8"/>
        <color theme="1"/>
        <rFont val="慔潨慭"/>
        <charset val="238"/>
      </rPr>
      <t xml:space="preserve"> Krabice, 1-násobná na omítku, Berker S.1</t>
    </r>
  </si>
  <si>
    <r>
      <t xml:space="preserve"> Kryt, dvojitý, svislý, na omítku, B.3, antracit mat  </t>
    </r>
    <r>
      <rPr>
        <sz val="8"/>
        <color theme="1"/>
        <rFont val="慔潨慭"/>
        <charset val="238"/>
      </rPr>
      <t>Krabice, 2-násobná na omítku, Berker S.1</t>
    </r>
  </si>
  <si>
    <t>dodávka dodavatele vrat</t>
  </si>
  <si>
    <t>není předmětem CN Stratera</t>
  </si>
  <si>
    <t>ověřit cenu</t>
  </si>
  <si>
    <t>v ceně podstavce</t>
  </si>
  <si>
    <t>cca 10m3- není předmětem CN Stratera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</si>
</sst>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K_č_-;\-* #,##0.00\ _K_č_-;_-* &quot;-&quot;??\ _K_č_-;_-@_-"/>
  </numFmts>
  <fonts count="23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color rgb="FF000000"/>
      <name val="慔潨慭"/>
      <charset val="238"/>
    </font>
    <font>
      <b/>
      <sz val="11"/>
      <color rgb="FF000000"/>
      <name val="慔潨慭"/>
      <charset val="238"/>
    </font>
    <font>
      <b/>
      <sz val="9"/>
      <color rgb="FF000000"/>
      <name val="慔潨慭"/>
      <charset val="238"/>
    </font>
    <font>
      <b/>
      <sz val="9"/>
      <color rgb="FFFF0000"/>
      <name val="慔潨慭"/>
      <charset val="238"/>
    </font>
    <font>
      <b/>
      <sz val="8"/>
      <color rgb="FF000000"/>
      <name val="慔潨慭"/>
      <charset val="238"/>
    </font>
    <font>
      <b/>
      <sz val="8"/>
      <color rgb="FFFF0000"/>
      <name val="慔潨慭"/>
      <charset val="238"/>
    </font>
    <font>
      <i/>
      <sz val="9"/>
      <color rgb="FF000000"/>
      <name val="慔潨慭"/>
      <charset val="238"/>
    </font>
    <font>
      <i/>
      <sz val="9"/>
      <color rgb="FFFF0000"/>
      <name val="慔潨慭"/>
      <charset val="238"/>
    </font>
    <font>
      <sz val="8"/>
      <color rgb="FFFF0000"/>
      <name val="慔潨慭"/>
      <charset val="238"/>
    </font>
    <font>
      <sz val="11"/>
      <color rgb="FFFF0000"/>
      <name val="Calibri"/>
      <family val="2"/>
      <charset val="238"/>
      <scheme val="minor"/>
    </font>
    <font>
      <sz val="10"/>
      <name val="Arial CE"/>
      <charset val="238"/>
    </font>
    <font>
      <sz val="8"/>
      <color rgb="FF000000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8"/>
      <name val="慔潨慭"/>
      <charset val="238"/>
    </font>
    <font>
      <sz val="12"/>
      <color rgb="FFFF0000"/>
      <name val="Calibri"/>
      <family val="2"/>
      <charset val="238"/>
      <scheme val="minor"/>
    </font>
    <font>
      <strike/>
      <sz val="8"/>
      <color rgb="FFFF0000"/>
      <name val="慔潨慭"/>
      <charset val="238"/>
    </font>
    <font>
      <sz val="8"/>
      <color theme="1"/>
      <name val="慔潨慭"/>
      <charset val="238"/>
    </font>
    <font>
      <strike/>
      <sz val="8"/>
      <color theme="1"/>
      <name val="慔潨慭"/>
      <charset val="238"/>
    </font>
    <font>
      <sz val="12"/>
      <color theme="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u val="singleAccounting"/>
      <sz val="12"/>
      <color theme="1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4D0C8"/>
        <bgColor indexed="64"/>
      </patternFill>
    </fill>
    <fill>
      <patternFill patternType="solid">
        <fgColor rgb="FFBFEBFF"/>
        <bgColor indexed="64"/>
      </patternFill>
    </fill>
    <fill>
      <patternFill patternType="solid">
        <fgColor rgb="FFE0FE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AFF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5">
    <xf numFmtId="0" fontId="0" fillId="0" borderId="0"/>
    <xf numFmtId="0" fontId="12" fillId="0" borderId="0"/>
    <xf numFmtId="0" fontId="1" fillId="0" borderId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</cellStyleXfs>
  <cellXfs count="65">
    <xf numFmtId="0" fontId="0" fillId="0" borderId="0" xfId="0"/>
    <xf numFmtId="49" fontId="0" fillId="0" borderId="0" xfId="0" applyNumberFormat="1"/>
    <xf numFmtId="49" fontId="2" fillId="2" borderId="1" xfId="0" applyNumberFormat="1" applyFont="1" applyFill="1" applyBorder="1" applyAlignment="1">
      <alignment horizontal="left"/>
    </xf>
    <xf numFmtId="0" fontId="0" fillId="0" borderId="1" xfId="0" applyBorder="1"/>
    <xf numFmtId="49" fontId="3" fillId="3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1" xfId="0" applyNumberFormat="1" applyFont="1" applyFill="1" applyBorder="1" applyAlignment="1">
      <alignment horizontal="left"/>
    </xf>
    <xf numFmtId="49" fontId="5" fillId="4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49" fontId="6" fillId="6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4" fontId="0" fillId="0" borderId="0" xfId="0" applyNumberFormat="1"/>
    <xf numFmtId="4" fontId="2" fillId="2" borderId="1" xfId="0" applyNumberFormat="1" applyFont="1" applyFill="1" applyBorder="1" applyAlignment="1">
      <alignment horizontal="left"/>
    </xf>
    <xf numFmtId="4" fontId="2" fillId="5" borderId="1" xfId="0" applyNumberFormat="1" applyFont="1" applyFill="1" applyBorder="1" applyAlignment="1">
      <alignment horizontal="right"/>
    </xf>
    <xf numFmtId="4" fontId="3" fillId="3" borderId="1" xfId="0" applyNumberFormat="1" applyFont="1" applyFill="1" applyBorder="1" applyAlignment="1">
      <alignment horizontal="right"/>
    </xf>
    <xf numFmtId="4" fontId="4" fillId="4" borderId="1" xfId="0" applyNumberFormat="1" applyFont="1" applyFill="1" applyBorder="1" applyAlignment="1">
      <alignment horizontal="right"/>
    </xf>
    <xf numFmtId="4" fontId="6" fillId="6" borderId="1" xfId="0" applyNumberFormat="1" applyFont="1" applyFill="1" applyBorder="1" applyAlignment="1">
      <alignment horizontal="right"/>
    </xf>
    <xf numFmtId="49" fontId="7" fillId="5" borderId="1" xfId="0" applyNumberFormat="1" applyFont="1" applyFill="1" applyBorder="1" applyAlignment="1">
      <alignment horizontal="left"/>
    </xf>
    <xf numFmtId="4" fontId="7" fillId="5" borderId="1" xfId="0" applyNumberFormat="1" applyFont="1" applyFill="1" applyBorder="1" applyAlignment="1">
      <alignment horizontal="right"/>
    </xf>
    <xf numFmtId="49" fontId="8" fillId="7" borderId="1" xfId="0" applyNumberFormat="1" applyFont="1" applyFill="1" applyBorder="1" applyAlignment="1">
      <alignment horizontal="left"/>
    </xf>
    <xf numFmtId="4" fontId="8" fillId="7" borderId="1" xfId="0" applyNumberFormat="1" applyFont="1" applyFill="1" applyBorder="1" applyAlignment="1">
      <alignment horizontal="right"/>
    </xf>
    <xf numFmtId="49" fontId="4" fillId="4" borderId="1" xfId="0" applyNumberFormat="1" applyFont="1" applyFill="1" applyBorder="1" applyAlignment="1">
      <alignment horizontal="center"/>
    </xf>
    <xf numFmtId="49" fontId="9" fillId="7" borderId="1" xfId="0" applyNumberFormat="1" applyFont="1" applyFill="1" applyBorder="1" applyAlignment="1">
      <alignment horizontal="left"/>
    </xf>
    <xf numFmtId="4" fontId="9" fillId="7" borderId="1" xfId="0" applyNumberFormat="1" applyFont="1" applyFill="1" applyBorder="1" applyAlignment="1">
      <alignment horizontal="right"/>
    </xf>
    <xf numFmtId="49" fontId="10" fillId="5" borderId="1" xfId="0" applyNumberFormat="1" applyFont="1" applyFill="1" applyBorder="1" applyAlignment="1">
      <alignment horizontal="left"/>
    </xf>
    <xf numFmtId="4" fontId="10" fillId="5" borderId="1" xfId="0" applyNumberFormat="1" applyFont="1" applyFill="1" applyBorder="1" applyAlignment="1">
      <alignment horizontal="right"/>
    </xf>
    <xf numFmtId="4" fontId="10" fillId="5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49" fontId="6" fillId="6" borderId="1" xfId="0" applyNumberFormat="1" applyFont="1" applyFill="1" applyBorder="1" applyAlignment="1">
      <alignment horizontal="left" wrapText="1"/>
    </xf>
    <xf numFmtId="49" fontId="7" fillId="5" borderId="1" xfId="0" applyNumberFormat="1" applyFont="1" applyFill="1" applyBorder="1" applyAlignment="1">
      <alignment horizontal="left" wrapText="1"/>
    </xf>
    <xf numFmtId="49" fontId="8" fillId="7" borderId="1" xfId="0" applyNumberFormat="1" applyFont="1" applyFill="1" applyBorder="1" applyAlignment="1">
      <alignment horizontal="left" wrapText="1"/>
    </xf>
    <xf numFmtId="49" fontId="9" fillId="7" borderId="1" xfId="0" applyNumberFormat="1" applyFont="1" applyFill="1" applyBorder="1" applyAlignment="1">
      <alignment horizontal="left" wrapText="1"/>
    </xf>
    <xf numFmtId="49" fontId="10" fillId="5" borderId="1" xfId="0" applyNumberFormat="1" applyFont="1" applyFill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2" fillId="8" borderId="1" xfId="0" applyNumberFormat="1" applyFont="1" applyFill="1" applyBorder="1" applyAlignment="1">
      <alignment horizontal="left"/>
    </xf>
    <xf numFmtId="49" fontId="2" fillId="8" borderId="1" xfId="0" applyNumberFormat="1" applyFont="1" applyFill="1" applyBorder="1" applyAlignment="1">
      <alignment horizontal="left" wrapText="1"/>
    </xf>
    <xf numFmtId="4" fontId="2" fillId="8" borderId="1" xfId="0" applyNumberFormat="1" applyFont="1" applyFill="1" applyBorder="1" applyAlignment="1">
      <alignment horizontal="right"/>
    </xf>
    <xf numFmtId="0" fontId="12" fillId="0" borderId="0" xfId="1"/>
    <xf numFmtId="0" fontId="11" fillId="0" borderId="0" xfId="1" applyFont="1"/>
    <xf numFmtId="0" fontId="13" fillId="9" borderId="0" xfId="2" applyFont="1" applyFill="1" applyAlignment="1">
      <alignment vertical="top"/>
    </xf>
    <xf numFmtId="0" fontId="11" fillId="9" borderId="0" xfId="1" applyFont="1" applyFill="1"/>
    <xf numFmtId="0" fontId="14" fillId="9" borderId="0" xfId="1" applyFont="1" applyFill="1"/>
    <xf numFmtId="0" fontId="14" fillId="0" borderId="0" xfId="1" applyFont="1"/>
    <xf numFmtId="0" fontId="14" fillId="10" borderId="0" xfId="1" applyFont="1" applyFill="1"/>
    <xf numFmtId="0" fontId="11" fillId="10" borderId="0" xfId="1" applyFont="1" applyFill="1"/>
    <xf numFmtId="4" fontId="15" fillId="5" borderId="1" xfId="0" applyNumberFormat="1" applyFont="1" applyFill="1" applyBorder="1" applyAlignment="1">
      <alignment horizontal="right"/>
    </xf>
    <xf numFmtId="49" fontId="15" fillId="5" borderId="1" xfId="0" applyNumberFormat="1" applyFont="1" applyFill="1" applyBorder="1" applyAlignment="1">
      <alignment horizontal="left"/>
    </xf>
    <xf numFmtId="4" fontId="13" fillId="9" borderId="0" xfId="2" applyNumberFormat="1" applyFont="1" applyFill="1" applyAlignment="1">
      <alignment vertical="top"/>
    </xf>
    <xf numFmtId="4" fontId="10" fillId="11" borderId="1" xfId="0" applyNumberFormat="1" applyFont="1" applyFill="1" applyBorder="1" applyAlignment="1">
      <alignment horizontal="right"/>
    </xf>
    <xf numFmtId="0" fontId="16" fillId="0" borderId="1" xfId="0" applyFont="1" applyBorder="1"/>
    <xf numFmtId="0" fontId="16" fillId="0" borderId="0" xfId="0" applyFont="1"/>
    <xf numFmtId="49" fontId="10" fillId="11" borderId="1" xfId="0" applyNumberFormat="1" applyFont="1" applyFill="1" applyBorder="1" applyAlignment="1">
      <alignment horizontal="left" wrapText="1"/>
    </xf>
    <xf numFmtId="49" fontId="18" fillId="5" borderId="1" xfId="0" applyNumberFormat="1" applyFont="1" applyFill="1" applyBorder="1" applyAlignment="1">
      <alignment horizontal="left" wrapText="1"/>
    </xf>
    <xf numFmtId="0" fontId="16" fillId="11" borderId="1" xfId="0" applyFont="1" applyFill="1" applyBorder="1"/>
    <xf numFmtId="4" fontId="15" fillId="11" borderId="1" xfId="0" applyNumberFormat="1" applyFont="1" applyFill="1" applyBorder="1" applyAlignment="1">
      <alignment horizontal="right"/>
    </xf>
    <xf numFmtId="0" fontId="13" fillId="11" borderId="0" xfId="2" applyFont="1" applyFill="1" applyAlignment="1">
      <alignment vertical="top"/>
    </xf>
    <xf numFmtId="43" fontId="0" fillId="0" borderId="0" xfId="3" applyFont="1"/>
    <xf numFmtId="164" fontId="22" fillId="0" borderId="0" xfId="0" applyNumberFormat="1" applyFont="1"/>
    <xf numFmtId="9" fontId="22" fillId="0" borderId="0" xfId="4" applyFont="1"/>
    <xf numFmtId="0" fontId="11" fillId="11" borderId="0" xfId="1" applyFont="1" applyFill="1"/>
    <xf numFmtId="0" fontId="20" fillId="8" borderId="2" xfId="0" applyFont="1" applyFill="1" applyBorder="1" applyAlignment="1">
      <alignment horizontal="center" vertical="center" textRotation="90" wrapText="1"/>
    </xf>
    <xf numFmtId="0" fontId="20" fillId="8" borderId="3" xfId="0" applyFont="1" applyFill="1" applyBorder="1" applyAlignment="1">
      <alignment horizontal="center" vertical="center" textRotation="90" wrapText="1"/>
    </xf>
    <xf numFmtId="0" fontId="20" fillId="8" borderId="4" xfId="0" applyFont="1" applyFill="1" applyBorder="1" applyAlignment="1">
      <alignment horizontal="center" vertical="center" textRotation="90" wrapText="1"/>
    </xf>
    <xf numFmtId="43" fontId="0" fillId="0" borderId="0" xfId="3" applyFont="1" applyAlignment="1">
      <alignment horizontal="center" vertical="center"/>
    </xf>
  </cellXfs>
  <cellStyles count="5">
    <cellStyle name="Čárka" xfId="3" builtinId="3"/>
    <cellStyle name="Normální" xfId="0" builtinId="0"/>
    <cellStyle name="Normální 11 2 2" xfId="2" xr:uid="{580FF766-5A92-42A3-97E1-25AE738FB6FD}"/>
    <cellStyle name="Normální 2" xfId="1" xr:uid="{B2C26F22-6132-47F3-A484-35E8F34CAB6F}"/>
    <cellStyle name="Procenta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409b716a5e78c18/Stratera/01_Zak&#225;zky/02_Cene&#780;ni&#769;/2025_cen&#283;n&#237;/25004_DEK%20Litv&#237;nov/04_Nab&#237;dky/MPI/Nab&#237;dka%20A027_2025%20STRATERA%20-%20DEK%20Litv&#237;nov%20&#8211;%20kopie.xlsx" TargetMode="External"/><Relationship Id="rId1" Type="http://schemas.openxmlformats.org/officeDocument/2006/relationships/externalLinkPath" Target="/d409b716a5e78c18/Stratera/01_Zak&#225;zky/02_Cene&#780;ni&#769;/2025_cen&#283;n&#237;/25004_DEK%20Litv&#237;nov/04_Nab&#237;dky/MPI/Nab&#237;dka%20A027_2025%20STRATERA%20-%20DEK%20Litv&#237;nov%20&#8211;%20kopi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409b716a5e78c18/Stratera/01_Zak&#225;zky/02_Cene&#780;ni&#769;/2025_cen&#283;n&#237;/25004_DEK%20Litv&#237;nov/04_Nab&#237;dky/Argos/NAB-170-25-00434%20%20DEK%20Litv&#237;nov%20Silnoproud.xlsx" TargetMode="External"/><Relationship Id="rId1" Type="http://schemas.openxmlformats.org/officeDocument/2006/relationships/externalLinkPath" Target="/d409b716a5e78c18/Stratera/01_Zak&#225;zky/02_Cene&#780;ni&#769;/2025_cen&#283;n&#237;/25004_DEK%20Litv&#237;nov/04_Nab&#237;dky/Argos/NAB-170-25-00434%20%20DEK%20Litv&#237;nov%20Silnoprou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409b716a5e78c18/Stratera/01_Zak&#225;zky/02_Cene&#780;ni&#769;/2025_cen&#283;n&#237;/25004_DEK%20Litv&#237;nov/04_Nab&#237;dky/DEK/NAB-025-25-00312_Rozpo&#269;et_materi&#225;l%20SIL_DEK%20Litv&#237;nov.xlsx" TargetMode="External"/><Relationship Id="rId1" Type="http://schemas.openxmlformats.org/officeDocument/2006/relationships/externalLinkPath" Target="/d409b716a5e78c18/Stratera/01_Zak&#225;zky/02_Cene&#780;ni&#769;/2025_cen&#283;n&#237;/25004_DEK%20Litv&#237;nov/04_Nab&#237;dky/DEK/NAB-025-25-00312_Rozpo&#269;et_materi&#225;l%20SIL_DEK%20Litv&#237;no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N 177 2015"/>
    </sheetNames>
    <sheetDataSet>
      <sheetData sheetId="0">
        <row r="16">
          <cell r="H16">
            <v>280680</v>
          </cell>
        </row>
        <row r="17">
          <cell r="H17">
            <v>4780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1"/>
      <sheetName val="List2"/>
      <sheetName val="List3"/>
    </sheetNames>
    <sheetDataSet>
      <sheetData sheetId="0">
        <row r="6">
          <cell r="E6">
            <v>1878</v>
          </cell>
        </row>
        <row r="7">
          <cell r="E7">
            <v>2.9</v>
          </cell>
        </row>
        <row r="10">
          <cell r="E10">
            <v>2058</v>
          </cell>
        </row>
        <row r="11">
          <cell r="E11">
            <v>2.9</v>
          </cell>
        </row>
        <row r="19">
          <cell r="E19">
            <v>571.41</v>
          </cell>
        </row>
        <row r="48">
          <cell r="E48">
            <v>68.345010000000002</v>
          </cell>
        </row>
        <row r="113">
          <cell r="E113">
            <v>6.3906499999999999</v>
          </cell>
        </row>
        <row r="114">
          <cell r="E114">
            <v>32.750900000000001</v>
          </cell>
        </row>
        <row r="125">
          <cell r="G125">
            <v>105.38658620689655</v>
          </cell>
        </row>
        <row r="146">
          <cell r="E146">
            <v>311.86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zpočet"/>
    </sheetNames>
    <sheetDataSet>
      <sheetData sheetId="0">
        <row r="11">
          <cell r="V11">
            <v>1603.2842105263157</v>
          </cell>
        </row>
        <row r="14">
          <cell r="V14">
            <v>1511.7052631578947</v>
          </cell>
        </row>
        <row r="70">
          <cell r="V70">
            <v>317.22105263157897</v>
          </cell>
        </row>
        <row r="72">
          <cell r="V72">
            <v>2695.1894736842105</v>
          </cell>
        </row>
        <row r="198">
          <cell r="Y198">
            <v>167.34314812690397</v>
          </cell>
        </row>
        <row r="207">
          <cell r="Y207">
            <v>56.658891310721081</v>
          </cell>
        </row>
        <row r="216">
          <cell r="Y216">
            <v>592.50124278230271</v>
          </cell>
        </row>
        <row r="269">
          <cell r="V269">
            <v>19.105263157894736</v>
          </cell>
        </row>
        <row r="270">
          <cell r="V270">
            <v>26.05263157894737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view="pageBreakPreview" topLeftCell="A15" zoomScale="130" zoomScaleNormal="100" zoomScaleSheetLayoutView="130" workbookViewId="0">
      <selection activeCell="E30" sqref="E30"/>
    </sheetView>
  </sheetViews>
  <sheetFormatPr defaultRowHeight="15.75"/>
  <cols>
    <col min="1" max="1" width="31.75" style="1" bestFit="1" customWidth="1"/>
    <col min="2" max="2" width="8.75" style="11" bestFit="1" customWidth="1"/>
    <col min="3" max="3" width="13.25" style="11" customWidth="1"/>
    <col min="6" max="6" width="0" hidden="1" customWidth="1"/>
  </cols>
  <sheetData>
    <row r="1" spans="1:4">
      <c r="A1" s="2" t="s">
        <v>0</v>
      </c>
      <c r="B1" s="12" t="s">
        <v>369</v>
      </c>
      <c r="C1" s="12" t="s">
        <v>370</v>
      </c>
      <c r="D1" s="3"/>
    </row>
    <row r="2" spans="1:4">
      <c r="A2" s="6" t="s">
        <v>371</v>
      </c>
      <c r="B2" s="15"/>
      <c r="C2" s="15"/>
      <c r="D2" s="3"/>
    </row>
    <row r="3" spans="1:4">
      <c r="A3" s="8" t="s">
        <v>372</v>
      </c>
      <c r="B3" s="13">
        <f>0</f>
        <v>0</v>
      </c>
      <c r="C3" s="13"/>
      <c r="D3" s="3"/>
    </row>
    <row r="4" spans="1:4">
      <c r="A4" s="8" t="s">
        <v>373</v>
      </c>
      <c r="B4" s="13">
        <f>B3 * Parametry!B16 / 100</f>
        <v>0</v>
      </c>
      <c r="C4" s="13">
        <f>B3 * Parametry!B17 / 100</f>
        <v>0</v>
      </c>
      <c r="D4" s="3"/>
    </row>
    <row r="5" spans="1:4">
      <c r="A5" s="8" t="s">
        <v>374</v>
      </c>
      <c r="B5" s="13"/>
      <c r="C5" s="13">
        <f>(Rozpočet!F338) + 0</f>
        <v>1113373.5956563158</v>
      </c>
      <c r="D5" s="3"/>
    </row>
    <row r="6" spans="1:4">
      <c r="A6" s="8" t="s">
        <v>375</v>
      </c>
      <c r="B6" s="13"/>
      <c r="C6" s="13">
        <f>0 + (Rozpočet!I338) + 0</f>
        <v>1107439.4099999997</v>
      </c>
      <c r="D6" s="3"/>
    </row>
    <row r="7" spans="1:4">
      <c r="A7" s="9" t="s">
        <v>376</v>
      </c>
      <c r="B7" s="16">
        <f>B3 + B4</f>
        <v>0</v>
      </c>
      <c r="C7" s="16">
        <f>C3 + C4 + C5 + C6</f>
        <v>2220813.0056563155</v>
      </c>
      <c r="D7" s="3"/>
    </row>
    <row r="8" spans="1:4">
      <c r="A8" s="8" t="s">
        <v>377</v>
      </c>
      <c r="B8" s="13"/>
      <c r="C8" s="13">
        <f>(C5 + C6) * Parametry!B18 / 100</f>
        <v>22208.130056563154</v>
      </c>
      <c r="D8" s="3"/>
    </row>
    <row r="9" spans="1:4">
      <c r="A9" s="8" t="s">
        <v>378</v>
      </c>
      <c r="B9" s="13"/>
      <c r="C9" s="13">
        <f>0 + 0</f>
        <v>0</v>
      </c>
      <c r="D9" s="3"/>
    </row>
    <row r="10" spans="1:4">
      <c r="A10" s="8" t="s">
        <v>364</v>
      </c>
      <c r="B10" s="13"/>
      <c r="C10" s="13">
        <f>(Rozpočet!F347) + (Rozpočet!I347)</f>
        <v>0</v>
      </c>
      <c r="D10" s="3"/>
    </row>
    <row r="11" spans="1:4">
      <c r="A11" s="8" t="s">
        <v>379</v>
      </c>
      <c r="B11" s="13"/>
      <c r="C11" s="13">
        <f>(C9 + C10) * Parametry!B19 / 100</f>
        <v>0</v>
      </c>
      <c r="D11" s="3"/>
    </row>
    <row r="12" spans="1:4">
      <c r="A12" s="9" t="s">
        <v>380</v>
      </c>
      <c r="B12" s="16">
        <f>B7</f>
        <v>0</v>
      </c>
      <c r="C12" s="16">
        <f>C7 + C8 + C9 + C10 + C11</f>
        <v>2243021.1357128788</v>
      </c>
      <c r="D12" s="3"/>
    </row>
    <row r="13" spans="1:4">
      <c r="A13" s="8" t="s">
        <v>381</v>
      </c>
      <c r="B13" s="13"/>
      <c r="C13" s="13">
        <f>(B12 + C12) * Parametry!B20 / 100</f>
        <v>0</v>
      </c>
      <c r="D13" s="3"/>
    </row>
    <row r="14" spans="1:4">
      <c r="A14" s="8" t="s">
        <v>382</v>
      </c>
      <c r="B14" s="13"/>
      <c r="C14" s="13">
        <f>(B12 + C12) * Parametry!B21 / 100</f>
        <v>0</v>
      </c>
      <c r="D14" s="3"/>
    </row>
    <row r="15" spans="1:4">
      <c r="A15" s="8" t="s">
        <v>383</v>
      </c>
      <c r="B15" s="13"/>
      <c r="C15" s="13">
        <f>(B7 + C7) * Parametry!B22 / 100</f>
        <v>0</v>
      </c>
      <c r="D15" s="3"/>
    </row>
    <row r="16" spans="1:4">
      <c r="A16" s="6" t="s">
        <v>384</v>
      </c>
      <c r="B16" s="15"/>
      <c r="C16" s="15">
        <f>B12 + C12 + C13 + C14 + C15</f>
        <v>2243021.1357128788</v>
      </c>
      <c r="D16" s="3"/>
    </row>
    <row r="17" spans="1:4">
      <c r="A17" s="8" t="s">
        <v>26</v>
      </c>
      <c r="B17" s="13"/>
      <c r="C17" s="13"/>
      <c r="D17" s="3"/>
    </row>
    <row r="18" spans="1:4">
      <c r="A18" s="6" t="s">
        <v>385</v>
      </c>
      <c r="B18" s="15"/>
      <c r="C18" s="15"/>
      <c r="D18" s="3"/>
    </row>
    <row r="19" spans="1:4">
      <c r="A19" s="8" t="s">
        <v>386</v>
      </c>
      <c r="B19" s="13"/>
      <c r="C19" s="13">
        <f>C12 * Parametry!B23 / 100</f>
        <v>0</v>
      </c>
      <c r="D19" s="3"/>
    </row>
    <row r="20" spans="1:4">
      <c r="A20" s="8" t="s">
        <v>387</v>
      </c>
      <c r="B20" s="13"/>
      <c r="C20" s="13">
        <f>C12 * Parametry!B24 / 100</f>
        <v>0</v>
      </c>
      <c r="D20" s="3"/>
    </row>
    <row r="21" spans="1:4">
      <c r="A21" s="6" t="s">
        <v>388</v>
      </c>
      <c r="B21" s="15"/>
      <c r="C21" s="15">
        <f>C19 + C20</f>
        <v>0</v>
      </c>
      <c r="D21" s="3"/>
    </row>
    <row r="22" spans="1:4">
      <c r="A22" s="8" t="s">
        <v>389</v>
      </c>
      <c r="B22" s="13"/>
      <c r="C22" s="13">
        <f>Parametry!B25 * Parametry!B28 * (C16 * Parametry!B27)^Parametry!B26</f>
        <v>0</v>
      </c>
      <c r="D22" s="3"/>
    </row>
    <row r="23" spans="1:4">
      <c r="A23" s="8" t="s">
        <v>26</v>
      </c>
      <c r="B23" s="13"/>
      <c r="C23" s="13"/>
      <c r="D23" s="3"/>
    </row>
    <row r="24" spans="1:4">
      <c r="A24" s="4" t="s">
        <v>390</v>
      </c>
      <c r="B24" s="14"/>
      <c r="C24" s="14">
        <f>C16 + C21 + C22</f>
        <v>2243021.1357128788</v>
      </c>
      <c r="D24" s="3"/>
    </row>
    <row r="25" spans="1:4">
      <c r="A25" s="8" t="s">
        <v>26</v>
      </c>
      <c r="B25" s="13"/>
      <c r="C25" s="13"/>
      <c r="D25" s="3"/>
    </row>
    <row r="26" spans="1:4">
      <c r="A26" s="6" t="s">
        <v>391</v>
      </c>
      <c r="B26" s="21" t="s">
        <v>54</v>
      </c>
      <c r="C26" s="21" t="s">
        <v>56</v>
      </c>
      <c r="D26" s="3"/>
    </row>
    <row r="27" spans="1:4">
      <c r="A27" s="8" t="s">
        <v>60</v>
      </c>
      <c r="B27" s="13">
        <f>(Rozpočet!F338)</f>
        <v>1113373.5956563158</v>
      </c>
      <c r="C27" s="13">
        <f>(Rozpočet!I338)</f>
        <v>1107439.4099999997</v>
      </c>
      <c r="D27" s="3"/>
    </row>
    <row r="28" spans="1:4">
      <c r="A28" s="8" t="s">
        <v>392</v>
      </c>
      <c r="B28" s="13">
        <f>(Rozpočet!F335)</f>
        <v>1091542.7408395254</v>
      </c>
      <c r="C28" s="13">
        <f>(Rozpočet!I335)</f>
        <v>1107439.4099999997</v>
      </c>
      <c r="D28" s="3"/>
    </row>
    <row r="29" spans="1:4">
      <c r="A29" s="8" t="s">
        <v>393</v>
      </c>
      <c r="B29" s="13">
        <f>(Rozpočet!F16)</f>
        <v>329706.30000000005</v>
      </c>
      <c r="C29" s="13">
        <f>(Rozpočet!I16)</f>
        <v>73898.055000000008</v>
      </c>
      <c r="D29" s="3"/>
    </row>
    <row r="30" spans="1:4">
      <c r="A30" s="8" t="s">
        <v>394</v>
      </c>
      <c r="B30" s="13">
        <f>(Rozpočet!F47)</f>
        <v>0</v>
      </c>
      <c r="C30" s="13">
        <f>(Rozpočet!I47)</f>
        <v>144571.34999999998</v>
      </c>
      <c r="D30" s="3"/>
    </row>
    <row r="31" spans="1:4">
      <c r="A31" s="8" t="s">
        <v>395</v>
      </c>
      <c r="B31" s="13">
        <f>(Rozpočet!F62)</f>
        <v>20540.282921052629</v>
      </c>
      <c r="C31" s="13">
        <f>(Rozpočet!I62)</f>
        <v>3534.3</v>
      </c>
      <c r="D31" s="3"/>
    </row>
    <row r="32" spans="1:4">
      <c r="A32" s="8" t="s">
        <v>396</v>
      </c>
      <c r="B32" s="13">
        <f>(Rozpočet!F176)</f>
        <v>123258.02426035178</v>
      </c>
      <c r="C32" s="13">
        <f>(Rozpočet!I176)</f>
        <v>128124.15</v>
      </c>
      <c r="D32" s="3"/>
    </row>
    <row r="33" spans="1:4">
      <c r="A33" s="8" t="s">
        <v>397</v>
      </c>
      <c r="B33" s="13">
        <f>(Rozpočet!F182)</f>
        <v>0</v>
      </c>
      <c r="C33" s="13">
        <f>(Rozpočet!I182)</f>
        <v>404.25</v>
      </c>
      <c r="D33" s="3"/>
    </row>
    <row r="34" spans="1:4">
      <c r="A34" s="8" t="s">
        <v>398</v>
      </c>
      <c r="B34" s="13">
        <f>(Rozpočet!F209)</f>
        <v>199506.65507850004</v>
      </c>
      <c r="C34" s="13">
        <f>(Rozpočet!I209)</f>
        <v>232468.005</v>
      </c>
      <c r="D34" s="3"/>
    </row>
    <row r="35" spans="1:4">
      <c r="A35" s="8" t="s">
        <v>399</v>
      </c>
      <c r="B35" s="13">
        <f>(Rozpočet!F228)</f>
        <v>1548.794210526316</v>
      </c>
      <c r="C35" s="13">
        <f>(Rozpočet!I228)</f>
        <v>77217.525000000009</v>
      </c>
      <c r="D35" s="3"/>
    </row>
    <row r="36" spans="1:4">
      <c r="A36" s="8" t="s">
        <v>400</v>
      </c>
      <c r="B36" s="13">
        <f>(Rozpočet!F270)</f>
        <v>193117.60495541038</v>
      </c>
      <c r="C36" s="13">
        <f>(Rozpočet!I270)</f>
        <v>197135.40000000002</v>
      </c>
      <c r="D36" s="3"/>
    </row>
    <row r="37" spans="1:4">
      <c r="A37" s="8" t="s">
        <v>401</v>
      </c>
      <c r="B37" s="13">
        <f>(Rozpočet!F282)</f>
        <v>0</v>
      </c>
      <c r="C37" s="13">
        <f>(Rozpočet!I282)</f>
        <v>0</v>
      </c>
      <c r="D37" s="3"/>
    </row>
    <row r="38" spans="1:4">
      <c r="A38" s="8" t="s">
        <v>402</v>
      </c>
      <c r="B38" s="13">
        <f>(Rozpočet!F324)</f>
        <v>223865.07941368423</v>
      </c>
      <c r="C38" s="13">
        <f>(Rozpočet!I324)</f>
        <v>213126.37500000003</v>
      </c>
      <c r="D38" s="3"/>
    </row>
    <row r="39" spans="1:4">
      <c r="A39" s="8" t="s">
        <v>403</v>
      </c>
      <c r="B39" s="13">
        <f>(Rozpočet!F333)</f>
        <v>0</v>
      </c>
      <c r="C39" s="13">
        <f>(Rozpočet!I333)</f>
        <v>36960</v>
      </c>
      <c r="D39" s="3"/>
    </row>
    <row r="40" spans="1:4">
      <c r="A40" s="8" t="s">
        <v>364</v>
      </c>
      <c r="B40" s="13">
        <f>(Rozpočet!F347)</f>
        <v>0</v>
      </c>
      <c r="C40" s="13">
        <f>(Rozpočet!I347)</f>
        <v>0</v>
      </c>
      <c r="D40" s="3"/>
    </row>
    <row r="41" spans="1:4">
      <c r="A41" s="8" t="s">
        <v>26</v>
      </c>
      <c r="B41" s="13"/>
      <c r="C41" s="13"/>
      <c r="D41" s="3"/>
    </row>
    <row r="42" spans="1:4">
      <c r="A42" s="8" t="s">
        <v>26</v>
      </c>
      <c r="B42" s="13"/>
      <c r="C42" s="13"/>
      <c r="D42" s="3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48"/>
  <sheetViews>
    <sheetView tabSelected="1" view="pageBreakPreview" topLeftCell="A227" zoomScaleNormal="100" zoomScaleSheetLayoutView="100" workbookViewId="0">
      <selection activeCell="A37" sqref="A37:XFD37"/>
    </sheetView>
  </sheetViews>
  <sheetFormatPr defaultRowHeight="15.75"/>
  <cols>
    <col min="1" max="1" width="7.25" style="1" customWidth="1"/>
    <col min="2" max="2" width="40.25" style="34" customWidth="1"/>
    <col min="3" max="3" width="3.875" style="1" bestFit="1" customWidth="1"/>
    <col min="4" max="4" width="6.125" style="11" bestFit="1" customWidth="1"/>
    <col min="5" max="5" width="8.75" style="11" bestFit="1" customWidth="1"/>
    <col min="6" max="6" width="12" style="11" customWidth="1"/>
    <col min="7" max="7" width="1.5" style="1" customWidth="1"/>
    <col min="8" max="8" width="6.875" style="11" bestFit="1" customWidth="1"/>
    <col min="9" max="9" width="12" style="11" bestFit="1" customWidth="1"/>
    <col min="10" max="10" width="8.75" style="11" bestFit="1" customWidth="1"/>
    <col min="11" max="11" width="12" style="11" bestFit="1" customWidth="1"/>
    <col min="12" max="12" width="8.75" style="51"/>
    <col min="13" max="13" width="0" hidden="1" customWidth="1"/>
    <col min="14" max="14" width="10.875" hidden="1" customWidth="1"/>
    <col min="16" max="16" width="9.75" customWidth="1"/>
    <col min="17" max="19" width="8.75" customWidth="1"/>
    <col min="24" max="24" width="13.625" bestFit="1" customWidth="1"/>
    <col min="25" max="25" width="11.25" customWidth="1"/>
  </cols>
  <sheetData>
    <row r="1" spans="1:25" ht="24.6" customHeight="1">
      <c r="A1" s="2" t="s">
        <v>404</v>
      </c>
      <c r="B1" s="10" t="s">
        <v>0</v>
      </c>
      <c r="C1" s="2" t="s">
        <v>52</v>
      </c>
      <c r="D1" s="12" t="s">
        <v>53</v>
      </c>
      <c r="E1" s="12" t="s">
        <v>54</v>
      </c>
      <c r="F1" s="12" t="s">
        <v>55</v>
      </c>
      <c r="G1" s="2"/>
      <c r="H1" s="12" t="s">
        <v>56</v>
      </c>
      <c r="I1" s="12" t="s">
        <v>57</v>
      </c>
      <c r="J1" s="12" t="s">
        <v>58</v>
      </c>
      <c r="K1" s="12" t="s">
        <v>59</v>
      </c>
      <c r="L1" s="50"/>
      <c r="M1" s="3"/>
      <c r="N1">
        <f>Parametry!B33/100*F11+Parametry!B34/100*F24+Parametry!B33/100*F26+Parametry!B34/100*F28+Parametry!B33/100*F30+Parametry!B33/100*F32+Parametry!B34/100*F34+Parametry!B34/100*F36+Parametry!B33/100*F37+Parametry!B33/100*F39+Parametry!B34/100*F41+Parametry!B34/100*F43+Parametry!B34/100*F45+Parametry!B34/100*F52+Parametry!B34/100*F53+Parametry!B34/100*F54+Parametry!B34/100*F56+Parametry!B34/100*F58+Parametry!B34/100*F59+Parametry!B34/100*F60+Parametry!B34/100*F67+Parametry!B34/100*F69+Parametry!B34/100*F70</f>
        <v>2571.4625778947375</v>
      </c>
      <c r="O1" s="38"/>
      <c r="P1" s="39">
        <v>1.155</v>
      </c>
      <c r="Q1" s="38"/>
      <c r="R1" s="38"/>
      <c r="S1" s="38"/>
      <c r="T1" s="38"/>
      <c r="U1" s="39">
        <f>P1</f>
        <v>1.155</v>
      </c>
      <c r="V1" s="38"/>
    </row>
    <row r="2" spans="1:25">
      <c r="A2" s="8" t="s">
        <v>26</v>
      </c>
      <c r="B2" s="27" t="s">
        <v>26</v>
      </c>
      <c r="C2" s="8" t="s">
        <v>26</v>
      </c>
      <c r="D2" s="13"/>
      <c r="E2" s="13"/>
      <c r="F2" s="13"/>
      <c r="G2" s="8"/>
      <c r="H2" s="13"/>
      <c r="I2" s="13"/>
      <c r="J2" s="13">
        <f>E2+H2</f>
        <v>0</v>
      </c>
      <c r="K2" s="13">
        <f>F2+I2</f>
        <v>0</v>
      </c>
      <c r="L2" s="50"/>
      <c r="M2" s="3"/>
      <c r="N2">
        <f>N1+Parametry!B34/100*F71+Parametry!B34/100*F72+Parametry!B34/100*F73+Parametry!B34/100*F75+Parametry!B34/100*F76+Parametry!B34/100*F77+Parametry!B34/100*F79+Parametry!B34/100*F80+Parametry!B34/100*F81+Parametry!B34/100*F83+Parametry!B34/100*F84+Parametry!B34/100*F85+Parametry!B34/100*F87+Parametry!B34/100*F88+Parametry!B34/100*F89+Parametry!B34/100*F91+Parametry!B34/100*F92+Parametry!B34/100*F95+Parametry!B34/100*F96+Parametry!B34/100*F97+Parametry!B34/100*F99+Parametry!B34/100*F100+Parametry!B34/100*F101</f>
        <v>4422.3967158404075</v>
      </c>
      <c r="O2" s="38" t="s">
        <v>409</v>
      </c>
      <c r="P2" s="38" t="s">
        <v>410</v>
      </c>
      <c r="Q2" s="38" t="s">
        <v>411</v>
      </c>
      <c r="R2" s="38"/>
      <c r="S2" s="38"/>
      <c r="T2" s="38" t="s">
        <v>412</v>
      </c>
      <c r="U2" s="38" t="s">
        <v>410</v>
      </c>
      <c r="V2" s="38" t="s">
        <v>413</v>
      </c>
    </row>
    <row r="3" spans="1:25">
      <c r="A3" s="4" t="s">
        <v>26</v>
      </c>
      <c r="B3" s="28" t="s">
        <v>60</v>
      </c>
      <c r="C3" s="4" t="s">
        <v>26</v>
      </c>
      <c r="D3" s="14"/>
      <c r="E3" s="14"/>
      <c r="F3" s="14"/>
      <c r="G3" s="4"/>
      <c r="H3" s="14"/>
      <c r="I3" s="14"/>
      <c r="J3" s="14"/>
      <c r="K3" s="14"/>
      <c r="L3" s="50"/>
      <c r="M3" s="3"/>
      <c r="N3">
        <f>N2+Parametry!B34/100*F103+Parametry!B34/100*F104+Parametry!B34/100*F105+Parametry!B34/100*F107+Parametry!B34/100*F109+Parametry!B34/100*F110+Parametry!B34/100*F112+Parametry!B34/100*F114+Parametry!B34/100*F116+Parametry!B34/100*F117+Parametry!B34/100*F118+Parametry!B34/100*F120+Parametry!B34/100*F122+Parametry!B34/100*F123+Parametry!B34/100*F125+Parametry!B34/100*F126+Parametry!B34/100*F127+Parametry!B34/100*F129+Parametry!B34/100*F130+Parametry!B34/100*F131+Parametry!B34/100*F133+Parametry!B34/100*F134</f>
        <v>5794.2865482892339</v>
      </c>
    </row>
    <row r="4" spans="1:25">
      <c r="A4" s="8" t="s">
        <v>26</v>
      </c>
      <c r="B4" s="27" t="s">
        <v>26</v>
      </c>
      <c r="C4" s="8" t="s">
        <v>26</v>
      </c>
      <c r="D4" s="13"/>
      <c r="E4" s="13"/>
      <c r="F4" s="13"/>
      <c r="G4" s="8"/>
      <c r="H4" s="13"/>
      <c r="I4" s="13"/>
      <c r="J4" s="13">
        <f>E4+H4</f>
        <v>0</v>
      </c>
      <c r="K4" s="13">
        <f>F4+I4</f>
        <v>0</v>
      </c>
      <c r="L4" s="50"/>
      <c r="M4" s="3"/>
      <c r="N4">
        <f>N3+Parametry!B34/100*F135+Parametry!B34/100*F136+Parametry!B34/100*F138+Parametry!B34/100*F139+Parametry!B34/100*F140+Parametry!B34/100*F142+Parametry!B34/100*F143+Parametry!B34/100*F144+Parametry!B34/100*F145+Parametry!B34/100*F147+Parametry!B34/100*F148+Parametry!B34/100*F149+Parametry!B34/100*F150+Parametry!B34/100*F152+Parametry!B34/100*F154+Parametry!B34/100*F156+Parametry!B34/100*F158+Parametry!B34/100*F159+Parametry!B34/100*F160+Parametry!B34/100*F162+Parametry!B34/100*F164+Parametry!B34/100*F165</f>
        <v>6160.0581514301493</v>
      </c>
    </row>
    <row r="5" spans="1:25">
      <c r="A5" s="6" t="s">
        <v>26</v>
      </c>
      <c r="B5" s="5" t="s">
        <v>61</v>
      </c>
      <c r="C5" s="6" t="s">
        <v>26</v>
      </c>
      <c r="D5" s="15"/>
      <c r="E5" s="15"/>
      <c r="F5" s="15"/>
      <c r="G5" s="6"/>
      <c r="H5" s="15"/>
      <c r="I5" s="15"/>
      <c r="J5" s="15"/>
      <c r="K5" s="15"/>
      <c r="L5" s="50"/>
      <c r="M5" s="3"/>
      <c r="N5">
        <f>N4+Parametry!B34/100*F166+Parametry!B34/100*F167+Parametry!B34/100*F168+Parametry!B34/100*F171+Parametry!B34/100*F173+Parametry!B34/100*F174+Parametry!B33/100*F187+Parametry!B33/100*F188+Parametry!B33/100*F189+Parametry!B33/100*F190+Parametry!B33/100*F191+Parametry!B33/100*F192+Parametry!B33/100*F193+Parametry!B34/100*F194+Parametry!B34/100*F196+Parametry!B33/100*F198+Parametry!B33/100*F200+Parametry!B33/100*F201+Parametry!B33/100*F202+Parametry!B33/100*F204+Parametry!B33/100*F205+Parametry!B33/100*F206</f>
        <v>9368.4792329213415</v>
      </c>
    </row>
    <row r="6" spans="1:25">
      <c r="A6" s="8" t="s">
        <v>26</v>
      </c>
      <c r="B6" s="27" t="s">
        <v>26</v>
      </c>
      <c r="C6" s="8" t="s">
        <v>26</v>
      </c>
      <c r="D6" s="13"/>
      <c r="E6" s="13"/>
      <c r="F6" s="13"/>
      <c r="G6" s="8"/>
      <c r="H6" s="13"/>
      <c r="I6" s="13"/>
      <c r="J6" s="13">
        <f>E6+H6</f>
        <v>0</v>
      </c>
      <c r="K6" s="13">
        <f>F6+I6</f>
        <v>0</v>
      </c>
      <c r="L6" s="50"/>
      <c r="M6" s="3"/>
      <c r="N6">
        <f>N5+Parametry!B33/100*F207+Parametry!B33/100*F214+Parametry!B33/100*F215+Parametry!B33/100*F216+Parametry!B33/100*F217+Parametry!B33/100*F218+Parametry!B33/100*F221+Parametry!B33/100*F222+Parametry!B34/100*F225+Parametry!B34/100*F226+Parametry!B34/100*F231+Parametry!B33/100*F235+Parametry!B33/100*F239+Parametry!B33/100*F240+Parametry!B33/100*F241+Parametry!B33/100*F244+Parametry!B33/100*F245+Parametry!B33/100*F246+Parametry!B33/100*F247+Parametry!B33/100*F248+Parametry!B34/100*F249+Parametry!B34/100*F250</f>
        <v>11273.848545721034</v>
      </c>
    </row>
    <row r="7" spans="1:25">
      <c r="A7" s="9" t="s">
        <v>26</v>
      </c>
      <c r="B7" s="29" t="s">
        <v>62</v>
      </c>
      <c r="C7" s="9" t="s">
        <v>26</v>
      </c>
      <c r="D7" s="16"/>
      <c r="E7" s="16"/>
      <c r="F7" s="16"/>
      <c r="G7" s="9"/>
      <c r="H7" s="16"/>
      <c r="I7" s="16"/>
      <c r="J7" s="16"/>
      <c r="K7" s="16"/>
      <c r="L7" s="50"/>
      <c r="M7" s="3"/>
      <c r="N7">
        <f>N6+Parametry!B34/100*F251+Parametry!B33/100*F253+Parametry!B34/100*F255+Parametry!B33/100*F256+Parametry!B33/100*F257+Parametry!B33/100*F258+Parametry!B33/100*F259+Parametry!B33/100*F261+Parametry!B33/100*F262+Parametry!B33/100*F264+Parametry!B33/100*F265+Parametry!B33/100*F267+Parametry!B33/100*F268+Parametry!B33/100*F275+Parametry!B33/100*F276+Parametry!B33/100*F277+Parametry!B33/100*F286+Parametry!B33/100*F287+Parametry!B34/100*F288+Parametry!B34/100*F289+Parametry!B33/100*F290+Parametry!B34/100*F292</f>
        <v>15656.509092449389</v>
      </c>
    </row>
    <row r="8" spans="1:25">
      <c r="A8" s="8" t="s">
        <v>26</v>
      </c>
      <c r="B8" s="27" t="s">
        <v>26</v>
      </c>
      <c r="C8" s="8" t="s">
        <v>26</v>
      </c>
      <c r="D8" s="13"/>
      <c r="E8" s="13"/>
      <c r="F8" s="13"/>
      <c r="G8" s="8"/>
      <c r="H8" s="13"/>
      <c r="I8" s="13"/>
      <c r="J8" s="13">
        <f>E8+H8</f>
        <v>0</v>
      </c>
      <c r="K8" s="13">
        <f>F8+I8</f>
        <v>0</v>
      </c>
      <c r="L8" s="50"/>
      <c r="M8" s="3"/>
      <c r="O8" s="40"/>
      <c r="P8" s="41">
        <f>$P$1</f>
        <v>1.155</v>
      </c>
      <c r="Q8" s="42">
        <f>SUM(P8*O8)</f>
        <v>0</v>
      </c>
      <c r="R8" s="43"/>
      <c r="S8" s="43"/>
      <c r="T8" s="44"/>
      <c r="U8" s="45">
        <f>$U$1</f>
        <v>1.155</v>
      </c>
      <c r="V8" s="44">
        <f>SUM(U8*T8)</f>
        <v>0</v>
      </c>
    </row>
    <row r="9" spans="1:25" ht="23.25">
      <c r="A9" s="17" t="s">
        <v>26</v>
      </c>
      <c r="B9" s="30" t="s">
        <v>63</v>
      </c>
      <c r="C9" s="17" t="s">
        <v>64</v>
      </c>
      <c r="D9" s="18">
        <v>1</v>
      </c>
      <c r="E9" s="18">
        <f>SUM(Q9)</f>
        <v>324185.40000000002</v>
      </c>
      <c r="F9" s="18">
        <f>D9*E9</f>
        <v>324185.40000000002</v>
      </c>
      <c r="G9" s="17"/>
      <c r="H9" s="18">
        <f>SUM(V9)</f>
        <v>64837.08</v>
      </c>
      <c r="I9" s="18">
        <f>D9*H9</f>
        <v>64837.08</v>
      </c>
      <c r="J9" s="18">
        <f>E9+H9</f>
        <v>389022.48000000004</v>
      </c>
      <c r="K9" s="18">
        <f>F9+I9</f>
        <v>389022.48000000004</v>
      </c>
      <c r="L9" s="50"/>
      <c r="M9" s="3"/>
      <c r="O9" s="40">
        <f>SUM('[1]CN 177 2015'!$H$16)</f>
        <v>280680</v>
      </c>
      <c r="P9" s="41">
        <f>$P$1</f>
        <v>1.155</v>
      </c>
      <c r="Q9" s="42">
        <f>SUM(P9*O9)</f>
        <v>324185.40000000002</v>
      </c>
      <c r="R9" s="43"/>
      <c r="S9" s="43"/>
      <c r="T9" s="44">
        <f>SUM(O9*0.2)</f>
        <v>56136</v>
      </c>
      <c r="U9" s="45">
        <f>$U$1</f>
        <v>1.155</v>
      </c>
      <c r="V9" s="44">
        <f>SUM(U9*T9)</f>
        <v>64837.08</v>
      </c>
      <c r="X9">
        <f>SUM(O9*D9)</f>
        <v>280680</v>
      </c>
      <c r="Y9">
        <f>SUM(T9*D9)</f>
        <v>56136</v>
      </c>
    </row>
    <row r="10" spans="1:25">
      <c r="A10" s="19" t="s">
        <v>26</v>
      </c>
      <c r="B10" s="31" t="s">
        <v>65</v>
      </c>
      <c r="C10" s="19" t="s">
        <v>26</v>
      </c>
      <c r="D10" s="20"/>
      <c r="E10" s="20"/>
      <c r="F10" s="20"/>
      <c r="G10" s="19"/>
      <c r="H10" s="20"/>
      <c r="I10" s="20"/>
      <c r="J10" s="20"/>
      <c r="K10" s="20"/>
      <c r="L10" s="50"/>
      <c r="M10" s="3"/>
      <c r="O10" s="43"/>
      <c r="P10" s="43"/>
      <c r="Q10" s="43"/>
      <c r="R10" s="43"/>
      <c r="S10" s="43"/>
      <c r="T10" s="43"/>
      <c r="U10" s="43"/>
      <c r="V10" s="43"/>
      <c r="W10" s="43"/>
      <c r="X10">
        <f t="shared" ref="X10:X73" si="0">SUM(O10*D10)</f>
        <v>0</v>
      </c>
      <c r="Y10">
        <f t="shared" ref="Y10:Y73" si="1">SUM(T10*D10)</f>
        <v>0</v>
      </c>
    </row>
    <row r="11" spans="1:25">
      <c r="A11" s="8" t="s">
        <v>26</v>
      </c>
      <c r="B11" s="27" t="s">
        <v>66</v>
      </c>
      <c r="C11" s="8" t="s">
        <v>64</v>
      </c>
      <c r="D11" s="13">
        <v>5</v>
      </c>
      <c r="E11" s="46">
        <f>SUM(Q11)</f>
        <v>0</v>
      </c>
      <c r="F11" s="46">
        <f>D11*E11</f>
        <v>0</v>
      </c>
      <c r="G11" s="47"/>
      <c r="H11" s="46">
        <f>SUM(V11)</f>
        <v>1386</v>
      </c>
      <c r="I11" s="46">
        <f>D11*H11</f>
        <v>6930</v>
      </c>
      <c r="J11" s="13">
        <f>E11+H11</f>
        <v>1386</v>
      </c>
      <c r="K11" s="13">
        <f>F11+I11</f>
        <v>6930</v>
      </c>
      <c r="L11" s="50"/>
      <c r="M11" s="3"/>
      <c r="O11" s="40"/>
      <c r="P11" s="41">
        <f t="shared" ref="P11:P12" si="2">$P$1</f>
        <v>1.155</v>
      </c>
      <c r="Q11" s="42">
        <f t="shared" ref="Q11:Q12" si="3">SUM(P11*O11)</f>
        <v>0</v>
      </c>
      <c r="R11" s="43"/>
      <c r="S11" s="43"/>
      <c r="T11" s="44">
        <v>1200</v>
      </c>
      <c r="U11" s="45">
        <f t="shared" ref="U11:U12" si="4">$U$1</f>
        <v>1.155</v>
      </c>
      <c r="V11" s="44">
        <f t="shared" ref="V11:V12" si="5">SUM(U11*T11)</f>
        <v>1386</v>
      </c>
      <c r="X11">
        <f t="shared" si="0"/>
        <v>0</v>
      </c>
      <c r="Y11">
        <f t="shared" si="1"/>
        <v>6000</v>
      </c>
    </row>
    <row r="12" spans="1:25">
      <c r="A12" s="8"/>
      <c r="B12" s="27" t="s">
        <v>406</v>
      </c>
      <c r="C12" s="8" t="s">
        <v>64</v>
      </c>
      <c r="D12" s="13">
        <v>1</v>
      </c>
      <c r="E12" s="46">
        <f>SUM(Q12)</f>
        <v>5520.9000000000005</v>
      </c>
      <c r="F12" s="46">
        <f>D12*E12</f>
        <v>5520.9000000000005</v>
      </c>
      <c r="G12" s="47"/>
      <c r="H12" s="46">
        <f>SUM(V12)</f>
        <v>1380.2250000000001</v>
      </c>
      <c r="I12" s="46">
        <f>D12*H12</f>
        <v>1380.2250000000001</v>
      </c>
      <c r="J12" s="13">
        <f>E12+H12</f>
        <v>6901.1250000000009</v>
      </c>
      <c r="K12" s="13">
        <f>F12+I12</f>
        <v>6901.1250000000009</v>
      </c>
      <c r="L12" s="50"/>
      <c r="M12" s="3"/>
      <c r="O12" s="40">
        <f>SUM('[1]CN 177 2015'!$H$17)</f>
        <v>4780</v>
      </c>
      <c r="P12" s="41">
        <f t="shared" si="2"/>
        <v>1.155</v>
      </c>
      <c r="Q12" s="42">
        <f t="shared" si="3"/>
        <v>5520.9000000000005</v>
      </c>
      <c r="R12" s="43"/>
      <c r="S12" s="43"/>
      <c r="T12" s="44">
        <f>SUM(O12*0.25)</f>
        <v>1195</v>
      </c>
      <c r="U12" s="45">
        <f t="shared" si="4"/>
        <v>1.155</v>
      </c>
      <c r="V12" s="44">
        <f t="shared" si="5"/>
        <v>1380.2250000000001</v>
      </c>
      <c r="X12">
        <f t="shared" si="0"/>
        <v>4780</v>
      </c>
      <c r="Y12">
        <f t="shared" si="1"/>
        <v>1195</v>
      </c>
    </row>
    <row r="13" spans="1:25">
      <c r="A13" s="8"/>
      <c r="B13" s="31" t="s">
        <v>407</v>
      </c>
      <c r="C13" s="19" t="s">
        <v>26</v>
      </c>
      <c r="D13" s="20"/>
      <c r="E13" s="20"/>
      <c r="F13" s="20"/>
      <c r="G13" s="19" t="s">
        <v>26</v>
      </c>
      <c r="H13" s="20"/>
      <c r="I13" s="20"/>
      <c r="J13" s="20"/>
      <c r="K13" s="20"/>
      <c r="L13" s="50"/>
      <c r="M13" s="3"/>
      <c r="O13" s="43"/>
      <c r="P13" s="43"/>
      <c r="Q13" s="43"/>
      <c r="R13" s="43"/>
      <c r="S13" s="43"/>
      <c r="T13" s="43"/>
      <c r="U13" s="43"/>
      <c r="V13" s="43"/>
      <c r="X13">
        <f t="shared" si="0"/>
        <v>0</v>
      </c>
      <c r="Y13">
        <f t="shared" si="1"/>
        <v>0</v>
      </c>
    </row>
    <row r="14" spans="1:25">
      <c r="A14" s="8"/>
      <c r="B14" s="27" t="s">
        <v>408</v>
      </c>
      <c r="C14" s="8" t="s">
        <v>64</v>
      </c>
      <c r="D14" s="13">
        <v>1</v>
      </c>
      <c r="E14" s="46">
        <f>SUM(Q14)</f>
        <v>0</v>
      </c>
      <c r="F14" s="46">
        <f>D14*E14</f>
        <v>0</v>
      </c>
      <c r="G14" s="47"/>
      <c r="H14" s="46">
        <f>SUM(V14)</f>
        <v>750.75</v>
      </c>
      <c r="I14" s="46">
        <f>D14*H14</f>
        <v>750.75</v>
      </c>
      <c r="J14" s="13">
        <f>E14+H14</f>
        <v>750.75</v>
      </c>
      <c r="K14" s="13">
        <f>F14+I14</f>
        <v>750.75</v>
      </c>
      <c r="L14" s="50"/>
      <c r="M14" s="3"/>
      <c r="O14" s="40"/>
      <c r="P14" s="41">
        <f t="shared" ref="P14:P15" si="6">$P$1</f>
        <v>1.155</v>
      </c>
      <c r="Q14" s="42">
        <f t="shared" ref="Q14:Q15" si="7">SUM(P14*O14)</f>
        <v>0</v>
      </c>
      <c r="R14" s="43"/>
      <c r="S14" s="43"/>
      <c r="T14" s="44">
        <v>650</v>
      </c>
      <c r="U14" s="45">
        <f t="shared" ref="U14:U15" si="8">$U$1</f>
        <v>1.155</v>
      </c>
      <c r="V14" s="44">
        <f t="shared" ref="V14:V15" si="9">SUM(U14*T14)</f>
        <v>750.75</v>
      </c>
      <c r="X14">
        <f t="shared" si="0"/>
        <v>0</v>
      </c>
      <c r="Y14">
        <f t="shared" si="1"/>
        <v>650</v>
      </c>
    </row>
    <row r="15" spans="1:25">
      <c r="A15" s="8" t="s">
        <v>26</v>
      </c>
      <c r="B15" s="27" t="s">
        <v>26</v>
      </c>
      <c r="C15" s="8" t="s">
        <v>26</v>
      </c>
      <c r="D15" s="13"/>
      <c r="E15" s="13"/>
      <c r="F15" s="13"/>
      <c r="G15" s="8"/>
      <c r="H15" s="13"/>
      <c r="I15" s="13"/>
      <c r="J15" s="13">
        <f>E15+H15</f>
        <v>0</v>
      </c>
      <c r="K15" s="13">
        <f>F15+I15</f>
        <v>0</v>
      </c>
      <c r="L15" s="50"/>
      <c r="M15" s="3"/>
      <c r="O15" s="40"/>
      <c r="P15" s="41">
        <f t="shared" si="6"/>
        <v>1.155</v>
      </c>
      <c r="Q15" s="42">
        <f t="shared" si="7"/>
        <v>0</v>
      </c>
      <c r="R15" s="43"/>
      <c r="S15" s="43"/>
      <c r="T15" s="44"/>
      <c r="U15" s="45">
        <f t="shared" si="8"/>
        <v>1.155</v>
      </c>
      <c r="V15" s="44">
        <f t="shared" si="9"/>
        <v>0</v>
      </c>
      <c r="X15">
        <f t="shared" si="0"/>
        <v>0</v>
      </c>
      <c r="Y15">
        <f t="shared" si="1"/>
        <v>0</v>
      </c>
    </row>
    <row r="16" spans="1:25">
      <c r="A16" s="9" t="s">
        <v>26</v>
      </c>
      <c r="B16" s="29" t="s">
        <v>67</v>
      </c>
      <c r="C16" s="9" t="s">
        <v>26</v>
      </c>
      <c r="D16" s="16"/>
      <c r="E16" s="16"/>
      <c r="F16" s="16">
        <f>SUM(F8:F15)</f>
        <v>329706.30000000005</v>
      </c>
      <c r="G16" s="9"/>
      <c r="H16" s="16"/>
      <c r="I16" s="16">
        <f>SUM(I8:I15)</f>
        <v>73898.055000000008</v>
      </c>
      <c r="J16" s="16"/>
      <c r="K16" s="16">
        <f>SUM(K8:K15)</f>
        <v>403604.35500000004</v>
      </c>
      <c r="L16" s="50"/>
      <c r="M16" s="3"/>
      <c r="X16">
        <f t="shared" si="0"/>
        <v>0</v>
      </c>
      <c r="Y16">
        <f t="shared" si="1"/>
        <v>0</v>
      </c>
    </row>
    <row r="17" spans="1:25">
      <c r="A17" s="8" t="s">
        <v>26</v>
      </c>
      <c r="B17" s="27" t="s">
        <v>26</v>
      </c>
      <c r="C17" s="8" t="s">
        <v>26</v>
      </c>
      <c r="D17" s="13"/>
      <c r="E17" s="13"/>
      <c r="F17" s="13"/>
      <c r="G17" s="8"/>
      <c r="H17" s="13"/>
      <c r="I17" s="13"/>
      <c r="J17" s="13">
        <f>E17+H17</f>
        <v>0</v>
      </c>
      <c r="K17" s="13">
        <f>F17+I17</f>
        <v>0</v>
      </c>
      <c r="L17" s="50"/>
      <c r="M17" s="3"/>
      <c r="X17">
        <f t="shared" si="0"/>
        <v>0</v>
      </c>
      <c r="Y17">
        <f t="shared" si="1"/>
        <v>0</v>
      </c>
    </row>
    <row r="18" spans="1:25">
      <c r="A18" s="9" t="s">
        <v>26</v>
      </c>
      <c r="B18" s="29" t="s">
        <v>68</v>
      </c>
      <c r="C18" s="9" t="s">
        <v>26</v>
      </c>
      <c r="D18" s="16"/>
      <c r="E18" s="16"/>
      <c r="F18" s="16"/>
      <c r="G18" s="9"/>
      <c r="H18" s="16"/>
      <c r="I18" s="16"/>
      <c r="J18" s="16"/>
      <c r="K18" s="16"/>
      <c r="L18" s="50"/>
      <c r="M18" s="3"/>
      <c r="X18">
        <f t="shared" si="0"/>
        <v>0</v>
      </c>
      <c r="Y18">
        <f t="shared" si="1"/>
        <v>0</v>
      </c>
    </row>
    <row r="19" spans="1:25">
      <c r="A19" s="8" t="s">
        <v>26</v>
      </c>
      <c r="B19" s="27" t="s">
        <v>26</v>
      </c>
      <c r="C19" s="8" t="s">
        <v>26</v>
      </c>
      <c r="D19" s="13"/>
      <c r="E19" s="13"/>
      <c r="F19" s="13"/>
      <c r="G19" s="8"/>
      <c r="H19" s="13"/>
      <c r="I19" s="13"/>
      <c r="J19" s="13">
        <f t="shared" ref="J19:K22" si="10">E19+H19</f>
        <v>0</v>
      </c>
      <c r="K19" s="13">
        <f t="shared" si="10"/>
        <v>0</v>
      </c>
      <c r="L19" s="50"/>
      <c r="M19" s="3"/>
      <c r="O19" s="43"/>
      <c r="P19" s="43"/>
      <c r="Q19" s="43"/>
      <c r="R19" s="43"/>
      <c r="S19" s="43"/>
      <c r="T19" s="43"/>
      <c r="U19" s="43"/>
      <c r="V19" s="43"/>
      <c r="X19">
        <f t="shared" si="0"/>
        <v>0</v>
      </c>
      <c r="Y19">
        <f t="shared" si="1"/>
        <v>0</v>
      </c>
    </row>
    <row r="20" spans="1:25" ht="23.25">
      <c r="A20" s="8" t="s">
        <v>26</v>
      </c>
      <c r="B20" s="27" t="s">
        <v>69</v>
      </c>
      <c r="C20" s="8" t="s">
        <v>26</v>
      </c>
      <c r="D20" s="13"/>
      <c r="E20" s="13"/>
      <c r="F20" s="13"/>
      <c r="G20" s="8"/>
      <c r="H20" s="13"/>
      <c r="I20" s="13"/>
      <c r="J20" s="13">
        <f t="shared" si="10"/>
        <v>0</v>
      </c>
      <c r="K20" s="13">
        <f t="shared" si="10"/>
        <v>0</v>
      </c>
      <c r="L20" s="50"/>
      <c r="M20" s="3"/>
      <c r="O20" s="43"/>
      <c r="P20" s="43"/>
      <c r="Q20" s="43"/>
      <c r="R20" s="43"/>
      <c r="X20">
        <f t="shared" si="0"/>
        <v>0</v>
      </c>
      <c r="Y20">
        <f t="shared" si="1"/>
        <v>0</v>
      </c>
    </row>
    <row r="21" spans="1:25">
      <c r="A21" s="8" t="s">
        <v>26</v>
      </c>
      <c r="B21" s="27" t="s">
        <v>26</v>
      </c>
      <c r="C21" s="8" t="s">
        <v>26</v>
      </c>
      <c r="D21" s="13"/>
      <c r="E21" s="13"/>
      <c r="F21" s="13"/>
      <c r="G21" s="8"/>
      <c r="H21" s="13"/>
      <c r="I21" s="13"/>
      <c r="J21" s="13">
        <f t="shared" si="10"/>
        <v>0</v>
      </c>
      <c r="K21" s="13">
        <f t="shared" si="10"/>
        <v>0</v>
      </c>
      <c r="L21" s="50"/>
      <c r="M21" s="3"/>
      <c r="O21" s="43"/>
      <c r="P21" s="43"/>
      <c r="Q21" s="43"/>
      <c r="R21" s="43"/>
      <c r="S21" s="43"/>
      <c r="T21" s="43"/>
      <c r="U21" s="43"/>
      <c r="V21" s="43"/>
      <c r="X21">
        <f t="shared" si="0"/>
        <v>0</v>
      </c>
      <c r="Y21">
        <f t="shared" si="1"/>
        <v>0</v>
      </c>
    </row>
    <row r="22" spans="1:25">
      <c r="A22" s="8"/>
      <c r="B22" s="27" t="s">
        <v>70</v>
      </c>
      <c r="C22" s="8" t="s">
        <v>71</v>
      </c>
      <c r="D22" s="13">
        <v>1</v>
      </c>
      <c r="E22" s="46">
        <f>SUM(Q22)</f>
        <v>0</v>
      </c>
      <c r="F22" s="46">
        <f>D22*E22</f>
        <v>0</v>
      </c>
      <c r="G22" s="47"/>
      <c r="H22" s="46">
        <f>SUM(V22)</f>
        <v>0</v>
      </c>
      <c r="I22" s="46">
        <f>D22*H22</f>
        <v>0</v>
      </c>
      <c r="J22" s="13">
        <f t="shared" si="10"/>
        <v>0</v>
      </c>
      <c r="K22" s="13">
        <f t="shared" si="10"/>
        <v>0</v>
      </c>
      <c r="L22" s="50"/>
      <c r="M22" s="3"/>
      <c r="O22" s="40"/>
      <c r="P22" s="41">
        <f>$P$1</f>
        <v>1.155</v>
      </c>
      <c r="Q22" s="42">
        <f>SUM(P22*O22)</f>
        <v>0</v>
      </c>
      <c r="R22" s="43"/>
      <c r="S22" s="43"/>
      <c r="T22" s="44"/>
      <c r="U22" s="45">
        <f>$U$1</f>
        <v>1.155</v>
      </c>
      <c r="V22" s="44">
        <f>SUM(U22*T22)</f>
        <v>0</v>
      </c>
      <c r="X22">
        <f t="shared" si="0"/>
        <v>0</v>
      </c>
      <c r="Y22">
        <f t="shared" si="1"/>
        <v>0</v>
      </c>
    </row>
    <row r="23" spans="1:25" ht="24.75">
      <c r="A23" s="19"/>
      <c r="B23" s="31" t="s">
        <v>72</v>
      </c>
      <c r="C23" s="19" t="s">
        <v>26</v>
      </c>
      <c r="D23" s="20"/>
      <c r="E23" s="20"/>
      <c r="F23" s="20"/>
      <c r="G23" s="19"/>
      <c r="H23" s="20"/>
      <c r="I23" s="20"/>
      <c r="J23" s="20"/>
      <c r="K23" s="20"/>
      <c r="L23" s="50"/>
      <c r="M23" s="3"/>
      <c r="O23" s="43"/>
      <c r="P23" s="43"/>
      <c r="Q23" s="43"/>
      <c r="R23" s="43"/>
      <c r="S23" s="43"/>
      <c r="W23" s="43"/>
      <c r="X23">
        <f t="shared" si="0"/>
        <v>0</v>
      </c>
      <c r="Y23">
        <f t="shared" si="1"/>
        <v>0</v>
      </c>
    </row>
    <row r="24" spans="1:25">
      <c r="A24" s="8"/>
      <c r="B24" s="27" t="s">
        <v>73</v>
      </c>
      <c r="C24" s="8" t="s">
        <v>74</v>
      </c>
      <c r="D24" s="13">
        <v>320</v>
      </c>
      <c r="E24" s="46">
        <f>SUM(Q24)</f>
        <v>0</v>
      </c>
      <c r="F24" s="46">
        <f>D24*E24</f>
        <v>0</v>
      </c>
      <c r="G24" s="47"/>
      <c r="H24" s="46">
        <f>SUM(V24)</f>
        <v>69.3</v>
      </c>
      <c r="I24" s="46">
        <f>D24*H24</f>
        <v>22176</v>
      </c>
      <c r="J24" s="13">
        <f>E24+H24</f>
        <v>69.3</v>
      </c>
      <c r="K24" s="13">
        <f>F24+I24</f>
        <v>22176</v>
      </c>
      <c r="L24" s="50"/>
      <c r="M24" s="3"/>
      <c r="O24" s="40"/>
      <c r="P24" s="41">
        <f>$P$1</f>
        <v>1.155</v>
      </c>
      <c r="Q24" s="42">
        <f>SUM(P24*O24)</f>
        <v>0</v>
      </c>
      <c r="R24" s="43"/>
      <c r="S24" s="43"/>
      <c r="T24" s="44">
        <v>60</v>
      </c>
      <c r="U24" s="45">
        <f>$U$1</f>
        <v>1.155</v>
      </c>
      <c r="V24" s="44">
        <f>SUM(U24*T24)</f>
        <v>69.3</v>
      </c>
      <c r="X24">
        <f t="shared" si="0"/>
        <v>0</v>
      </c>
      <c r="Y24">
        <f t="shared" si="1"/>
        <v>19200</v>
      </c>
    </row>
    <row r="25" spans="1:25" ht="24.75">
      <c r="A25" s="19"/>
      <c r="B25" s="31" t="s">
        <v>75</v>
      </c>
      <c r="C25" s="19" t="s">
        <v>26</v>
      </c>
      <c r="D25" s="20"/>
      <c r="E25" s="20"/>
      <c r="F25" s="20"/>
      <c r="G25" s="19"/>
      <c r="H25" s="20"/>
      <c r="I25" s="20"/>
      <c r="J25" s="20"/>
      <c r="K25" s="20"/>
      <c r="L25" s="50"/>
      <c r="M25" s="3"/>
      <c r="O25" s="43"/>
      <c r="P25" s="43"/>
      <c r="Q25" s="43"/>
      <c r="R25" s="43"/>
      <c r="S25" s="43"/>
      <c r="X25">
        <f t="shared" si="0"/>
        <v>0</v>
      </c>
      <c r="Y25">
        <f t="shared" si="1"/>
        <v>0</v>
      </c>
    </row>
    <row r="26" spans="1:25">
      <c r="A26" s="8"/>
      <c r="B26" s="27" t="s">
        <v>76</v>
      </c>
      <c r="C26" s="8" t="s">
        <v>64</v>
      </c>
      <c r="D26" s="13">
        <v>137</v>
      </c>
      <c r="E26" s="46">
        <f>SUM(Q26)</f>
        <v>0</v>
      </c>
      <c r="F26" s="46">
        <f>D26*E26</f>
        <v>0</v>
      </c>
      <c r="G26" s="47"/>
      <c r="H26" s="46">
        <f>SUM(V26)</f>
        <v>334.95</v>
      </c>
      <c r="I26" s="46">
        <f>D26*H26</f>
        <v>45888.15</v>
      </c>
      <c r="J26" s="13">
        <f>E26+H26</f>
        <v>334.95</v>
      </c>
      <c r="K26" s="13">
        <f>F26+I26</f>
        <v>45888.15</v>
      </c>
      <c r="L26" s="50"/>
      <c r="M26" s="3"/>
      <c r="O26" s="40"/>
      <c r="P26" s="41">
        <f>$P$1</f>
        <v>1.155</v>
      </c>
      <c r="Q26" s="42">
        <f>SUM(P26*O26)</f>
        <v>0</v>
      </c>
      <c r="R26" s="43"/>
      <c r="S26" s="43"/>
      <c r="T26" s="44">
        <v>290</v>
      </c>
      <c r="U26" s="45">
        <f>$U$1</f>
        <v>1.155</v>
      </c>
      <c r="V26" s="44">
        <f>SUM(U26*T26)</f>
        <v>334.95</v>
      </c>
      <c r="X26">
        <f t="shared" si="0"/>
        <v>0</v>
      </c>
      <c r="Y26">
        <f t="shared" si="1"/>
        <v>39730</v>
      </c>
    </row>
    <row r="27" spans="1:25" ht="24.75">
      <c r="A27" s="19"/>
      <c r="B27" s="31" t="s">
        <v>77</v>
      </c>
      <c r="C27" s="19" t="s">
        <v>26</v>
      </c>
      <c r="D27" s="20"/>
      <c r="E27" s="20"/>
      <c r="F27" s="20"/>
      <c r="G27" s="19"/>
      <c r="H27" s="20"/>
      <c r="I27" s="20"/>
      <c r="J27" s="20"/>
      <c r="K27" s="20"/>
      <c r="L27" s="50"/>
      <c r="M27" s="3"/>
      <c r="O27" s="43"/>
      <c r="P27" s="43"/>
      <c r="Q27" s="43"/>
      <c r="R27" s="43"/>
      <c r="S27" s="43"/>
      <c r="X27">
        <f t="shared" si="0"/>
        <v>0</v>
      </c>
      <c r="Y27">
        <f t="shared" si="1"/>
        <v>0</v>
      </c>
    </row>
    <row r="28" spans="1:25">
      <c r="A28" s="8"/>
      <c r="B28" s="27" t="s">
        <v>76</v>
      </c>
      <c r="C28" s="8" t="s">
        <v>64</v>
      </c>
      <c r="D28" s="13">
        <v>23</v>
      </c>
      <c r="E28" s="46">
        <f>SUM(Q28)</f>
        <v>0</v>
      </c>
      <c r="F28" s="46">
        <f>D28*E28</f>
        <v>0</v>
      </c>
      <c r="G28" s="47"/>
      <c r="H28" s="46">
        <f>SUM(V28)</f>
        <v>334.95</v>
      </c>
      <c r="I28" s="46">
        <f>D28*H28</f>
        <v>7703.8499999999995</v>
      </c>
      <c r="J28" s="13">
        <f>E28+H28</f>
        <v>334.95</v>
      </c>
      <c r="K28" s="13">
        <f>F28+I28</f>
        <v>7703.8499999999995</v>
      </c>
      <c r="L28" s="50"/>
      <c r="M28" s="3"/>
      <c r="O28" s="43"/>
      <c r="P28" s="43"/>
      <c r="Q28" s="43"/>
      <c r="R28" s="43"/>
      <c r="T28" s="44">
        <v>290</v>
      </c>
      <c r="U28" s="45">
        <f>$U$1</f>
        <v>1.155</v>
      </c>
      <c r="V28" s="44">
        <f>SUM(U28*T28)</f>
        <v>334.95</v>
      </c>
      <c r="X28">
        <f t="shared" si="0"/>
        <v>0</v>
      </c>
      <c r="Y28">
        <f t="shared" si="1"/>
        <v>6670</v>
      </c>
    </row>
    <row r="29" spans="1:25" ht="24.75">
      <c r="A29" s="19"/>
      <c r="B29" s="31" t="s">
        <v>78</v>
      </c>
      <c r="C29" s="19" t="s">
        <v>26</v>
      </c>
      <c r="D29" s="20"/>
      <c r="E29" s="20"/>
      <c r="F29" s="20"/>
      <c r="G29" s="19"/>
      <c r="H29" s="20"/>
      <c r="I29" s="20"/>
      <c r="J29" s="20"/>
      <c r="K29" s="20"/>
      <c r="L29" s="50"/>
      <c r="M29" s="3"/>
      <c r="O29" s="43"/>
      <c r="P29" s="43"/>
      <c r="Q29" s="43"/>
      <c r="R29" s="43"/>
      <c r="X29">
        <f t="shared" si="0"/>
        <v>0</v>
      </c>
      <c r="Y29">
        <f t="shared" si="1"/>
        <v>0</v>
      </c>
    </row>
    <row r="30" spans="1:25">
      <c r="A30" s="8"/>
      <c r="B30" s="27" t="s">
        <v>76</v>
      </c>
      <c r="C30" s="8" t="s">
        <v>64</v>
      </c>
      <c r="D30" s="13">
        <v>37</v>
      </c>
      <c r="E30" s="46">
        <f>SUM(Q30)</f>
        <v>0</v>
      </c>
      <c r="F30" s="46">
        <f>D30*E30</f>
        <v>0</v>
      </c>
      <c r="G30" s="47"/>
      <c r="H30" s="46">
        <f>SUM(V30)</f>
        <v>334.95</v>
      </c>
      <c r="I30" s="46">
        <f>D30*H30</f>
        <v>12393.15</v>
      </c>
      <c r="J30" s="13">
        <f>E30+H30</f>
        <v>334.95</v>
      </c>
      <c r="K30" s="13">
        <f>F30+I30</f>
        <v>12393.15</v>
      </c>
      <c r="L30" s="50"/>
      <c r="M30" s="3"/>
      <c r="O30" s="43"/>
      <c r="P30" s="43"/>
      <c r="Q30" s="43"/>
      <c r="R30" s="43"/>
      <c r="T30" s="44">
        <v>290</v>
      </c>
      <c r="U30" s="45">
        <f>$U$1</f>
        <v>1.155</v>
      </c>
      <c r="V30" s="44">
        <f>SUM(U30*T30)</f>
        <v>334.95</v>
      </c>
      <c r="X30">
        <f t="shared" si="0"/>
        <v>0</v>
      </c>
      <c r="Y30">
        <f t="shared" si="1"/>
        <v>10730</v>
      </c>
    </row>
    <row r="31" spans="1:25" ht="24.75">
      <c r="A31" s="19"/>
      <c r="B31" s="31" t="s">
        <v>79</v>
      </c>
      <c r="C31" s="19" t="s">
        <v>26</v>
      </c>
      <c r="D31" s="20"/>
      <c r="E31" s="20"/>
      <c r="F31" s="20"/>
      <c r="G31" s="19"/>
      <c r="H31" s="20"/>
      <c r="I31" s="20"/>
      <c r="J31" s="20"/>
      <c r="K31" s="20"/>
      <c r="L31" s="50"/>
      <c r="M31" s="3"/>
      <c r="O31" s="43"/>
      <c r="P31" s="43"/>
      <c r="Q31" s="43"/>
      <c r="R31" s="43"/>
      <c r="X31">
        <f t="shared" si="0"/>
        <v>0</v>
      </c>
      <c r="Y31">
        <f t="shared" si="1"/>
        <v>0</v>
      </c>
    </row>
    <row r="32" spans="1:25">
      <c r="A32" s="8"/>
      <c r="B32" s="27" t="s">
        <v>76</v>
      </c>
      <c r="C32" s="8" t="s">
        <v>64</v>
      </c>
      <c r="D32" s="13">
        <v>25</v>
      </c>
      <c r="E32" s="46">
        <f>SUM(Q32)</f>
        <v>0</v>
      </c>
      <c r="F32" s="46">
        <f>D32*E32</f>
        <v>0</v>
      </c>
      <c r="G32" s="47"/>
      <c r="H32" s="46">
        <f>SUM(V32)</f>
        <v>334.95</v>
      </c>
      <c r="I32" s="46">
        <f>D32*H32</f>
        <v>8373.75</v>
      </c>
      <c r="J32" s="13">
        <f>E32+H32</f>
        <v>334.95</v>
      </c>
      <c r="K32" s="13">
        <f>F32+I32</f>
        <v>8373.75</v>
      </c>
      <c r="L32" s="50"/>
      <c r="M32" s="3"/>
      <c r="O32" s="43"/>
      <c r="P32" s="43"/>
      <c r="Q32" s="43"/>
      <c r="R32" s="43"/>
      <c r="T32" s="44">
        <v>290</v>
      </c>
      <c r="U32" s="45">
        <f>$U$1</f>
        <v>1.155</v>
      </c>
      <c r="V32" s="44">
        <f>SUM(U32*T32)</f>
        <v>334.95</v>
      </c>
      <c r="X32">
        <f t="shared" si="0"/>
        <v>0</v>
      </c>
      <c r="Y32">
        <f t="shared" si="1"/>
        <v>7250</v>
      </c>
    </row>
    <row r="33" spans="1:25" ht="24.75">
      <c r="A33" s="19"/>
      <c r="B33" s="31" t="s">
        <v>80</v>
      </c>
      <c r="C33" s="19" t="s">
        <v>26</v>
      </c>
      <c r="D33" s="20"/>
      <c r="E33" s="20"/>
      <c r="F33" s="20"/>
      <c r="G33" s="19"/>
      <c r="H33" s="20"/>
      <c r="I33" s="20"/>
      <c r="J33" s="20"/>
      <c r="K33" s="20"/>
      <c r="L33" s="50"/>
      <c r="M33" s="3"/>
      <c r="O33" s="43"/>
      <c r="P33" s="43"/>
      <c r="Q33" s="43"/>
      <c r="R33" s="43"/>
      <c r="X33">
        <f t="shared" si="0"/>
        <v>0</v>
      </c>
      <c r="Y33">
        <f t="shared" si="1"/>
        <v>0</v>
      </c>
    </row>
    <row r="34" spans="1:25">
      <c r="A34" s="8"/>
      <c r="B34" s="27" t="s">
        <v>76</v>
      </c>
      <c r="C34" s="8" t="s">
        <v>64</v>
      </c>
      <c r="D34" s="13">
        <v>67</v>
      </c>
      <c r="E34" s="46">
        <f>SUM(Q34)</f>
        <v>0</v>
      </c>
      <c r="F34" s="46">
        <f>D34*E34</f>
        <v>0</v>
      </c>
      <c r="G34" s="47"/>
      <c r="H34" s="46">
        <f>SUM(V34)</f>
        <v>334.95</v>
      </c>
      <c r="I34" s="46">
        <f>D34*H34</f>
        <v>22441.649999999998</v>
      </c>
      <c r="J34" s="13">
        <f>E34+H34</f>
        <v>334.95</v>
      </c>
      <c r="K34" s="13">
        <f>F34+I34</f>
        <v>22441.649999999998</v>
      </c>
      <c r="L34" s="50"/>
      <c r="M34" s="3"/>
      <c r="O34" s="43"/>
      <c r="P34" s="43"/>
      <c r="Q34" s="43"/>
      <c r="R34" s="43"/>
      <c r="T34" s="44">
        <v>290</v>
      </c>
      <c r="U34" s="45">
        <f>$U$1</f>
        <v>1.155</v>
      </c>
      <c r="V34" s="44">
        <f>SUM(U34*T34)</f>
        <v>334.95</v>
      </c>
      <c r="X34">
        <f t="shared" si="0"/>
        <v>0</v>
      </c>
      <c r="Y34">
        <f t="shared" si="1"/>
        <v>19430</v>
      </c>
    </row>
    <row r="35" spans="1:25" ht="24.75">
      <c r="A35" s="19"/>
      <c r="B35" s="31" t="s">
        <v>81</v>
      </c>
      <c r="C35" s="19" t="s">
        <v>26</v>
      </c>
      <c r="D35" s="20"/>
      <c r="E35" s="20"/>
      <c r="F35" s="20"/>
      <c r="G35" s="19"/>
      <c r="H35" s="20"/>
      <c r="I35" s="20"/>
      <c r="J35" s="20"/>
      <c r="K35" s="20"/>
      <c r="L35" s="50"/>
      <c r="M35" s="3"/>
      <c r="O35" s="43"/>
      <c r="P35" s="43"/>
      <c r="Q35" s="43"/>
      <c r="R35" s="43"/>
      <c r="S35" s="43"/>
      <c r="T35" s="43"/>
      <c r="U35" s="43"/>
      <c r="V35" s="43"/>
      <c r="W35" s="43"/>
      <c r="X35">
        <f t="shared" si="0"/>
        <v>0</v>
      </c>
      <c r="Y35">
        <f t="shared" si="1"/>
        <v>0</v>
      </c>
    </row>
    <row r="36" spans="1:25">
      <c r="A36" s="8"/>
      <c r="B36" s="27" t="s">
        <v>82</v>
      </c>
      <c r="C36" s="8" t="s">
        <v>64</v>
      </c>
      <c r="D36" s="13">
        <v>4</v>
      </c>
      <c r="E36" s="46">
        <f t="shared" ref="E36:E37" si="11">SUM(Q36)</f>
        <v>0</v>
      </c>
      <c r="F36" s="46">
        <f t="shared" ref="F36:F37" si="12">D36*E36</f>
        <v>0</v>
      </c>
      <c r="G36" s="47"/>
      <c r="H36" s="46">
        <f t="shared" ref="H36:H37" si="13">SUM(V36)</f>
        <v>519.75</v>
      </c>
      <c r="I36" s="46">
        <f t="shared" ref="I36:I37" si="14">D36*H36</f>
        <v>2079</v>
      </c>
      <c r="J36" s="13">
        <f>E36+H36</f>
        <v>519.75</v>
      </c>
      <c r="K36" s="13">
        <f>F36+I36</f>
        <v>2079</v>
      </c>
      <c r="L36" s="50"/>
      <c r="M36" s="3"/>
      <c r="O36" s="43"/>
      <c r="P36" s="43"/>
      <c r="Q36" s="43"/>
      <c r="R36" s="43"/>
      <c r="T36" s="44">
        <v>450</v>
      </c>
      <c r="U36" s="45">
        <f>$U$1</f>
        <v>1.155</v>
      </c>
      <c r="V36" s="44">
        <f>SUM(U36*T36)</f>
        <v>519.75</v>
      </c>
      <c r="X36">
        <f t="shared" si="0"/>
        <v>0</v>
      </c>
      <c r="Y36">
        <f t="shared" si="1"/>
        <v>1800</v>
      </c>
    </row>
    <row r="37" spans="1:25">
      <c r="A37" s="8"/>
      <c r="B37" s="27" t="s">
        <v>83</v>
      </c>
      <c r="C37" s="8" t="s">
        <v>64</v>
      </c>
      <c r="D37" s="13">
        <v>4</v>
      </c>
      <c r="E37" s="46">
        <f t="shared" si="11"/>
        <v>0</v>
      </c>
      <c r="F37" s="46">
        <f t="shared" si="12"/>
        <v>0</v>
      </c>
      <c r="G37" s="47"/>
      <c r="H37" s="46">
        <f t="shared" si="13"/>
        <v>519.75</v>
      </c>
      <c r="I37" s="46">
        <f t="shared" si="14"/>
        <v>2079</v>
      </c>
      <c r="J37" s="13">
        <f>E37+H37</f>
        <v>519.75</v>
      </c>
      <c r="K37" s="13">
        <f>F37+I37</f>
        <v>2079</v>
      </c>
      <c r="L37" s="50"/>
      <c r="M37" s="3"/>
      <c r="O37" s="43"/>
      <c r="P37" s="43"/>
      <c r="Q37" s="43"/>
      <c r="R37" s="43"/>
      <c r="T37" s="44">
        <v>450</v>
      </c>
      <c r="U37" s="45">
        <f>$U$1</f>
        <v>1.155</v>
      </c>
      <c r="V37" s="44">
        <f>SUM(U37*T37)</f>
        <v>519.75</v>
      </c>
      <c r="X37">
        <f t="shared" si="0"/>
        <v>0</v>
      </c>
      <c r="Y37">
        <f t="shared" si="1"/>
        <v>1800</v>
      </c>
    </row>
    <row r="38" spans="1:25">
      <c r="A38" s="19"/>
      <c r="B38" s="31" t="s">
        <v>84</v>
      </c>
      <c r="C38" s="19" t="s">
        <v>26</v>
      </c>
      <c r="D38" s="20"/>
      <c r="E38" s="20"/>
      <c r="F38" s="20"/>
      <c r="G38" s="19"/>
      <c r="H38" s="20"/>
      <c r="I38" s="20"/>
      <c r="J38" s="20"/>
      <c r="K38" s="20"/>
      <c r="L38" s="50"/>
      <c r="M38" s="3"/>
      <c r="O38" s="43"/>
      <c r="P38" s="43"/>
      <c r="Q38" s="43"/>
      <c r="R38" s="43"/>
      <c r="X38">
        <f t="shared" si="0"/>
        <v>0</v>
      </c>
      <c r="Y38">
        <f t="shared" si="1"/>
        <v>0</v>
      </c>
    </row>
    <row r="39" spans="1:25">
      <c r="A39" s="8"/>
      <c r="B39" s="27" t="s">
        <v>76</v>
      </c>
      <c r="C39" s="8" t="s">
        <v>64</v>
      </c>
      <c r="D39" s="13">
        <v>4</v>
      </c>
      <c r="E39" s="46">
        <f>SUM(Q39)</f>
        <v>0</v>
      </c>
      <c r="F39" s="46">
        <f>D39*E39</f>
        <v>0</v>
      </c>
      <c r="G39" s="47"/>
      <c r="H39" s="46">
        <f>SUM(V39)</f>
        <v>334.95</v>
      </c>
      <c r="I39" s="46">
        <f>D39*H39</f>
        <v>1339.8</v>
      </c>
      <c r="J39" s="13">
        <f>E39+H39</f>
        <v>334.95</v>
      </c>
      <c r="K39" s="13">
        <f>F39+I39</f>
        <v>1339.8</v>
      </c>
      <c r="L39" s="50"/>
      <c r="M39" s="3"/>
      <c r="O39" s="43"/>
      <c r="P39" s="43"/>
      <c r="Q39" s="43"/>
      <c r="R39" s="43"/>
      <c r="T39" s="44">
        <v>290</v>
      </c>
      <c r="U39" s="45">
        <f>$U$1</f>
        <v>1.155</v>
      </c>
      <c r="V39" s="44">
        <f>SUM(U39*T39)</f>
        <v>334.95</v>
      </c>
      <c r="X39">
        <f t="shared" si="0"/>
        <v>0</v>
      </c>
      <c r="Y39">
        <f t="shared" si="1"/>
        <v>1160</v>
      </c>
    </row>
    <row r="40" spans="1:25" ht="24.75">
      <c r="A40" s="19"/>
      <c r="B40" s="31" t="s">
        <v>85</v>
      </c>
      <c r="C40" s="19" t="s">
        <v>26</v>
      </c>
      <c r="D40" s="20"/>
      <c r="E40" s="20"/>
      <c r="F40" s="20"/>
      <c r="G40" s="19"/>
      <c r="H40" s="20"/>
      <c r="I40" s="20"/>
      <c r="J40" s="20"/>
      <c r="K40" s="20"/>
      <c r="L40" s="50"/>
      <c r="M40" s="3"/>
      <c r="O40" s="43"/>
      <c r="P40" s="43"/>
      <c r="Q40" s="43"/>
      <c r="R40" s="43"/>
      <c r="X40">
        <f t="shared" si="0"/>
        <v>0</v>
      </c>
      <c r="Y40">
        <f t="shared" si="1"/>
        <v>0</v>
      </c>
    </row>
    <row r="41" spans="1:25">
      <c r="A41" s="8"/>
      <c r="B41" s="27" t="s">
        <v>76</v>
      </c>
      <c r="C41" s="8" t="s">
        <v>64</v>
      </c>
      <c r="D41" s="13">
        <v>9</v>
      </c>
      <c r="E41" s="46">
        <f>SUM(Q41)</f>
        <v>0</v>
      </c>
      <c r="F41" s="46">
        <f>D41*E41</f>
        <v>0</v>
      </c>
      <c r="G41" s="47"/>
      <c r="H41" s="46">
        <f>SUM(V41)</f>
        <v>334.95</v>
      </c>
      <c r="I41" s="46">
        <f>D41*H41</f>
        <v>3014.5499999999997</v>
      </c>
      <c r="J41" s="13">
        <f>E41+H41</f>
        <v>334.95</v>
      </c>
      <c r="K41" s="13">
        <f>F41+I41</f>
        <v>3014.5499999999997</v>
      </c>
      <c r="L41" s="50"/>
      <c r="M41" s="3"/>
      <c r="O41" s="43"/>
      <c r="P41" s="43"/>
      <c r="Q41" s="43"/>
      <c r="R41" s="43"/>
      <c r="T41" s="44">
        <v>290</v>
      </c>
      <c r="U41" s="45">
        <f>$U$1</f>
        <v>1.155</v>
      </c>
      <c r="V41" s="44">
        <f>SUM(U41*T41)</f>
        <v>334.95</v>
      </c>
      <c r="X41">
        <f t="shared" si="0"/>
        <v>0</v>
      </c>
      <c r="Y41">
        <f t="shared" si="1"/>
        <v>2610</v>
      </c>
    </row>
    <row r="42" spans="1:25" ht="24.75">
      <c r="A42" s="19"/>
      <c r="B42" s="31" t="s">
        <v>86</v>
      </c>
      <c r="C42" s="19" t="s">
        <v>26</v>
      </c>
      <c r="D42" s="20"/>
      <c r="E42" s="20"/>
      <c r="F42" s="20"/>
      <c r="G42" s="19"/>
      <c r="H42" s="20"/>
      <c r="I42" s="20"/>
      <c r="J42" s="20"/>
      <c r="K42" s="20"/>
      <c r="L42" s="50"/>
      <c r="M42" s="3"/>
      <c r="O42" s="43"/>
      <c r="P42" s="43"/>
      <c r="Q42" s="43"/>
      <c r="R42" s="43"/>
      <c r="X42">
        <f t="shared" si="0"/>
        <v>0</v>
      </c>
      <c r="Y42">
        <f t="shared" si="1"/>
        <v>0</v>
      </c>
    </row>
    <row r="43" spans="1:25">
      <c r="A43" s="17"/>
      <c r="B43" s="30" t="s">
        <v>76</v>
      </c>
      <c r="C43" s="17" t="s">
        <v>64</v>
      </c>
      <c r="D43" s="18">
        <v>17</v>
      </c>
      <c r="E43" s="46">
        <f>SUM(Q43)</f>
        <v>0</v>
      </c>
      <c r="F43" s="46">
        <f>D43*E43</f>
        <v>0</v>
      </c>
      <c r="G43" s="47"/>
      <c r="H43" s="46">
        <f>SUM(V43)</f>
        <v>334.95</v>
      </c>
      <c r="I43" s="46">
        <f>D43*H43</f>
        <v>5694.15</v>
      </c>
      <c r="J43" s="18">
        <f>E43+H43</f>
        <v>334.95</v>
      </c>
      <c r="K43" s="18">
        <f>F43+I43</f>
        <v>5694.15</v>
      </c>
      <c r="L43" s="50"/>
      <c r="M43" s="3"/>
      <c r="O43" s="43"/>
      <c r="P43" s="43"/>
      <c r="Q43" s="43"/>
      <c r="R43" s="43"/>
      <c r="T43" s="44">
        <v>290</v>
      </c>
      <c r="U43" s="45">
        <f>$U$1</f>
        <v>1.155</v>
      </c>
      <c r="V43" s="44">
        <f>SUM(U43*T43)</f>
        <v>334.95</v>
      </c>
      <c r="X43">
        <f t="shared" si="0"/>
        <v>0</v>
      </c>
      <c r="Y43">
        <f t="shared" si="1"/>
        <v>4930</v>
      </c>
    </row>
    <row r="44" spans="1:25" ht="24.75">
      <c r="A44" s="19"/>
      <c r="B44" s="31" t="s">
        <v>87</v>
      </c>
      <c r="C44" s="19" t="s">
        <v>26</v>
      </c>
      <c r="D44" s="20"/>
      <c r="E44" s="20"/>
      <c r="F44" s="20"/>
      <c r="G44" s="19"/>
      <c r="H44" s="20"/>
      <c r="I44" s="20"/>
      <c r="J44" s="20"/>
      <c r="K44" s="20"/>
      <c r="L44" s="50"/>
      <c r="M44" s="3"/>
      <c r="O44" s="43"/>
      <c r="P44" s="43"/>
      <c r="Q44" s="43"/>
      <c r="R44" s="43"/>
      <c r="X44">
        <f t="shared" si="0"/>
        <v>0</v>
      </c>
      <c r="Y44">
        <f t="shared" si="1"/>
        <v>0</v>
      </c>
    </row>
    <row r="45" spans="1:25">
      <c r="A45" s="17"/>
      <c r="B45" s="30" t="s">
        <v>76</v>
      </c>
      <c r="C45" s="17" t="s">
        <v>64</v>
      </c>
      <c r="D45" s="18">
        <v>34</v>
      </c>
      <c r="E45" s="46">
        <f>SUM(Q45)</f>
        <v>0</v>
      </c>
      <c r="F45" s="46">
        <f>D45*E45</f>
        <v>0</v>
      </c>
      <c r="G45" s="47"/>
      <c r="H45" s="46">
        <f>SUM(V45)</f>
        <v>334.95</v>
      </c>
      <c r="I45" s="46">
        <f>D45*H45</f>
        <v>11388.3</v>
      </c>
      <c r="J45" s="18">
        <f>E45+H45</f>
        <v>334.95</v>
      </c>
      <c r="K45" s="18">
        <f>F45+I45</f>
        <v>11388.3</v>
      </c>
      <c r="L45" s="50"/>
      <c r="M45" s="3"/>
      <c r="O45" s="43"/>
      <c r="P45" s="43"/>
      <c r="Q45" s="43"/>
      <c r="R45" s="43"/>
      <c r="T45" s="44">
        <v>290</v>
      </c>
      <c r="U45" s="45">
        <f>$U$1</f>
        <v>1.155</v>
      </c>
      <c r="V45" s="44">
        <f>SUM(U45*T45)</f>
        <v>334.95</v>
      </c>
      <c r="X45">
        <f t="shared" si="0"/>
        <v>0</v>
      </c>
      <c r="Y45">
        <f t="shared" si="1"/>
        <v>9860</v>
      </c>
    </row>
    <row r="46" spans="1:25">
      <c r="A46" s="8" t="s">
        <v>26</v>
      </c>
      <c r="B46" s="27" t="s">
        <v>26</v>
      </c>
      <c r="C46" s="8" t="s">
        <v>26</v>
      </c>
      <c r="D46" s="13"/>
      <c r="E46" s="13"/>
      <c r="F46" s="13"/>
      <c r="G46" s="8"/>
      <c r="H46" s="13"/>
      <c r="I46" s="13"/>
      <c r="J46" s="13">
        <f>E46+H46</f>
        <v>0</v>
      </c>
      <c r="K46" s="13">
        <f>F46+I46</f>
        <v>0</v>
      </c>
      <c r="L46" s="50"/>
      <c r="M46" s="3"/>
      <c r="O46" s="43"/>
      <c r="P46" s="43"/>
      <c r="Q46" s="43"/>
      <c r="R46" s="43"/>
      <c r="X46">
        <f t="shared" si="0"/>
        <v>0</v>
      </c>
      <c r="Y46">
        <f t="shared" si="1"/>
        <v>0</v>
      </c>
    </row>
    <row r="47" spans="1:25">
      <c r="A47" s="9" t="s">
        <v>26</v>
      </c>
      <c r="B47" s="29" t="s">
        <v>88</v>
      </c>
      <c r="C47" s="9" t="s">
        <v>26</v>
      </c>
      <c r="D47" s="16"/>
      <c r="E47" s="16"/>
      <c r="F47" s="16">
        <f>SUM(F19:F46)</f>
        <v>0</v>
      </c>
      <c r="G47" s="9"/>
      <c r="H47" s="16"/>
      <c r="I47" s="16">
        <f>SUM(I19:I46)</f>
        <v>144571.34999999998</v>
      </c>
      <c r="J47" s="16"/>
      <c r="K47" s="16">
        <f>SUM(K19:K46)</f>
        <v>144571.34999999998</v>
      </c>
      <c r="L47" s="50"/>
      <c r="M47" s="3"/>
      <c r="O47" s="43"/>
      <c r="P47" s="43"/>
      <c r="Q47" s="43"/>
      <c r="R47" s="43"/>
      <c r="X47">
        <f t="shared" si="0"/>
        <v>0</v>
      </c>
      <c r="Y47">
        <f t="shared" si="1"/>
        <v>0</v>
      </c>
    </row>
    <row r="48" spans="1:25">
      <c r="A48" s="8" t="s">
        <v>26</v>
      </c>
      <c r="B48" s="27" t="s">
        <v>26</v>
      </c>
      <c r="C48" s="8" t="s">
        <v>26</v>
      </c>
      <c r="D48" s="13"/>
      <c r="E48" s="13"/>
      <c r="F48" s="13"/>
      <c r="G48" s="8"/>
      <c r="H48" s="13"/>
      <c r="I48" s="13"/>
      <c r="J48" s="13">
        <f>E48+H48</f>
        <v>0</v>
      </c>
      <c r="K48" s="13">
        <f>F48+I48</f>
        <v>0</v>
      </c>
      <c r="L48" s="50"/>
      <c r="M48" s="3"/>
      <c r="O48" s="43"/>
      <c r="P48" s="43"/>
      <c r="Q48" s="43"/>
      <c r="R48" s="43"/>
      <c r="X48">
        <f t="shared" si="0"/>
        <v>0</v>
      </c>
      <c r="Y48">
        <f t="shared" si="1"/>
        <v>0</v>
      </c>
    </row>
    <row r="49" spans="1:25">
      <c r="A49" s="9" t="s">
        <v>26</v>
      </c>
      <c r="B49" s="29" t="s">
        <v>89</v>
      </c>
      <c r="C49" s="9" t="s">
        <v>26</v>
      </c>
      <c r="D49" s="16"/>
      <c r="E49" s="16"/>
      <c r="F49" s="16"/>
      <c r="G49" s="9"/>
      <c r="H49" s="16"/>
      <c r="I49" s="16"/>
      <c r="J49" s="16"/>
      <c r="K49" s="16"/>
      <c r="L49" s="50"/>
      <c r="M49" s="3"/>
      <c r="O49" s="43"/>
      <c r="P49" s="43"/>
      <c r="Q49" s="43"/>
      <c r="R49" s="43"/>
      <c r="X49">
        <f t="shared" si="0"/>
        <v>0</v>
      </c>
      <c r="Y49">
        <f t="shared" si="1"/>
        <v>0</v>
      </c>
    </row>
    <row r="50" spans="1:25">
      <c r="A50" s="8" t="s">
        <v>26</v>
      </c>
      <c r="B50" s="27" t="s">
        <v>26</v>
      </c>
      <c r="C50" s="8" t="s">
        <v>26</v>
      </c>
      <c r="D50" s="13"/>
      <c r="E50" s="13"/>
      <c r="F50" s="13"/>
      <c r="G50" s="8"/>
      <c r="H50" s="13"/>
      <c r="I50" s="13"/>
      <c r="J50" s="13">
        <f>E50+H50</f>
        <v>0</v>
      </c>
      <c r="K50" s="13">
        <f>F50+I50</f>
        <v>0</v>
      </c>
      <c r="L50" s="50"/>
      <c r="M50" s="3"/>
      <c r="O50" s="43"/>
      <c r="P50" s="43"/>
      <c r="Q50" s="43"/>
      <c r="R50" s="43"/>
      <c r="X50">
        <f t="shared" si="0"/>
        <v>0</v>
      </c>
      <c r="Y50">
        <f t="shared" si="1"/>
        <v>0</v>
      </c>
    </row>
    <row r="51" spans="1:25">
      <c r="A51" s="19" t="s">
        <v>26</v>
      </c>
      <c r="B51" s="31" t="s">
        <v>90</v>
      </c>
      <c r="C51" s="19" t="s">
        <v>26</v>
      </c>
      <c r="D51" s="20"/>
      <c r="E51" s="20"/>
      <c r="F51" s="20"/>
      <c r="G51" s="19"/>
      <c r="H51" s="20"/>
      <c r="I51" s="20"/>
      <c r="J51" s="20"/>
      <c r="K51" s="20"/>
      <c r="L51" s="50"/>
      <c r="M51" s="3"/>
      <c r="O51" s="43"/>
      <c r="P51" s="43"/>
      <c r="Q51" s="43"/>
      <c r="R51" s="43"/>
      <c r="X51">
        <f t="shared" si="0"/>
        <v>0</v>
      </c>
      <c r="Y51">
        <f t="shared" si="1"/>
        <v>0</v>
      </c>
    </row>
    <row r="52" spans="1:25">
      <c r="A52" s="17" t="s">
        <v>92</v>
      </c>
      <c r="B52" s="30" t="s">
        <v>91</v>
      </c>
      <c r="C52" s="17" t="s">
        <v>64</v>
      </c>
      <c r="D52" s="18">
        <v>2</v>
      </c>
      <c r="E52" s="46">
        <f t="shared" ref="E52:E54" si="15">SUM(Q52)</f>
        <v>2172.4395</v>
      </c>
      <c r="F52" s="46">
        <f t="shared" ref="F52:F54" si="16">D52*E52</f>
        <v>4344.8789999999999</v>
      </c>
      <c r="G52" s="47"/>
      <c r="H52" s="46">
        <f t="shared" ref="H52:H54" si="17">SUM(V52)</f>
        <v>404.25</v>
      </c>
      <c r="I52" s="46">
        <f t="shared" ref="I52:I54" si="18">D52*H52</f>
        <v>808.5</v>
      </c>
      <c r="J52" s="18">
        <f t="shared" ref="J52:K54" si="19">E52+H52</f>
        <v>2576.6895</v>
      </c>
      <c r="K52" s="18">
        <f t="shared" si="19"/>
        <v>5153.3789999999999</v>
      </c>
      <c r="L52" s="50"/>
      <c r="M52" s="3"/>
      <c r="O52" s="48">
        <f>SUM([2]List1!$E$6:$E$7)</f>
        <v>1880.9</v>
      </c>
      <c r="P52" s="41">
        <f t="shared" ref="P52:P54" si="20">$P$1</f>
        <v>1.155</v>
      </c>
      <c r="Q52" s="42">
        <f t="shared" ref="Q52:Q54" si="21">SUM(P52*O52)</f>
        <v>2172.4395</v>
      </c>
      <c r="R52" s="43"/>
      <c r="S52" s="43"/>
      <c r="T52" s="44">
        <v>350</v>
      </c>
      <c r="U52" s="45">
        <f t="shared" ref="U52:U54" si="22">$U$1</f>
        <v>1.155</v>
      </c>
      <c r="V52" s="44">
        <f t="shared" ref="V52:V54" si="23">SUM(U52*T52)</f>
        <v>404.25</v>
      </c>
      <c r="X52">
        <f t="shared" si="0"/>
        <v>3761.8</v>
      </c>
      <c r="Y52">
        <f t="shared" si="1"/>
        <v>700</v>
      </c>
    </row>
    <row r="53" spans="1:25">
      <c r="A53" s="17" t="s">
        <v>94</v>
      </c>
      <c r="B53" s="30" t="s">
        <v>93</v>
      </c>
      <c r="C53" s="17" t="s">
        <v>64</v>
      </c>
      <c r="D53" s="18">
        <v>1</v>
      </c>
      <c r="E53" s="46">
        <f t="shared" si="15"/>
        <v>1851.7932631578947</v>
      </c>
      <c r="F53" s="46">
        <f t="shared" si="16"/>
        <v>1851.7932631578947</v>
      </c>
      <c r="G53" s="47"/>
      <c r="H53" s="46">
        <f t="shared" si="17"/>
        <v>404.25</v>
      </c>
      <c r="I53" s="46">
        <f t="shared" si="18"/>
        <v>404.25</v>
      </c>
      <c r="J53" s="18">
        <f t="shared" si="19"/>
        <v>2256.0432631578947</v>
      </c>
      <c r="K53" s="18">
        <f t="shared" si="19"/>
        <v>2256.0432631578947</v>
      </c>
      <c r="L53" s="50"/>
      <c r="M53" s="3"/>
      <c r="O53" s="40">
        <f>SUM([3]Rozpočet!$V$11)</f>
        <v>1603.2842105263157</v>
      </c>
      <c r="P53" s="41">
        <f t="shared" si="20"/>
        <v>1.155</v>
      </c>
      <c r="Q53" s="42">
        <f t="shared" si="21"/>
        <v>1851.7932631578947</v>
      </c>
      <c r="R53" s="43"/>
      <c r="S53" s="43"/>
      <c r="T53" s="44">
        <v>350</v>
      </c>
      <c r="U53" s="45">
        <f t="shared" si="22"/>
        <v>1.155</v>
      </c>
      <c r="V53" s="44">
        <f t="shared" si="23"/>
        <v>404.25</v>
      </c>
      <c r="X53">
        <f t="shared" si="0"/>
        <v>1603.2842105263157</v>
      </c>
      <c r="Y53">
        <f t="shared" si="1"/>
        <v>350</v>
      </c>
    </row>
    <row r="54" spans="1:25">
      <c r="A54" s="17" t="s">
        <v>96</v>
      </c>
      <c r="B54" s="30" t="s">
        <v>95</v>
      </c>
      <c r="C54" s="17" t="s">
        <v>64</v>
      </c>
      <c r="D54" s="18">
        <v>1</v>
      </c>
      <c r="E54" s="46">
        <f t="shared" si="15"/>
        <v>2380.3395</v>
      </c>
      <c r="F54" s="46">
        <f t="shared" si="16"/>
        <v>2380.3395</v>
      </c>
      <c r="G54" s="47"/>
      <c r="H54" s="46">
        <f t="shared" si="17"/>
        <v>404.25</v>
      </c>
      <c r="I54" s="46">
        <f t="shared" si="18"/>
        <v>404.25</v>
      </c>
      <c r="J54" s="18">
        <f t="shared" si="19"/>
        <v>2784.5895</v>
      </c>
      <c r="K54" s="18">
        <f t="shared" si="19"/>
        <v>2784.5895</v>
      </c>
      <c r="L54" s="50"/>
      <c r="M54" s="3"/>
      <c r="O54" s="48">
        <f>SUM([2]List1!$E$10:$E$11)</f>
        <v>2060.9</v>
      </c>
      <c r="P54" s="41">
        <f t="shared" si="20"/>
        <v>1.155</v>
      </c>
      <c r="Q54" s="42">
        <f t="shared" si="21"/>
        <v>2380.3395</v>
      </c>
      <c r="R54" s="43"/>
      <c r="S54" s="43"/>
      <c r="T54" s="44">
        <v>350</v>
      </c>
      <c r="U54" s="45">
        <f t="shared" si="22"/>
        <v>1.155</v>
      </c>
      <c r="V54" s="44">
        <f t="shared" si="23"/>
        <v>404.25</v>
      </c>
      <c r="X54">
        <f t="shared" si="0"/>
        <v>2060.9</v>
      </c>
      <c r="Y54">
        <f t="shared" si="1"/>
        <v>350</v>
      </c>
    </row>
    <row r="55" spans="1:25">
      <c r="A55" s="19" t="s">
        <v>26</v>
      </c>
      <c r="B55" s="31" t="s">
        <v>97</v>
      </c>
      <c r="C55" s="19" t="s">
        <v>26</v>
      </c>
      <c r="D55" s="20"/>
      <c r="E55" s="20"/>
      <c r="F55" s="20"/>
      <c r="G55" s="19"/>
      <c r="H55" s="20"/>
      <c r="I55" s="20"/>
      <c r="J55" s="20"/>
      <c r="K55" s="20"/>
      <c r="L55" s="50"/>
      <c r="M55" s="3"/>
      <c r="O55" s="43"/>
      <c r="P55" s="43"/>
      <c r="Q55" s="43"/>
      <c r="R55" s="43"/>
      <c r="X55">
        <f t="shared" si="0"/>
        <v>0</v>
      </c>
      <c r="Y55">
        <f t="shared" si="1"/>
        <v>0</v>
      </c>
    </row>
    <row r="56" spans="1:25">
      <c r="A56" s="8" t="s">
        <v>99</v>
      </c>
      <c r="B56" s="27" t="s">
        <v>98</v>
      </c>
      <c r="C56" s="8" t="s">
        <v>64</v>
      </c>
      <c r="D56" s="13">
        <v>4</v>
      </c>
      <c r="E56" s="46">
        <f>SUM(Q56)</f>
        <v>1746.0195789473685</v>
      </c>
      <c r="F56" s="46">
        <f>D56*E56</f>
        <v>6984.0783157894739</v>
      </c>
      <c r="G56" s="47"/>
      <c r="H56" s="46">
        <f>SUM(V56)</f>
        <v>219.45000000000002</v>
      </c>
      <c r="I56" s="46">
        <f>D56*H56</f>
        <v>877.80000000000007</v>
      </c>
      <c r="J56" s="13">
        <f>E56+H56</f>
        <v>1965.4695789473685</v>
      </c>
      <c r="K56" s="13">
        <f>F56+I56</f>
        <v>7861.8783157894741</v>
      </c>
      <c r="L56" s="50"/>
      <c r="M56" s="3"/>
      <c r="O56" s="40">
        <f>SUM([3]Rozpočet!$V$14)</f>
        <v>1511.7052631578947</v>
      </c>
      <c r="P56" s="41">
        <f>$P$1</f>
        <v>1.155</v>
      </c>
      <c r="Q56" s="42">
        <f>SUM(P56*O56)</f>
        <v>1746.0195789473685</v>
      </c>
      <c r="R56" s="43"/>
      <c r="S56" s="43"/>
      <c r="T56" s="44">
        <v>190</v>
      </c>
      <c r="U56" s="45">
        <f>$U$1</f>
        <v>1.155</v>
      </c>
      <c r="V56" s="44">
        <f>SUM(U56*T56)</f>
        <v>219.45000000000002</v>
      </c>
      <c r="X56">
        <f t="shared" si="0"/>
        <v>6046.8210526315788</v>
      </c>
      <c r="Y56">
        <f t="shared" si="1"/>
        <v>760</v>
      </c>
    </row>
    <row r="57" spans="1:25">
      <c r="A57" s="19" t="s">
        <v>26</v>
      </c>
      <c r="B57" s="31" t="s">
        <v>100</v>
      </c>
      <c r="C57" s="19" t="s">
        <v>26</v>
      </c>
      <c r="D57" s="20"/>
      <c r="E57" s="20"/>
      <c r="F57" s="20"/>
      <c r="G57" s="19"/>
      <c r="H57" s="20"/>
      <c r="I57" s="20"/>
      <c r="J57" s="20"/>
      <c r="K57" s="20"/>
      <c r="L57" s="50"/>
      <c r="M57" s="3"/>
      <c r="O57" s="43"/>
      <c r="P57" s="43"/>
      <c r="Q57" s="43"/>
      <c r="R57" s="43"/>
      <c r="X57">
        <f t="shared" si="0"/>
        <v>0</v>
      </c>
      <c r="Y57">
        <f t="shared" si="1"/>
        <v>0</v>
      </c>
    </row>
    <row r="58" spans="1:25">
      <c r="A58" s="8" t="s">
        <v>102</v>
      </c>
      <c r="B58" s="27" t="s">
        <v>101</v>
      </c>
      <c r="C58" s="8" t="s">
        <v>64</v>
      </c>
      <c r="D58" s="13">
        <v>1</v>
      </c>
      <c r="E58" s="46">
        <f t="shared" ref="E58:E60" si="24">SUM(Q58)</f>
        <v>3637.4232631578952</v>
      </c>
      <c r="F58" s="46">
        <f t="shared" ref="F58:F60" si="25">D58*E58</f>
        <v>3637.4232631578952</v>
      </c>
      <c r="G58" s="47"/>
      <c r="H58" s="46">
        <f t="shared" ref="H58:H60" si="26">SUM(V58)</f>
        <v>635.25</v>
      </c>
      <c r="I58" s="46">
        <f t="shared" ref="I58:I60" si="27">D58*H58</f>
        <v>635.25</v>
      </c>
      <c r="J58" s="13">
        <f t="shared" ref="J58:K61" si="28">E58+H58</f>
        <v>4272.6732631578952</v>
      </c>
      <c r="K58" s="13">
        <f t="shared" si="28"/>
        <v>4272.6732631578952</v>
      </c>
      <c r="L58" s="50"/>
      <c r="M58" s="3"/>
      <c r="O58" s="40">
        <v>3149.2842105263162</v>
      </c>
      <c r="P58" s="41">
        <f t="shared" ref="P58:P59" si="29">$P$1</f>
        <v>1.155</v>
      </c>
      <c r="Q58" s="42">
        <f t="shared" ref="Q58:Q60" si="30">SUM(P58*O58)</f>
        <v>3637.4232631578952</v>
      </c>
      <c r="R58" s="43"/>
      <c r="S58" s="43"/>
      <c r="T58" s="44">
        <v>550</v>
      </c>
      <c r="U58" s="45">
        <f t="shared" ref="U58:U60" si="31">$U$1</f>
        <v>1.155</v>
      </c>
      <c r="V58" s="44">
        <f t="shared" ref="V58:V60" si="32">SUM(U58*T58)</f>
        <v>635.25</v>
      </c>
      <c r="X58">
        <f t="shared" si="0"/>
        <v>3149.2842105263162</v>
      </c>
      <c r="Y58">
        <f t="shared" si="1"/>
        <v>550</v>
      </c>
    </row>
    <row r="59" spans="1:25">
      <c r="A59" s="8" t="s">
        <v>104</v>
      </c>
      <c r="B59" s="27" t="s">
        <v>103</v>
      </c>
      <c r="C59" s="8" t="s">
        <v>64</v>
      </c>
      <c r="D59" s="13">
        <v>1</v>
      </c>
      <c r="E59" s="46">
        <f t="shared" si="24"/>
        <v>1138.3680000000002</v>
      </c>
      <c r="F59" s="46">
        <f t="shared" si="25"/>
        <v>1138.3680000000002</v>
      </c>
      <c r="G59" s="47"/>
      <c r="H59" s="46">
        <f t="shared" si="26"/>
        <v>173.25</v>
      </c>
      <c r="I59" s="46">
        <f t="shared" si="27"/>
        <v>173.25</v>
      </c>
      <c r="J59" s="13">
        <f t="shared" si="28"/>
        <v>1311.6180000000002</v>
      </c>
      <c r="K59" s="13">
        <f t="shared" si="28"/>
        <v>1311.6180000000002</v>
      </c>
      <c r="L59" s="50"/>
      <c r="M59" s="3"/>
      <c r="O59" s="40">
        <v>985.60000000000014</v>
      </c>
      <c r="P59" s="41">
        <f t="shared" si="29"/>
        <v>1.155</v>
      </c>
      <c r="Q59" s="42">
        <f t="shared" si="30"/>
        <v>1138.3680000000002</v>
      </c>
      <c r="R59" s="43"/>
      <c r="S59" s="43"/>
      <c r="T59" s="44">
        <v>150</v>
      </c>
      <c r="U59" s="45">
        <f t="shared" si="31"/>
        <v>1.155</v>
      </c>
      <c r="V59" s="44">
        <f t="shared" si="32"/>
        <v>173.25</v>
      </c>
      <c r="X59">
        <f t="shared" si="0"/>
        <v>985.60000000000014</v>
      </c>
      <c r="Y59">
        <f t="shared" si="1"/>
        <v>150</v>
      </c>
    </row>
    <row r="60" spans="1:25">
      <c r="A60" s="8" t="s">
        <v>107</v>
      </c>
      <c r="B60" s="27" t="s">
        <v>105</v>
      </c>
      <c r="C60" s="8" t="s">
        <v>106</v>
      </c>
      <c r="D60" s="13">
        <v>1</v>
      </c>
      <c r="E60" s="46">
        <f t="shared" si="24"/>
        <v>203.40157894736845</v>
      </c>
      <c r="F60" s="46">
        <f t="shared" si="25"/>
        <v>203.40157894736845</v>
      </c>
      <c r="G60" s="47"/>
      <c r="H60" s="46">
        <f t="shared" si="26"/>
        <v>231</v>
      </c>
      <c r="I60" s="46">
        <f t="shared" si="27"/>
        <v>231</v>
      </c>
      <c r="J60" s="13">
        <f t="shared" si="28"/>
        <v>434.40157894736842</v>
      </c>
      <c r="K60" s="13">
        <f t="shared" si="28"/>
        <v>434.40157894736842</v>
      </c>
      <c r="L60" s="50"/>
      <c r="M60" s="3"/>
      <c r="O60" s="40">
        <v>176.10526315789477</v>
      </c>
      <c r="P60" s="41">
        <f>$P$1</f>
        <v>1.155</v>
      </c>
      <c r="Q60" s="42">
        <f t="shared" si="30"/>
        <v>203.40157894736845</v>
      </c>
      <c r="R60" s="43"/>
      <c r="S60" s="43"/>
      <c r="T60" s="44">
        <v>200</v>
      </c>
      <c r="U60" s="45">
        <f t="shared" si="31"/>
        <v>1.155</v>
      </c>
      <c r="V60" s="44">
        <f t="shared" si="32"/>
        <v>231</v>
      </c>
      <c r="X60">
        <f t="shared" si="0"/>
        <v>176.10526315789477</v>
      </c>
      <c r="Y60">
        <f t="shared" si="1"/>
        <v>200</v>
      </c>
    </row>
    <row r="61" spans="1:25">
      <c r="A61" s="8" t="s">
        <v>26</v>
      </c>
      <c r="B61" s="27" t="s">
        <v>26</v>
      </c>
      <c r="C61" s="8" t="s">
        <v>26</v>
      </c>
      <c r="D61" s="13"/>
      <c r="E61" s="13"/>
      <c r="F61" s="13"/>
      <c r="G61" s="8"/>
      <c r="H61" s="13"/>
      <c r="I61" s="13"/>
      <c r="J61" s="13">
        <f t="shared" si="28"/>
        <v>0</v>
      </c>
      <c r="K61" s="13">
        <f t="shared" si="28"/>
        <v>0</v>
      </c>
      <c r="L61" s="50"/>
      <c r="M61" s="3"/>
      <c r="O61" s="43"/>
      <c r="P61" s="43"/>
      <c r="Q61" s="43"/>
      <c r="R61" s="43"/>
      <c r="X61">
        <f t="shared" si="0"/>
        <v>0</v>
      </c>
      <c r="Y61">
        <f t="shared" si="1"/>
        <v>0</v>
      </c>
    </row>
    <row r="62" spans="1:25">
      <c r="A62" s="9" t="s">
        <v>26</v>
      </c>
      <c r="B62" s="29" t="s">
        <v>108</v>
      </c>
      <c r="C62" s="9" t="s">
        <v>26</v>
      </c>
      <c r="D62" s="16"/>
      <c r="E62" s="16"/>
      <c r="F62" s="16">
        <f>SUM(F50:F61)</f>
        <v>20540.282921052629</v>
      </c>
      <c r="G62" s="9"/>
      <c r="H62" s="16"/>
      <c r="I62" s="16">
        <f>SUM(I50:I61)</f>
        <v>3534.3</v>
      </c>
      <c r="J62" s="16"/>
      <c r="K62" s="16">
        <f>SUM(K50:K61)</f>
        <v>24074.582921052632</v>
      </c>
      <c r="L62" s="50"/>
      <c r="M62" s="3"/>
      <c r="O62" s="43"/>
      <c r="P62" s="43"/>
      <c r="Q62" s="43"/>
      <c r="R62" s="43"/>
      <c r="X62">
        <f t="shared" si="0"/>
        <v>0</v>
      </c>
      <c r="Y62">
        <f t="shared" si="1"/>
        <v>0</v>
      </c>
    </row>
    <row r="63" spans="1:25">
      <c r="A63" s="8" t="s">
        <v>26</v>
      </c>
      <c r="B63" s="27" t="s">
        <v>26</v>
      </c>
      <c r="C63" s="8" t="s">
        <v>26</v>
      </c>
      <c r="D63" s="13"/>
      <c r="E63" s="13"/>
      <c r="F63" s="13"/>
      <c r="G63" s="8"/>
      <c r="H63" s="13"/>
      <c r="I63" s="13"/>
      <c r="J63" s="13">
        <f>E63+H63</f>
        <v>0</v>
      </c>
      <c r="K63" s="13">
        <f>F63+I63</f>
        <v>0</v>
      </c>
      <c r="L63" s="50"/>
      <c r="M63" s="3"/>
      <c r="O63" s="43"/>
      <c r="P63" s="43"/>
      <c r="Q63" s="43"/>
      <c r="R63" s="43"/>
      <c r="X63">
        <f t="shared" si="0"/>
        <v>0</v>
      </c>
      <c r="Y63">
        <f t="shared" si="1"/>
        <v>0</v>
      </c>
    </row>
    <row r="64" spans="1:25">
      <c r="A64" s="9" t="s">
        <v>26</v>
      </c>
      <c r="B64" s="29" t="s">
        <v>109</v>
      </c>
      <c r="C64" s="9" t="s">
        <v>26</v>
      </c>
      <c r="D64" s="16"/>
      <c r="E64" s="16"/>
      <c r="F64" s="16"/>
      <c r="G64" s="9"/>
      <c r="H64" s="16"/>
      <c r="I64" s="16"/>
      <c r="J64" s="16"/>
      <c r="K64" s="16"/>
      <c r="L64" s="50"/>
      <c r="M64" s="3"/>
      <c r="O64" s="43"/>
      <c r="P64" s="43"/>
      <c r="Q64" s="43"/>
      <c r="R64" s="43"/>
      <c r="X64">
        <f t="shared" si="0"/>
        <v>0</v>
      </c>
      <c r="Y64">
        <f t="shared" si="1"/>
        <v>0</v>
      </c>
    </row>
    <row r="65" spans="1:25">
      <c r="A65" s="8" t="s">
        <v>26</v>
      </c>
      <c r="B65" s="27" t="s">
        <v>26</v>
      </c>
      <c r="C65" s="8" t="s">
        <v>26</v>
      </c>
      <c r="D65" s="13"/>
      <c r="E65" s="13"/>
      <c r="F65" s="13"/>
      <c r="G65" s="8"/>
      <c r="H65" s="13"/>
      <c r="I65" s="13"/>
      <c r="J65" s="13">
        <f>E65+H65</f>
        <v>0</v>
      </c>
      <c r="K65" s="13">
        <f>F65+I65</f>
        <v>0</v>
      </c>
      <c r="L65" s="50"/>
      <c r="M65" s="3"/>
      <c r="O65" s="43"/>
      <c r="P65" s="43"/>
      <c r="Q65" s="43"/>
      <c r="R65" s="43"/>
      <c r="X65">
        <f t="shared" si="0"/>
        <v>0</v>
      </c>
      <c r="Y65">
        <f t="shared" si="1"/>
        <v>0</v>
      </c>
    </row>
    <row r="66" spans="1:25">
      <c r="A66" s="22" t="s">
        <v>26</v>
      </c>
      <c r="B66" s="32" t="s">
        <v>110</v>
      </c>
      <c r="C66" s="22" t="s">
        <v>26</v>
      </c>
      <c r="D66" s="23"/>
      <c r="E66" s="23"/>
      <c r="F66" s="23"/>
      <c r="G66" s="22"/>
      <c r="H66" s="23"/>
      <c r="I66" s="23"/>
      <c r="J66" s="23"/>
      <c r="K66" s="23"/>
      <c r="L66" s="50"/>
      <c r="M66" s="3"/>
      <c r="O66" s="43"/>
      <c r="P66" s="43"/>
      <c r="Q66" s="43"/>
      <c r="R66" s="43"/>
      <c r="X66">
        <f t="shared" si="0"/>
        <v>0</v>
      </c>
      <c r="Y66">
        <f t="shared" si="1"/>
        <v>0</v>
      </c>
    </row>
    <row r="67" spans="1:25">
      <c r="A67" s="17" t="s">
        <v>112</v>
      </c>
      <c r="B67" s="30" t="s">
        <v>111</v>
      </c>
      <c r="C67" s="17" t="s">
        <v>64</v>
      </c>
      <c r="D67" s="18">
        <v>18</v>
      </c>
      <c r="E67" s="46">
        <f>SUM(Q67)</f>
        <v>659.97854999999993</v>
      </c>
      <c r="F67" s="46">
        <f>D67*E67</f>
        <v>11879.613899999998</v>
      </c>
      <c r="G67" s="47"/>
      <c r="H67" s="46">
        <f>SUM(V67)</f>
        <v>103.95</v>
      </c>
      <c r="I67" s="46">
        <f>D67*H67</f>
        <v>1871.1000000000001</v>
      </c>
      <c r="J67" s="18">
        <f>E67+H67</f>
        <v>763.92854999999997</v>
      </c>
      <c r="K67" s="18">
        <f>F67+I67</f>
        <v>13750.713899999999</v>
      </c>
      <c r="L67" s="50"/>
      <c r="M67" s="3"/>
      <c r="O67" s="40">
        <f>SUM([2]List1!$E$19)</f>
        <v>571.41</v>
      </c>
      <c r="P67" s="41">
        <f>$P$1</f>
        <v>1.155</v>
      </c>
      <c r="Q67" s="42">
        <f>SUM(P67*O67)</f>
        <v>659.97854999999993</v>
      </c>
      <c r="R67" s="43"/>
      <c r="S67" s="43"/>
      <c r="T67" s="44">
        <v>90</v>
      </c>
      <c r="U67" s="45">
        <f>$U$1</f>
        <v>1.155</v>
      </c>
      <c r="V67" s="44">
        <f>SUM(U67*T67)</f>
        <v>103.95</v>
      </c>
      <c r="X67">
        <f t="shared" si="0"/>
        <v>10285.379999999999</v>
      </c>
      <c r="Y67">
        <f t="shared" si="1"/>
        <v>1620</v>
      </c>
    </row>
    <row r="68" spans="1:25">
      <c r="A68" s="22" t="s">
        <v>26</v>
      </c>
      <c r="B68" s="32" t="s">
        <v>113</v>
      </c>
      <c r="C68" s="22" t="s">
        <v>26</v>
      </c>
      <c r="D68" s="23"/>
      <c r="E68" s="23"/>
      <c r="F68" s="23"/>
      <c r="G68" s="22"/>
      <c r="H68" s="23"/>
      <c r="I68" s="23"/>
      <c r="J68" s="23"/>
      <c r="K68" s="23"/>
      <c r="L68" s="50"/>
      <c r="M68" s="3"/>
      <c r="O68" s="43"/>
      <c r="P68" s="43"/>
      <c r="Q68" s="43"/>
      <c r="R68" s="43"/>
      <c r="X68">
        <f t="shared" si="0"/>
        <v>0</v>
      </c>
      <c r="Y68">
        <f t="shared" si="1"/>
        <v>0</v>
      </c>
    </row>
    <row r="69" spans="1:25">
      <c r="A69" s="24" t="s">
        <v>115</v>
      </c>
      <c r="B69" s="33" t="s">
        <v>114</v>
      </c>
      <c r="C69" s="24" t="s">
        <v>64</v>
      </c>
      <c r="D69" s="25">
        <v>11</v>
      </c>
      <c r="E69" s="46">
        <f t="shared" ref="E69:E73" si="33">SUM(Q69)</f>
        <v>1066.4905263157896</v>
      </c>
      <c r="F69" s="46">
        <f t="shared" ref="F69:F73" si="34">D69*E69</f>
        <v>11731.395789473685</v>
      </c>
      <c r="G69" s="47"/>
      <c r="H69" s="46">
        <f t="shared" ref="H69:H73" si="35">SUM(V69)</f>
        <v>635.25</v>
      </c>
      <c r="I69" s="46">
        <f t="shared" ref="I69:I73" si="36">D69*H69</f>
        <v>6987.75</v>
      </c>
      <c r="J69" s="25">
        <f t="shared" ref="J69:K73" si="37">E69+H69</f>
        <v>1701.7405263157896</v>
      </c>
      <c r="K69" s="25">
        <f t="shared" si="37"/>
        <v>18719.145789473685</v>
      </c>
      <c r="L69" s="50"/>
      <c r="M69" s="3"/>
      <c r="O69" s="40">
        <v>923.36842105263167</v>
      </c>
      <c r="P69" s="41">
        <f t="shared" ref="P69:P73" si="38">$P$1</f>
        <v>1.155</v>
      </c>
      <c r="Q69" s="42">
        <f t="shared" ref="Q69:Q73" si="39">SUM(P69*O69)</f>
        <v>1066.4905263157896</v>
      </c>
      <c r="R69" s="43"/>
      <c r="S69" s="43"/>
      <c r="T69" s="44">
        <v>550</v>
      </c>
      <c r="U69" s="45">
        <f t="shared" ref="U69:U73" si="40">$U$1</f>
        <v>1.155</v>
      </c>
      <c r="V69" s="44">
        <f t="shared" ref="V69:V73" si="41">SUM(U69*T69)</f>
        <v>635.25</v>
      </c>
      <c r="X69">
        <f t="shared" si="0"/>
        <v>10157.052631578948</v>
      </c>
      <c r="Y69">
        <f t="shared" si="1"/>
        <v>6050</v>
      </c>
    </row>
    <row r="70" spans="1:25">
      <c r="A70" s="24" t="s">
        <v>117</v>
      </c>
      <c r="B70" s="33" t="s">
        <v>116</v>
      </c>
      <c r="C70" s="24" t="s">
        <v>64</v>
      </c>
      <c r="D70" s="25">
        <v>11</v>
      </c>
      <c r="E70" s="46">
        <f t="shared" si="33"/>
        <v>661.63263157894744</v>
      </c>
      <c r="F70" s="46">
        <f t="shared" si="34"/>
        <v>7277.9589473684218</v>
      </c>
      <c r="G70" s="47"/>
      <c r="H70" s="46">
        <f t="shared" si="35"/>
        <v>173.25</v>
      </c>
      <c r="I70" s="46">
        <f t="shared" si="36"/>
        <v>1905.75</v>
      </c>
      <c r="J70" s="25">
        <f t="shared" si="37"/>
        <v>834.88263157894744</v>
      </c>
      <c r="K70" s="25">
        <f t="shared" si="37"/>
        <v>9183.7089473684209</v>
      </c>
      <c r="L70" s="50"/>
      <c r="M70" s="3"/>
      <c r="O70" s="40">
        <v>572.84210526315792</v>
      </c>
      <c r="P70" s="41">
        <f t="shared" si="38"/>
        <v>1.155</v>
      </c>
      <c r="Q70" s="42">
        <f t="shared" si="39"/>
        <v>661.63263157894744</v>
      </c>
      <c r="R70" s="43"/>
      <c r="S70" s="43"/>
      <c r="T70" s="44">
        <v>150</v>
      </c>
      <c r="U70" s="45">
        <f t="shared" si="40"/>
        <v>1.155</v>
      </c>
      <c r="V70" s="44">
        <f t="shared" si="41"/>
        <v>173.25</v>
      </c>
      <c r="X70">
        <f t="shared" si="0"/>
        <v>6301.2631578947367</v>
      </c>
      <c r="Y70">
        <f t="shared" si="1"/>
        <v>1650</v>
      </c>
    </row>
    <row r="71" spans="1:25">
      <c r="A71" s="24" t="s">
        <v>119</v>
      </c>
      <c r="B71" s="33" t="s">
        <v>118</v>
      </c>
      <c r="C71" s="24" t="s">
        <v>64</v>
      </c>
      <c r="D71" s="25">
        <v>11</v>
      </c>
      <c r="E71" s="46">
        <f t="shared" si="33"/>
        <v>875.36842105263167</v>
      </c>
      <c r="F71" s="46">
        <f t="shared" si="34"/>
        <v>9629.0526315789484</v>
      </c>
      <c r="G71" s="47"/>
      <c r="H71" s="46">
        <f t="shared" si="35"/>
        <v>404.25</v>
      </c>
      <c r="I71" s="46">
        <f t="shared" si="36"/>
        <v>4446.75</v>
      </c>
      <c r="J71" s="25">
        <f t="shared" si="37"/>
        <v>1279.6184210526317</v>
      </c>
      <c r="K71" s="25">
        <f t="shared" si="37"/>
        <v>14075.802631578948</v>
      </c>
      <c r="L71" s="50"/>
      <c r="M71" s="3"/>
      <c r="O71" s="40">
        <v>757.89473684210532</v>
      </c>
      <c r="P71" s="41">
        <f t="shared" si="38"/>
        <v>1.155</v>
      </c>
      <c r="Q71" s="42">
        <f t="shared" si="39"/>
        <v>875.36842105263167</v>
      </c>
      <c r="R71" s="43"/>
      <c r="S71" s="43"/>
      <c r="T71" s="44">
        <v>350</v>
      </c>
      <c r="U71" s="45">
        <f t="shared" si="40"/>
        <v>1.155</v>
      </c>
      <c r="V71" s="44">
        <f t="shared" si="41"/>
        <v>404.25</v>
      </c>
      <c r="X71">
        <f t="shared" si="0"/>
        <v>8336.8421052631584</v>
      </c>
      <c r="Y71">
        <f t="shared" si="1"/>
        <v>3850</v>
      </c>
    </row>
    <row r="72" spans="1:25">
      <c r="A72" s="24" t="s">
        <v>121</v>
      </c>
      <c r="B72" s="33" t="s">
        <v>120</v>
      </c>
      <c r="C72" s="24" t="s">
        <v>64</v>
      </c>
      <c r="D72" s="25">
        <v>53</v>
      </c>
      <c r="E72" s="46">
        <f t="shared" si="33"/>
        <v>72.217894736842112</v>
      </c>
      <c r="F72" s="46">
        <f t="shared" si="34"/>
        <v>3827.548421052632</v>
      </c>
      <c r="G72" s="47"/>
      <c r="H72" s="46">
        <f t="shared" si="35"/>
        <v>103.95</v>
      </c>
      <c r="I72" s="46">
        <f t="shared" si="36"/>
        <v>5509.35</v>
      </c>
      <c r="J72" s="25">
        <f t="shared" si="37"/>
        <v>176.16789473684213</v>
      </c>
      <c r="K72" s="25">
        <f t="shared" si="37"/>
        <v>9336.8984210526323</v>
      </c>
      <c r="L72" s="50"/>
      <c r="M72" s="3"/>
      <c r="O72" s="40">
        <v>62.526315789473685</v>
      </c>
      <c r="P72" s="41">
        <f t="shared" si="38"/>
        <v>1.155</v>
      </c>
      <c r="Q72" s="42">
        <f t="shared" si="39"/>
        <v>72.217894736842112</v>
      </c>
      <c r="R72" s="43"/>
      <c r="S72" s="43"/>
      <c r="T72" s="44">
        <v>90</v>
      </c>
      <c r="U72" s="45">
        <f t="shared" si="40"/>
        <v>1.155</v>
      </c>
      <c r="V72" s="44">
        <f t="shared" si="41"/>
        <v>103.95</v>
      </c>
      <c r="X72">
        <f t="shared" si="0"/>
        <v>3313.8947368421054</v>
      </c>
      <c r="Y72">
        <f t="shared" si="1"/>
        <v>4770</v>
      </c>
    </row>
    <row r="73" spans="1:25">
      <c r="A73" s="24" t="s">
        <v>112</v>
      </c>
      <c r="B73" s="33" t="s">
        <v>111</v>
      </c>
      <c r="C73" s="24" t="s">
        <v>64</v>
      </c>
      <c r="D73" s="25">
        <v>11</v>
      </c>
      <c r="E73" s="46">
        <f t="shared" si="33"/>
        <v>925.70210526315793</v>
      </c>
      <c r="F73" s="46">
        <f t="shared" si="34"/>
        <v>10182.723157894738</v>
      </c>
      <c r="G73" s="47"/>
      <c r="H73" s="46">
        <f t="shared" si="35"/>
        <v>103.95</v>
      </c>
      <c r="I73" s="46">
        <f t="shared" si="36"/>
        <v>1143.45</v>
      </c>
      <c r="J73" s="25">
        <f t="shared" si="37"/>
        <v>1029.6521052631579</v>
      </c>
      <c r="K73" s="25">
        <f t="shared" si="37"/>
        <v>11326.173157894738</v>
      </c>
      <c r="L73" s="50"/>
      <c r="M73" s="3"/>
      <c r="O73" s="40">
        <v>801.47368421052636</v>
      </c>
      <c r="P73" s="41">
        <f t="shared" si="38"/>
        <v>1.155</v>
      </c>
      <c r="Q73" s="42">
        <f t="shared" si="39"/>
        <v>925.70210526315793</v>
      </c>
      <c r="R73" s="43"/>
      <c r="S73" s="43"/>
      <c r="T73" s="44">
        <v>90</v>
      </c>
      <c r="U73" s="45">
        <f t="shared" si="40"/>
        <v>1.155</v>
      </c>
      <c r="V73" s="44">
        <f t="shared" si="41"/>
        <v>103.95</v>
      </c>
      <c r="X73">
        <f t="shared" si="0"/>
        <v>8816.21052631579</v>
      </c>
      <c r="Y73">
        <f t="shared" si="1"/>
        <v>990</v>
      </c>
    </row>
    <row r="74" spans="1:25" ht="24.75">
      <c r="A74" s="22" t="s">
        <v>26</v>
      </c>
      <c r="B74" s="32" t="s">
        <v>122</v>
      </c>
      <c r="C74" s="22" t="s">
        <v>26</v>
      </c>
      <c r="D74" s="23"/>
      <c r="E74" s="23"/>
      <c r="F74" s="23"/>
      <c r="G74" s="22"/>
      <c r="H74" s="23"/>
      <c r="I74" s="23"/>
      <c r="J74" s="23"/>
      <c r="K74" s="23"/>
      <c r="L74" s="50"/>
      <c r="M74" s="3"/>
      <c r="O74" s="43"/>
      <c r="P74" s="43"/>
      <c r="Q74" s="43"/>
      <c r="R74" s="43"/>
      <c r="X74">
        <f t="shared" ref="X74:X137" si="42">SUM(O74*D74)</f>
        <v>0</v>
      </c>
      <c r="Y74">
        <f t="shared" ref="Y74:Y137" si="43">SUM(T74*D74)</f>
        <v>0</v>
      </c>
    </row>
    <row r="75" spans="1:25">
      <c r="A75" s="24" t="s">
        <v>124</v>
      </c>
      <c r="B75" s="33" t="s">
        <v>123</v>
      </c>
      <c r="C75" s="24" t="s">
        <v>64</v>
      </c>
      <c r="D75" s="25">
        <v>4</v>
      </c>
      <c r="E75" s="46">
        <f t="shared" ref="E75:E77" si="44">SUM(Q75)</f>
        <v>45.988870967741931</v>
      </c>
      <c r="F75" s="46">
        <f t="shared" ref="F75:F77" si="45">D75*E75</f>
        <v>183.95548387096773</v>
      </c>
      <c r="G75" s="47"/>
      <c r="H75" s="46">
        <f t="shared" ref="H75:H77" si="46">SUM(V75)</f>
        <v>103.95</v>
      </c>
      <c r="I75" s="46">
        <f t="shared" ref="I75:I77" si="47">D75*H75</f>
        <v>415.8</v>
      </c>
      <c r="J75" s="25">
        <f t="shared" ref="J75:K77" si="48">E75+H75</f>
        <v>149.93887096774193</v>
      </c>
      <c r="K75" s="25">
        <f t="shared" si="48"/>
        <v>599.75548387096774</v>
      </c>
      <c r="L75" s="50"/>
      <c r="M75" s="3"/>
      <c r="O75" s="40">
        <v>39.817204301075265</v>
      </c>
      <c r="P75" s="41">
        <f t="shared" ref="P75:P77" si="49">$P$1</f>
        <v>1.155</v>
      </c>
      <c r="Q75" s="42">
        <f t="shared" ref="Q75:Q77" si="50">SUM(P75*O75)</f>
        <v>45.988870967741931</v>
      </c>
      <c r="R75" s="43"/>
      <c r="S75" s="43"/>
      <c r="T75" s="44">
        <v>90</v>
      </c>
      <c r="U75" s="45">
        <f t="shared" ref="U75:U77" si="51">$U$1</f>
        <v>1.155</v>
      </c>
      <c r="V75" s="44">
        <f t="shared" ref="V75:V77" si="52">SUM(U75*T75)</f>
        <v>103.95</v>
      </c>
      <c r="X75">
        <f t="shared" si="42"/>
        <v>159.26881720430106</v>
      </c>
      <c r="Y75">
        <f t="shared" si="43"/>
        <v>360</v>
      </c>
    </row>
    <row r="76" spans="1:25">
      <c r="A76" s="24" t="s">
        <v>126</v>
      </c>
      <c r="B76" s="33" t="s">
        <v>125</v>
      </c>
      <c r="C76" s="24" t="s">
        <v>64</v>
      </c>
      <c r="D76" s="25">
        <v>2</v>
      </c>
      <c r="E76" s="46">
        <f t="shared" si="44"/>
        <v>103.97483870967741</v>
      </c>
      <c r="F76" s="46">
        <f t="shared" si="45"/>
        <v>207.94967741935483</v>
      </c>
      <c r="G76" s="47"/>
      <c r="H76" s="46">
        <f t="shared" si="46"/>
        <v>11.55</v>
      </c>
      <c r="I76" s="46">
        <f t="shared" si="47"/>
        <v>23.1</v>
      </c>
      <c r="J76" s="25">
        <f t="shared" si="48"/>
        <v>115.52483870967741</v>
      </c>
      <c r="K76" s="25">
        <f t="shared" si="48"/>
        <v>231.04967741935482</v>
      </c>
      <c r="L76" s="50"/>
      <c r="M76" s="3"/>
      <c r="O76" s="40">
        <v>90.021505376344081</v>
      </c>
      <c r="P76" s="41">
        <f t="shared" si="49"/>
        <v>1.155</v>
      </c>
      <c r="Q76" s="42">
        <f t="shared" si="50"/>
        <v>103.97483870967741</v>
      </c>
      <c r="R76" s="43"/>
      <c r="S76" s="43"/>
      <c r="T76" s="44">
        <v>10</v>
      </c>
      <c r="U76" s="45">
        <f t="shared" si="51"/>
        <v>1.155</v>
      </c>
      <c r="V76" s="44">
        <f t="shared" si="52"/>
        <v>11.55</v>
      </c>
      <c r="X76">
        <f t="shared" si="42"/>
        <v>180.04301075268816</v>
      </c>
      <c r="Y76">
        <f t="shared" si="43"/>
        <v>20</v>
      </c>
    </row>
    <row r="77" spans="1:25">
      <c r="A77" s="24" t="s">
        <v>128</v>
      </c>
      <c r="B77" s="33" t="s">
        <v>127</v>
      </c>
      <c r="C77" s="24" t="s">
        <v>64</v>
      </c>
      <c r="D77" s="49">
        <v>4</v>
      </c>
      <c r="E77" s="46">
        <f t="shared" si="44"/>
        <v>65.487258064516126</v>
      </c>
      <c r="F77" s="46">
        <f t="shared" si="45"/>
        <v>261.94903225806451</v>
      </c>
      <c r="G77" s="47"/>
      <c r="H77" s="46">
        <f t="shared" si="46"/>
        <v>5.7750000000000004</v>
      </c>
      <c r="I77" s="46">
        <f t="shared" si="47"/>
        <v>23.1</v>
      </c>
      <c r="J77" s="25">
        <f t="shared" si="48"/>
        <v>71.262258064516132</v>
      </c>
      <c r="K77" s="25">
        <f t="shared" si="48"/>
        <v>285.04903225806453</v>
      </c>
      <c r="L77" s="54" t="s">
        <v>414</v>
      </c>
      <c r="M77" s="3"/>
      <c r="O77" s="40">
        <v>56.698924731182792</v>
      </c>
      <c r="P77" s="41">
        <f t="shared" si="49"/>
        <v>1.155</v>
      </c>
      <c r="Q77" s="42">
        <f t="shared" si="50"/>
        <v>65.487258064516126</v>
      </c>
      <c r="R77" s="43"/>
      <c r="S77" s="43"/>
      <c r="T77" s="44">
        <v>5</v>
      </c>
      <c r="U77" s="45">
        <f t="shared" si="51"/>
        <v>1.155</v>
      </c>
      <c r="V77" s="44">
        <f t="shared" si="52"/>
        <v>5.7750000000000004</v>
      </c>
      <c r="X77">
        <f t="shared" si="42"/>
        <v>226.79569892473117</v>
      </c>
      <c r="Y77">
        <f t="shared" si="43"/>
        <v>20</v>
      </c>
    </row>
    <row r="78" spans="1:25" ht="24.75">
      <c r="A78" s="22" t="s">
        <v>26</v>
      </c>
      <c r="B78" s="32" t="s">
        <v>129</v>
      </c>
      <c r="C78" s="22" t="s">
        <v>26</v>
      </c>
      <c r="D78" s="23"/>
      <c r="E78" s="23"/>
      <c r="F78" s="23"/>
      <c r="G78" s="22"/>
      <c r="H78" s="23"/>
      <c r="I78" s="23"/>
      <c r="J78" s="23"/>
      <c r="K78" s="23"/>
      <c r="L78" s="50"/>
      <c r="M78" s="3"/>
      <c r="O78" s="43"/>
      <c r="P78" s="43"/>
      <c r="Q78" s="43"/>
      <c r="R78" s="43"/>
      <c r="X78">
        <f t="shared" si="42"/>
        <v>0</v>
      </c>
      <c r="Y78">
        <f t="shared" si="43"/>
        <v>0</v>
      </c>
    </row>
    <row r="79" spans="1:25">
      <c r="A79" s="24" t="s">
        <v>124</v>
      </c>
      <c r="B79" s="33" t="s">
        <v>123</v>
      </c>
      <c r="C79" s="24" t="s">
        <v>64</v>
      </c>
      <c r="D79" s="25">
        <v>7</v>
      </c>
      <c r="E79" s="46">
        <f t="shared" ref="E79:E81" si="53">SUM(Q79)</f>
        <v>45.988870967741931</v>
      </c>
      <c r="F79" s="46">
        <f t="shared" ref="F79:F81" si="54">D79*E79</f>
        <v>321.92209677419351</v>
      </c>
      <c r="G79" s="47"/>
      <c r="H79" s="46">
        <f t="shared" ref="H79:H81" si="55">SUM(V79)</f>
        <v>103.95</v>
      </c>
      <c r="I79" s="46">
        <f t="shared" ref="I79:I81" si="56">D79*H79</f>
        <v>727.65</v>
      </c>
      <c r="J79" s="25">
        <f t="shared" ref="J79:K81" si="57">E79+H79</f>
        <v>149.93887096774193</v>
      </c>
      <c r="K79" s="25">
        <f t="shared" si="57"/>
        <v>1049.5720967741936</v>
      </c>
      <c r="L79" s="50"/>
      <c r="M79" s="3"/>
      <c r="O79" s="40">
        <v>39.817204301075265</v>
      </c>
      <c r="P79" s="41">
        <f t="shared" ref="P79:P81" si="58">$P$1</f>
        <v>1.155</v>
      </c>
      <c r="Q79" s="42">
        <f t="shared" ref="Q79:Q81" si="59">SUM(P79*O79)</f>
        <v>45.988870967741931</v>
      </c>
      <c r="R79" s="43"/>
      <c r="S79" s="43"/>
      <c r="T79" s="44">
        <v>90</v>
      </c>
      <c r="U79" s="45">
        <f t="shared" ref="U79:U81" si="60">$U$1</f>
        <v>1.155</v>
      </c>
      <c r="V79" s="44">
        <f t="shared" ref="V79:V81" si="61">SUM(U79*T79)</f>
        <v>103.95</v>
      </c>
      <c r="X79">
        <f t="shared" si="42"/>
        <v>278.72043010752685</v>
      </c>
      <c r="Y79">
        <f t="shared" si="43"/>
        <v>630</v>
      </c>
    </row>
    <row r="80" spans="1:25">
      <c r="A80" s="24" t="s">
        <v>131</v>
      </c>
      <c r="B80" s="33" t="s">
        <v>130</v>
      </c>
      <c r="C80" s="24" t="s">
        <v>64</v>
      </c>
      <c r="D80" s="25">
        <v>7</v>
      </c>
      <c r="E80" s="46">
        <f t="shared" si="53"/>
        <v>21.49790322580645</v>
      </c>
      <c r="F80" s="46">
        <f t="shared" si="54"/>
        <v>150.48532258064515</v>
      </c>
      <c r="G80" s="47"/>
      <c r="H80" s="46">
        <f t="shared" si="55"/>
        <v>11.55</v>
      </c>
      <c r="I80" s="46">
        <f t="shared" si="56"/>
        <v>80.850000000000009</v>
      </c>
      <c r="J80" s="25">
        <f t="shared" si="57"/>
        <v>33.047903225806451</v>
      </c>
      <c r="K80" s="25">
        <f t="shared" si="57"/>
        <v>231.33532258064514</v>
      </c>
      <c r="L80" s="50"/>
      <c r="M80" s="3"/>
      <c r="O80" s="40">
        <v>18.612903225806448</v>
      </c>
      <c r="P80" s="41">
        <f t="shared" si="58"/>
        <v>1.155</v>
      </c>
      <c r="Q80" s="42">
        <f t="shared" si="59"/>
        <v>21.49790322580645</v>
      </c>
      <c r="R80" s="43"/>
      <c r="S80" s="43"/>
      <c r="T80" s="44">
        <v>10</v>
      </c>
      <c r="U80" s="45">
        <f t="shared" si="60"/>
        <v>1.155</v>
      </c>
      <c r="V80" s="44">
        <f t="shared" si="61"/>
        <v>11.55</v>
      </c>
      <c r="X80">
        <f t="shared" si="42"/>
        <v>130.29032258064512</v>
      </c>
      <c r="Y80">
        <f t="shared" si="43"/>
        <v>70</v>
      </c>
    </row>
    <row r="81" spans="1:25">
      <c r="A81" s="24" t="s">
        <v>133</v>
      </c>
      <c r="B81" s="33" t="s">
        <v>132</v>
      </c>
      <c r="C81" s="24" t="s">
        <v>64</v>
      </c>
      <c r="D81" s="25">
        <v>7</v>
      </c>
      <c r="E81" s="46">
        <f t="shared" si="53"/>
        <v>35.991290322580646</v>
      </c>
      <c r="F81" s="46">
        <f t="shared" si="54"/>
        <v>251.93903225806451</v>
      </c>
      <c r="G81" s="47"/>
      <c r="H81" s="46">
        <f t="shared" si="55"/>
        <v>5.7750000000000004</v>
      </c>
      <c r="I81" s="46">
        <f t="shared" si="56"/>
        <v>40.425000000000004</v>
      </c>
      <c r="J81" s="25">
        <f t="shared" si="57"/>
        <v>41.766290322580645</v>
      </c>
      <c r="K81" s="25">
        <f t="shared" si="57"/>
        <v>292.36403225806453</v>
      </c>
      <c r="L81" s="50"/>
      <c r="M81" s="3"/>
      <c r="O81" s="40">
        <v>31.161290322580644</v>
      </c>
      <c r="P81" s="41">
        <f t="shared" si="58"/>
        <v>1.155</v>
      </c>
      <c r="Q81" s="42">
        <f t="shared" si="59"/>
        <v>35.991290322580646</v>
      </c>
      <c r="R81" s="43"/>
      <c r="S81" s="43"/>
      <c r="T81" s="44">
        <v>5</v>
      </c>
      <c r="U81" s="45">
        <f t="shared" si="60"/>
        <v>1.155</v>
      </c>
      <c r="V81" s="44">
        <f t="shared" si="61"/>
        <v>5.7750000000000004</v>
      </c>
      <c r="X81">
        <f t="shared" si="42"/>
        <v>218.12903225806451</v>
      </c>
      <c r="Y81">
        <f t="shared" si="43"/>
        <v>35</v>
      </c>
    </row>
    <row r="82" spans="1:25" ht="24.75">
      <c r="A82" s="22" t="s">
        <v>26</v>
      </c>
      <c r="B82" s="32" t="s">
        <v>134</v>
      </c>
      <c r="C82" s="22" t="s">
        <v>26</v>
      </c>
      <c r="D82" s="23"/>
      <c r="E82" s="23"/>
      <c r="F82" s="23"/>
      <c r="G82" s="22"/>
      <c r="H82" s="23"/>
      <c r="I82" s="23"/>
      <c r="J82" s="23"/>
      <c r="K82" s="23"/>
      <c r="L82" s="50"/>
      <c r="M82" s="3"/>
      <c r="O82" s="43"/>
      <c r="P82" s="43"/>
      <c r="Q82" s="43"/>
      <c r="R82" s="43"/>
      <c r="X82">
        <f t="shared" si="42"/>
        <v>0</v>
      </c>
      <c r="Y82">
        <f t="shared" si="43"/>
        <v>0</v>
      </c>
    </row>
    <row r="83" spans="1:25">
      <c r="A83" s="24" t="s">
        <v>136</v>
      </c>
      <c r="B83" s="33" t="s">
        <v>135</v>
      </c>
      <c r="C83" s="24" t="s">
        <v>64</v>
      </c>
      <c r="D83" s="25">
        <v>5</v>
      </c>
      <c r="E83" s="46">
        <f t="shared" ref="E83:E85" si="62">SUM(Q83)</f>
        <v>713.85209677419346</v>
      </c>
      <c r="F83" s="46">
        <f t="shared" ref="F83:F85" si="63">D83*E83</f>
        <v>3569.2604838709672</v>
      </c>
      <c r="G83" s="47"/>
      <c r="H83" s="46">
        <f t="shared" ref="H83:H85" si="64">SUM(V83)</f>
        <v>103.95</v>
      </c>
      <c r="I83" s="46">
        <f t="shared" ref="I83:I85" si="65">D83*H83</f>
        <v>519.75</v>
      </c>
      <c r="J83" s="25">
        <f t="shared" ref="J83:K85" si="66">E83+H83</f>
        <v>817.8020967741935</v>
      </c>
      <c r="K83" s="25">
        <f t="shared" si="66"/>
        <v>4089.0104838709672</v>
      </c>
      <c r="L83" s="50"/>
      <c r="M83" s="3"/>
      <c r="O83" s="40">
        <v>618.05376344086017</v>
      </c>
      <c r="P83" s="41">
        <f t="shared" ref="P83:P85" si="67">$P$1</f>
        <v>1.155</v>
      </c>
      <c r="Q83" s="42">
        <f t="shared" ref="Q83:Q85" si="68">SUM(P83*O83)</f>
        <v>713.85209677419346</v>
      </c>
      <c r="R83" s="43"/>
      <c r="S83" s="43"/>
      <c r="T83" s="44">
        <v>90</v>
      </c>
      <c r="U83" s="45">
        <f t="shared" ref="U83:U85" si="69">$U$1</f>
        <v>1.155</v>
      </c>
      <c r="V83" s="44">
        <f t="shared" ref="V83:V85" si="70">SUM(U83*T83)</f>
        <v>103.95</v>
      </c>
      <c r="X83">
        <f t="shared" si="42"/>
        <v>3090.2688172043008</v>
      </c>
      <c r="Y83">
        <f t="shared" si="43"/>
        <v>450</v>
      </c>
    </row>
    <row r="84" spans="1:25">
      <c r="A84" s="24" t="s">
        <v>131</v>
      </c>
      <c r="B84" s="33" t="s">
        <v>130</v>
      </c>
      <c r="C84" s="24" t="s">
        <v>64</v>
      </c>
      <c r="D84" s="25">
        <v>5</v>
      </c>
      <c r="E84" s="46">
        <f t="shared" si="62"/>
        <v>21.49790322580645</v>
      </c>
      <c r="F84" s="46">
        <f t="shared" si="63"/>
        <v>107.48951612903225</v>
      </c>
      <c r="G84" s="47"/>
      <c r="H84" s="46">
        <f t="shared" si="64"/>
        <v>11.55</v>
      </c>
      <c r="I84" s="46">
        <f t="shared" si="65"/>
        <v>57.75</v>
      </c>
      <c r="J84" s="25">
        <f t="shared" si="66"/>
        <v>33.047903225806451</v>
      </c>
      <c r="K84" s="25">
        <f t="shared" si="66"/>
        <v>165.23951612903227</v>
      </c>
      <c r="L84" s="50"/>
      <c r="M84" s="3"/>
      <c r="O84" s="40">
        <v>18.612903225806448</v>
      </c>
      <c r="P84" s="41">
        <f t="shared" si="67"/>
        <v>1.155</v>
      </c>
      <c r="Q84" s="42">
        <f t="shared" si="68"/>
        <v>21.49790322580645</v>
      </c>
      <c r="R84" s="43"/>
      <c r="S84" s="43"/>
      <c r="T84" s="44">
        <v>10</v>
      </c>
      <c r="U84" s="45">
        <f t="shared" si="69"/>
        <v>1.155</v>
      </c>
      <c r="V84" s="44">
        <f t="shared" si="70"/>
        <v>11.55</v>
      </c>
      <c r="X84">
        <f t="shared" si="42"/>
        <v>93.064516129032242</v>
      </c>
      <c r="Y84">
        <f t="shared" si="43"/>
        <v>50</v>
      </c>
    </row>
    <row r="85" spans="1:25">
      <c r="A85" s="24" t="s">
        <v>133</v>
      </c>
      <c r="B85" s="33" t="s">
        <v>132</v>
      </c>
      <c r="C85" s="24" t="s">
        <v>64</v>
      </c>
      <c r="D85" s="25">
        <v>5</v>
      </c>
      <c r="E85" s="46">
        <f t="shared" si="62"/>
        <v>0</v>
      </c>
      <c r="F85" s="46">
        <f t="shared" si="63"/>
        <v>0</v>
      </c>
      <c r="G85" s="47"/>
      <c r="H85" s="46">
        <f t="shared" si="64"/>
        <v>0</v>
      </c>
      <c r="I85" s="46">
        <f t="shared" si="65"/>
        <v>0</v>
      </c>
      <c r="J85" s="25">
        <f t="shared" si="66"/>
        <v>0</v>
      </c>
      <c r="K85" s="25">
        <f t="shared" si="66"/>
        <v>0</v>
      </c>
      <c r="L85" s="50" t="s">
        <v>415</v>
      </c>
      <c r="M85" s="3"/>
      <c r="O85" s="40"/>
      <c r="P85" s="41">
        <f t="shared" si="67"/>
        <v>1.155</v>
      </c>
      <c r="Q85" s="42">
        <f t="shared" si="68"/>
        <v>0</v>
      </c>
      <c r="R85" s="43"/>
      <c r="S85" s="43"/>
      <c r="T85" s="44"/>
      <c r="U85" s="45">
        <f t="shared" si="69"/>
        <v>1.155</v>
      </c>
      <c r="V85" s="44">
        <f t="shared" si="70"/>
        <v>0</v>
      </c>
      <c r="X85">
        <f t="shared" si="42"/>
        <v>0</v>
      </c>
      <c r="Y85">
        <f t="shared" si="43"/>
        <v>0</v>
      </c>
    </row>
    <row r="86" spans="1:25" ht="24.75">
      <c r="A86" s="22" t="s">
        <v>26</v>
      </c>
      <c r="B86" s="32" t="s">
        <v>137</v>
      </c>
      <c r="C86" s="22" t="s">
        <v>26</v>
      </c>
      <c r="D86" s="23"/>
      <c r="E86" s="23"/>
      <c r="F86" s="23"/>
      <c r="G86" s="22"/>
      <c r="H86" s="23"/>
      <c r="I86" s="23"/>
      <c r="J86" s="23"/>
      <c r="K86" s="23"/>
      <c r="L86" s="50"/>
      <c r="M86" s="3"/>
      <c r="O86" s="43"/>
      <c r="P86" s="43"/>
      <c r="Q86" s="43"/>
      <c r="R86" s="43"/>
      <c r="X86">
        <f t="shared" si="42"/>
        <v>0</v>
      </c>
      <c r="Y86">
        <f t="shared" si="43"/>
        <v>0</v>
      </c>
    </row>
    <row r="87" spans="1:25">
      <c r="A87" s="24" t="s">
        <v>124</v>
      </c>
      <c r="B87" s="33" t="s">
        <v>123</v>
      </c>
      <c r="C87" s="24" t="s">
        <v>64</v>
      </c>
      <c r="D87" s="25">
        <v>10</v>
      </c>
      <c r="E87" s="46">
        <f t="shared" ref="E87:E89" si="71">SUM(Q87)</f>
        <v>45.988870967741931</v>
      </c>
      <c r="F87" s="46">
        <f t="shared" ref="F87:F89" si="72">D87*E87</f>
        <v>459.88870967741934</v>
      </c>
      <c r="G87" s="47"/>
      <c r="H87" s="46">
        <f t="shared" ref="H87:H89" si="73">SUM(V87)</f>
        <v>103.95</v>
      </c>
      <c r="I87" s="46">
        <f t="shared" ref="I87:I89" si="74">D87*H87</f>
        <v>1039.5</v>
      </c>
      <c r="J87" s="25">
        <f t="shared" ref="J87:K89" si="75">E87+H87</f>
        <v>149.93887096774193</v>
      </c>
      <c r="K87" s="25">
        <f t="shared" si="75"/>
        <v>1499.3887096774192</v>
      </c>
      <c r="L87" s="50"/>
      <c r="M87" s="3"/>
      <c r="O87" s="40">
        <v>39.817204301075265</v>
      </c>
      <c r="P87" s="41">
        <f t="shared" ref="P87:P89" si="76">$P$1</f>
        <v>1.155</v>
      </c>
      <c r="Q87" s="42">
        <f t="shared" ref="Q87:Q89" si="77">SUM(P87*O87)</f>
        <v>45.988870967741931</v>
      </c>
      <c r="R87" s="43"/>
      <c r="S87" s="43"/>
      <c r="T87" s="44">
        <v>90</v>
      </c>
      <c r="U87" s="45">
        <f t="shared" ref="U87:U89" si="78">$U$1</f>
        <v>1.155</v>
      </c>
      <c r="V87" s="44">
        <f t="shared" ref="V87:V89" si="79">SUM(U87*T87)</f>
        <v>103.95</v>
      </c>
      <c r="X87">
        <f t="shared" si="42"/>
        <v>398.17204301075265</v>
      </c>
      <c r="Y87">
        <f t="shared" si="43"/>
        <v>900</v>
      </c>
    </row>
    <row r="88" spans="1:25">
      <c r="A88" s="24" t="s">
        <v>139</v>
      </c>
      <c r="B88" s="33" t="s">
        <v>138</v>
      </c>
      <c r="C88" s="24" t="s">
        <v>64</v>
      </c>
      <c r="D88" s="25">
        <v>5</v>
      </c>
      <c r="E88" s="46">
        <f t="shared" si="71"/>
        <v>33.494999999999997</v>
      </c>
      <c r="F88" s="46">
        <f t="shared" si="72"/>
        <v>167.47499999999999</v>
      </c>
      <c r="G88" s="47"/>
      <c r="H88" s="46">
        <f t="shared" si="73"/>
        <v>11.55</v>
      </c>
      <c r="I88" s="46">
        <f t="shared" si="74"/>
        <v>57.75</v>
      </c>
      <c r="J88" s="25">
        <f t="shared" si="75"/>
        <v>45.045000000000002</v>
      </c>
      <c r="K88" s="25">
        <f t="shared" si="75"/>
        <v>225.22499999999999</v>
      </c>
      <c r="L88" s="50"/>
      <c r="M88" s="3"/>
      <c r="O88" s="40">
        <v>28.999999999999996</v>
      </c>
      <c r="P88" s="41">
        <f t="shared" si="76"/>
        <v>1.155</v>
      </c>
      <c r="Q88" s="42">
        <f t="shared" si="77"/>
        <v>33.494999999999997</v>
      </c>
      <c r="R88" s="43"/>
      <c r="S88" s="43"/>
      <c r="T88" s="44">
        <v>10</v>
      </c>
      <c r="U88" s="45">
        <f t="shared" si="78"/>
        <v>1.155</v>
      </c>
      <c r="V88" s="44">
        <f t="shared" si="79"/>
        <v>11.55</v>
      </c>
      <c r="X88">
        <f t="shared" si="42"/>
        <v>144.99999999999997</v>
      </c>
      <c r="Y88">
        <f t="shared" si="43"/>
        <v>50</v>
      </c>
    </row>
    <row r="89" spans="1:25">
      <c r="A89" s="24" t="s">
        <v>133</v>
      </c>
      <c r="B89" s="33" t="s">
        <v>132</v>
      </c>
      <c r="C89" s="24" t="s">
        <v>64</v>
      </c>
      <c r="D89" s="25">
        <v>10</v>
      </c>
      <c r="E89" s="46">
        <f t="shared" si="71"/>
        <v>35.991290322580646</v>
      </c>
      <c r="F89" s="46">
        <f t="shared" si="72"/>
        <v>359.91290322580647</v>
      </c>
      <c r="G89" s="47"/>
      <c r="H89" s="46">
        <f t="shared" si="73"/>
        <v>5.7750000000000004</v>
      </c>
      <c r="I89" s="46">
        <f t="shared" si="74"/>
        <v>57.75</v>
      </c>
      <c r="J89" s="25">
        <f t="shared" si="75"/>
        <v>41.766290322580645</v>
      </c>
      <c r="K89" s="25">
        <f t="shared" si="75"/>
        <v>417.66290322580647</v>
      </c>
      <c r="L89" s="50"/>
      <c r="M89" s="3"/>
      <c r="O89" s="40">
        <v>31.161290322580644</v>
      </c>
      <c r="P89" s="41">
        <f t="shared" si="76"/>
        <v>1.155</v>
      </c>
      <c r="Q89" s="42">
        <f t="shared" si="77"/>
        <v>35.991290322580646</v>
      </c>
      <c r="R89" s="43"/>
      <c r="S89" s="43"/>
      <c r="T89" s="44">
        <v>5</v>
      </c>
      <c r="U89" s="45">
        <f t="shared" si="78"/>
        <v>1.155</v>
      </c>
      <c r="V89" s="44">
        <f t="shared" si="79"/>
        <v>5.7750000000000004</v>
      </c>
      <c r="X89">
        <f t="shared" si="42"/>
        <v>311.61290322580646</v>
      </c>
      <c r="Y89">
        <f t="shared" si="43"/>
        <v>50</v>
      </c>
    </row>
    <row r="90" spans="1:25" ht="24.75">
      <c r="A90" s="22" t="s">
        <v>26</v>
      </c>
      <c r="B90" s="32" t="s">
        <v>140</v>
      </c>
      <c r="C90" s="22" t="s">
        <v>26</v>
      </c>
      <c r="D90" s="23"/>
      <c r="E90" s="23"/>
      <c r="F90" s="23"/>
      <c r="G90" s="22"/>
      <c r="H90" s="23"/>
      <c r="I90" s="23"/>
      <c r="J90" s="23"/>
      <c r="K90" s="23"/>
      <c r="L90" s="50"/>
      <c r="M90" s="3"/>
      <c r="O90" s="43"/>
      <c r="P90" s="43"/>
      <c r="Q90" s="43"/>
      <c r="R90" s="43"/>
      <c r="X90">
        <f t="shared" si="42"/>
        <v>0</v>
      </c>
      <c r="Y90">
        <f t="shared" si="43"/>
        <v>0</v>
      </c>
    </row>
    <row r="91" spans="1:25">
      <c r="A91" s="24" t="s">
        <v>124</v>
      </c>
      <c r="B91" s="33" t="s">
        <v>123</v>
      </c>
      <c r="C91" s="24" t="s">
        <v>64</v>
      </c>
      <c r="D91" s="25">
        <v>2</v>
      </c>
      <c r="E91" s="46">
        <f>SUM(Q91)</f>
        <v>45.988870967741931</v>
      </c>
      <c r="F91" s="46">
        <f>D91*E91</f>
        <v>91.977741935483863</v>
      </c>
      <c r="G91" s="47"/>
      <c r="H91" s="46">
        <f>SUM(V91)</f>
        <v>103.95</v>
      </c>
      <c r="I91" s="46">
        <f>D91*H91</f>
        <v>207.9</v>
      </c>
      <c r="J91" s="25">
        <f t="shared" ref="J91:K93" si="80">E91+H91</f>
        <v>149.93887096774193</v>
      </c>
      <c r="K91" s="25">
        <f t="shared" si="80"/>
        <v>299.87774193548387</v>
      </c>
      <c r="L91" s="50"/>
      <c r="M91" s="3"/>
      <c r="O91" s="40">
        <v>39.817204301075265</v>
      </c>
      <c r="P91" s="41">
        <f t="shared" ref="P91:P93" si="81">$P$1</f>
        <v>1.155</v>
      </c>
      <c r="Q91" s="42">
        <f t="shared" ref="Q91:Q92" si="82">SUM(P91*O91)</f>
        <v>45.988870967741931</v>
      </c>
      <c r="R91" s="43"/>
      <c r="S91" s="43"/>
      <c r="T91" s="44">
        <v>90</v>
      </c>
      <c r="U91" s="45">
        <f t="shared" ref="U91:U93" si="83">$U$1</f>
        <v>1.155</v>
      </c>
      <c r="V91" s="44">
        <f t="shared" ref="V91:V92" si="84">SUM(U91*T91)</f>
        <v>103.95</v>
      </c>
      <c r="X91">
        <f t="shared" si="42"/>
        <v>79.634408602150529</v>
      </c>
      <c r="Y91">
        <f t="shared" si="43"/>
        <v>180</v>
      </c>
    </row>
    <row r="92" spans="1:25">
      <c r="A92" s="24" t="s">
        <v>141</v>
      </c>
      <c r="B92" s="33" t="s">
        <v>417</v>
      </c>
      <c r="C92" s="24" t="s">
        <v>64</v>
      </c>
      <c r="D92" s="25">
        <v>1</v>
      </c>
      <c r="E92" s="46">
        <f>SUM(Q92)</f>
        <v>105.4775806451613</v>
      </c>
      <c r="F92" s="46">
        <f>D92*E92</f>
        <v>105.4775806451613</v>
      </c>
      <c r="G92" s="47"/>
      <c r="H92" s="46">
        <f>SUM(V92)</f>
        <v>11.55</v>
      </c>
      <c r="I92" s="46">
        <f>D92*H92</f>
        <v>11.55</v>
      </c>
      <c r="J92" s="25">
        <f t="shared" si="80"/>
        <v>117.02758064516129</v>
      </c>
      <c r="K92" s="25">
        <f t="shared" si="80"/>
        <v>117.02758064516129</v>
      </c>
      <c r="L92" s="54" t="s">
        <v>420</v>
      </c>
      <c r="M92" s="3"/>
      <c r="O92" s="40">
        <v>91.322580645161295</v>
      </c>
      <c r="P92" s="41">
        <f t="shared" si="81"/>
        <v>1.155</v>
      </c>
      <c r="Q92" s="42">
        <f t="shared" si="82"/>
        <v>105.4775806451613</v>
      </c>
      <c r="R92" s="43"/>
      <c r="S92" s="43"/>
      <c r="T92" s="44">
        <v>10</v>
      </c>
      <c r="U92" s="45">
        <f t="shared" si="83"/>
        <v>1.155</v>
      </c>
      <c r="V92" s="44">
        <f t="shared" si="84"/>
        <v>11.55</v>
      </c>
      <c r="X92">
        <f t="shared" si="42"/>
        <v>91.322580645161295</v>
      </c>
      <c r="Y92">
        <f t="shared" si="43"/>
        <v>10</v>
      </c>
    </row>
    <row r="93" spans="1:25">
      <c r="A93" s="24"/>
      <c r="B93" s="52" t="s">
        <v>416</v>
      </c>
      <c r="C93" s="24" t="s">
        <v>64</v>
      </c>
      <c r="D93" s="25">
        <v>2</v>
      </c>
      <c r="E93" s="46">
        <f>SUM(Q93)</f>
        <v>72.479354838709682</v>
      </c>
      <c r="F93" s="46">
        <f>D93*E93</f>
        <v>144.95870967741936</v>
      </c>
      <c r="G93" s="47"/>
      <c r="H93" s="46">
        <f>SUM(V93)</f>
        <v>5.7750000000000004</v>
      </c>
      <c r="I93" s="46">
        <f>D93*H93</f>
        <v>11.55</v>
      </c>
      <c r="J93" s="25">
        <f t="shared" si="80"/>
        <v>78.254354838709688</v>
      </c>
      <c r="K93" s="25">
        <f t="shared" si="80"/>
        <v>156.50870967741938</v>
      </c>
      <c r="L93" s="54" t="s">
        <v>420</v>
      </c>
      <c r="M93" s="3"/>
      <c r="O93" s="40">
        <v>62.752688172043008</v>
      </c>
      <c r="P93" s="41">
        <f t="shared" si="81"/>
        <v>1.155</v>
      </c>
      <c r="Q93" s="42">
        <f t="shared" ref="Q93" si="85">SUM(P93*O93)</f>
        <v>72.479354838709682</v>
      </c>
      <c r="R93" s="43"/>
      <c r="S93" s="43"/>
      <c r="T93" s="44">
        <v>5</v>
      </c>
      <c r="U93" s="45">
        <f t="shared" si="83"/>
        <v>1.155</v>
      </c>
      <c r="V93" s="44">
        <f t="shared" ref="V93" si="86">SUM(U93*T93)</f>
        <v>5.7750000000000004</v>
      </c>
      <c r="X93">
        <f t="shared" si="42"/>
        <v>125.50537634408602</v>
      </c>
      <c r="Y93">
        <f t="shared" si="43"/>
        <v>10</v>
      </c>
    </row>
    <row r="94" spans="1:25" ht="24.75">
      <c r="A94" s="22" t="s">
        <v>26</v>
      </c>
      <c r="B94" s="32" t="s">
        <v>142</v>
      </c>
      <c r="C94" s="22" t="s">
        <v>26</v>
      </c>
      <c r="D94" s="23"/>
      <c r="E94" s="23"/>
      <c r="F94" s="23"/>
      <c r="G94" s="22"/>
      <c r="H94" s="23"/>
      <c r="I94" s="23"/>
      <c r="J94" s="23"/>
      <c r="K94" s="23"/>
      <c r="L94" s="50"/>
      <c r="M94" s="3"/>
      <c r="O94" s="43"/>
      <c r="P94" s="43"/>
      <c r="Q94" s="43"/>
      <c r="R94" s="43"/>
      <c r="X94">
        <f t="shared" si="42"/>
        <v>0</v>
      </c>
      <c r="Y94">
        <f t="shared" si="43"/>
        <v>0</v>
      </c>
    </row>
    <row r="95" spans="1:25">
      <c r="A95" s="24" t="s">
        <v>124</v>
      </c>
      <c r="B95" s="33" t="s">
        <v>123</v>
      </c>
      <c r="C95" s="24" t="s">
        <v>64</v>
      </c>
      <c r="D95" s="25">
        <v>22</v>
      </c>
      <c r="E95" s="46">
        <f t="shared" ref="E95:E97" si="87">SUM(Q95)</f>
        <v>45.988870967741931</v>
      </c>
      <c r="F95" s="46">
        <f t="shared" ref="F95:F97" si="88">D95*E95</f>
        <v>1011.7551612903225</v>
      </c>
      <c r="G95" s="47"/>
      <c r="H95" s="46">
        <f t="shared" ref="H95:H97" si="89">SUM(V95)</f>
        <v>103.95</v>
      </c>
      <c r="I95" s="46">
        <f t="shared" ref="I95:I97" si="90">D95*H95</f>
        <v>2286.9</v>
      </c>
      <c r="J95" s="25">
        <f t="shared" ref="J95:K97" si="91">E95+H95</f>
        <v>149.93887096774193</v>
      </c>
      <c r="K95" s="25">
        <f t="shared" si="91"/>
        <v>3298.6551612903227</v>
      </c>
      <c r="L95" s="50"/>
      <c r="M95" s="3"/>
      <c r="O95" s="40">
        <v>39.817204301075265</v>
      </c>
      <c r="P95" s="41">
        <f t="shared" ref="P95:P97" si="92">$P$1</f>
        <v>1.155</v>
      </c>
      <c r="Q95" s="42">
        <f t="shared" ref="Q95:Q97" si="93">SUM(P95*O95)</f>
        <v>45.988870967741931</v>
      </c>
      <c r="R95" s="43"/>
      <c r="S95" s="43"/>
      <c r="T95" s="44">
        <v>90</v>
      </c>
      <c r="U95" s="45">
        <f t="shared" ref="U95:U97" si="94">$U$1</f>
        <v>1.155</v>
      </c>
      <c r="V95" s="44">
        <f t="shared" ref="V95:V97" si="95">SUM(U95*T95)</f>
        <v>103.95</v>
      </c>
      <c r="X95">
        <f t="shared" si="42"/>
        <v>875.97849462365582</v>
      </c>
      <c r="Y95">
        <f t="shared" si="43"/>
        <v>1980</v>
      </c>
    </row>
    <row r="96" spans="1:25">
      <c r="A96" s="24" t="s">
        <v>144</v>
      </c>
      <c r="B96" s="33" t="s">
        <v>143</v>
      </c>
      <c r="C96" s="24" t="s">
        <v>64</v>
      </c>
      <c r="D96" s="25">
        <v>22</v>
      </c>
      <c r="E96" s="46">
        <f t="shared" si="87"/>
        <v>65.984032258064516</v>
      </c>
      <c r="F96" s="46">
        <f t="shared" si="88"/>
        <v>1451.6487096774194</v>
      </c>
      <c r="G96" s="47"/>
      <c r="H96" s="46">
        <f t="shared" si="89"/>
        <v>11.55</v>
      </c>
      <c r="I96" s="46">
        <f t="shared" si="90"/>
        <v>254.10000000000002</v>
      </c>
      <c r="J96" s="25">
        <f t="shared" si="91"/>
        <v>77.534032258064514</v>
      </c>
      <c r="K96" s="25">
        <f t="shared" si="91"/>
        <v>1705.7487096774194</v>
      </c>
      <c r="L96" s="50"/>
      <c r="M96" s="3"/>
      <c r="O96" s="40">
        <v>57.129032258064512</v>
      </c>
      <c r="P96" s="41">
        <f t="shared" si="92"/>
        <v>1.155</v>
      </c>
      <c r="Q96" s="42">
        <f t="shared" si="93"/>
        <v>65.984032258064516</v>
      </c>
      <c r="R96" s="43"/>
      <c r="S96" s="43"/>
      <c r="T96" s="44">
        <v>10</v>
      </c>
      <c r="U96" s="45">
        <f t="shared" si="94"/>
        <v>1.155</v>
      </c>
      <c r="V96" s="44">
        <f t="shared" si="95"/>
        <v>11.55</v>
      </c>
      <c r="X96">
        <f t="shared" si="42"/>
        <v>1256.8387096774193</v>
      </c>
      <c r="Y96">
        <f t="shared" si="43"/>
        <v>220</v>
      </c>
    </row>
    <row r="97" spans="1:25">
      <c r="A97" s="24" t="s">
        <v>146</v>
      </c>
      <c r="B97" s="33" t="s">
        <v>145</v>
      </c>
      <c r="C97" s="24" t="s">
        <v>64</v>
      </c>
      <c r="D97" s="25">
        <v>22</v>
      </c>
      <c r="E97" s="46">
        <f t="shared" si="87"/>
        <v>72.479354838709682</v>
      </c>
      <c r="F97" s="46">
        <f t="shared" si="88"/>
        <v>1594.5458064516131</v>
      </c>
      <c r="G97" s="47"/>
      <c r="H97" s="46">
        <f t="shared" si="89"/>
        <v>5.7750000000000004</v>
      </c>
      <c r="I97" s="46">
        <f t="shared" si="90"/>
        <v>127.05000000000001</v>
      </c>
      <c r="J97" s="25">
        <f t="shared" si="91"/>
        <v>78.254354838709688</v>
      </c>
      <c r="K97" s="25">
        <f t="shared" si="91"/>
        <v>1721.595806451613</v>
      </c>
      <c r="L97" s="50"/>
      <c r="M97" s="3"/>
      <c r="O97" s="40">
        <v>62.752688172043008</v>
      </c>
      <c r="P97" s="41">
        <f t="shared" si="92"/>
        <v>1.155</v>
      </c>
      <c r="Q97" s="42">
        <f t="shared" si="93"/>
        <v>72.479354838709682</v>
      </c>
      <c r="R97" s="43"/>
      <c r="S97" s="43"/>
      <c r="T97" s="44">
        <v>5</v>
      </c>
      <c r="U97" s="45">
        <f t="shared" si="94"/>
        <v>1.155</v>
      </c>
      <c r="V97" s="44">
        <f t="shared" si="95"/>
        <v>5.7750000000000004</v>
      </c>
      <c r="X97">
        <f t="shared" si="42"/>
        <v>1380.5591397849462</v>
      </c>
      <c r="Y97">
        <f t="shared" si="43"/>
        <v>110</v>
      </c>
    </row>
    <row r="98" spans="1:25" ht="24.75">
      <c r="A98" s="22" t="s">
        <v>26</v>
      </c>
      <c r="B98" s="32" t="s">
        <v>147</v>
      </c>
      <c r="C98" s="22" t="s">
        <v>26</v>
      </c>
      <c r="D98" s="23"/>
      <c r="E98" s="23"/>
      <c r="F98" s="23"/>
      <c r="G98" s="22"/>
      <c r="H98" s="23"/>
      <c r="I98" s="23"/>
      <c r="J98" s="23"/>
      <c r="K98" s="23"/>
      <c r="L98" s="50"/>
      <c r="M98" s="3"/>
      <c r="O98" s="43"/>
      <c r="P98" s="43"/>
      <c r="Q98" s="43"/>
      <c r="R98" s="43"/>
      <c r="X98">
        <f t="shared" si="42"/>
        <v>0</v>
      </c>
      <c r="Y98">
        <f t="shared" si="43"/>
        <v>0</v>
      </c>
    </row>
    <row r="99" spans="1:25">
      <c r="A99" s="24" t="s">
        <v>124</v>
      </c>
      <c r="B99" s="33" t="s">
        <v>123</v>
      </c>
      <c r="C99" s="24" t="s">
        <v>64</v>
      </c>
      <c r="D99" s="25">
        <v>18</v>
      </c>
      <c r="E99" s="46">
        <f t="shared" ref="E99:E101" si="96">SUM(Q99)</f>
        <v>45.988870967741931</v>
      </c>
      <c r="F99" s="46">
        <f t="shared" ref="F99:F101" si="97">D99*E99</f>
        <v>827.79967741935479</v>
      </c>
      <c r="G99" s="47"/>
      <c r="H99" s="46">
        <f t="shared" ref="H99:H101" si="98">SUM(V99)</f>
        <v>103.95</v>
      </c>
      <c r="I99" s="46">
        <f t="shared" ref="I99:I101" si="99">D99*H99</f>
        <v>1871.1000000000001</v>
      </c>
      <c r="J99" s="25">
        <f t="shared" ref="J99:K101" si="100">E99+H99</f>
        <v>149.93887096774193</v>
      </c>
      <c r="K99" s="25">
        <f t="shared" si="100"/>
        <v>2698.8996774193547</v>
      </c>
      <c r="L99" s="50"/>
      <c r="M99" s="3"/>
      <c r="O99" s="40">
        <v>39.817204301075265</v>
      </c>
      <c r="P99" s="41">
        <f t="shared" ref="P99:P101" si="101">$P$1</f>
        <v>1.155</v>
      </c>
      <c r="Q99" s="42">
        <f t="shared" ref="Q99:Q101" si="102">SUM(P99*O99)</f>
        <v>45.988870967741931</v>
      </c>
      <c r="R99" s="43"/>
      <c r="S99" s="43"/>
      <c r="T99" s="44">
        <v>90</v>
      </c>
      <c r="U99" s="45">
        <f t="shared" ref="U99:U101" si="103">$U$1</f>
        <v>1.155</v>
      </c>
      <c r="V99" s="44">
        <f t="shared" ref="V99:V101" si="104">SUM(U99*T99)</f>
        <v>103.95</v>
      </c>
      <c r="X99">
        <f t="shared" si="42"/>
        <v>716.70967741935476</v>
      </c>
      <c r="Y99">
        <f t="shared" si="43"/>
        <v>1620</v>
      </c>
    </row>
    <row r="100" spans="1:25">
      <c r="A100" s="24" t="s">
        <v>149</v>
      </c>
      <c r="B100" s="33" t="s">
        <v>148</v>
      </c>
      <c r="C100" s="24" t="s">
        <v>64</v>
      </c>
      <c r="D100" s="25">
        <v>9</v>
      </c>
      <c r="E100" s="46">
        <f t="shared" si="96"/>
        <v>105.4775806451613</v>
      </c>
      <c r="F100" s="46">
        <f t="shared" si="97"/>
        <v>949.29822580645168</v>
      </c>
      <c r="G100" s="47"/>
      <c r="H100" s="46">
        <f t="shared" si="98"/>
        <v>11.55</v>
      </c>
      <c r="I100" s="46">
        <f t="shared" si="99"/>
        <v>103.95</v>
      </c>
      <c r="J100" s="25">
        <f t="shared" si="100"/>
        <v>117.02758064516129</v>
      </c>
      <c r="K100" s="25">
        <f t="shared" si="100"/>
        <v>1053.2482258064517</v>
      </c>
      <c r="L100" s="50"/>
      <c r="M100" s="3"/>
      <c r="O100" s="40">
        <v>91.322580645161295</v>
      </c>
      <c r="P100" s="41">
        <f t="shared" si="101"/>
        <v>1.155</v>
      </c>
      <c r="Q100" s="42">
        <f t="shared" si="102"/>
        <v>105.4775806451613</v>
      </c>
      <c r="R100" s="43"/>
      <c r="S100" s="43"/>
      <c r="T100" s="44">
        <v>10</v>
      </c>
      <c r="U100" s="45">
        <f t="shared" si="103"/>
        <v>1.155</v>
      </c>
      <c r="V100" s="44">
        <f t="shared" si="104"/>
        <v>11.55</v>
      </c>
      <c r="X100">
        <f t="shared" si="42"/>
        <v>821.9032258064517</v>
      </c>
      <c r="Y100">
        <f t="shared" si="43"/>
        <v>90</v>
      </c>
    </row>
    <row r="101" spans="1:25">
      <c r="A101" s="24" t="s">
        <v>146</v>
      </c>
      <c r="B101" s="33" t="s">
        <v>145</v>
      </c>
      <c r="C101" s="24" t="s">
        <v>64</v>
      </c>
      <c r="D101" s="25">
        <v>18</v>
      </c>
      <c r="E101" s="46">
        <f t="shared" si="96"/>
        <v>72.479354838709682</v>
      </c>
      <c r="F101" s="46">
        <f t="shared" si="97"/>
        <v>1304.6283870967743</v>
      </c>
      <c r="G101" s="47"/>
      <c r="H101" s="46">
        <f t="shared" si="98"/>
        <v>5.7750000000000004</v>
      </c>
      <c r="I101" s="46">
        <f t="shared" si="99"/>
        <v>103.95</v>
      </c>
      <c r="J101" s="25">
        <f t="shared" si="100"/>
        <v>78.254354838709688</v>
      </c>
      <c r="K101" s="25">
        <f t="shared" si="100"/>
        <v>1408.5783870967743</v>
      </c>
      <c r="L101" s="50"/>
      <c r="M101" s="3"/>
      <c r="O101" s="40">
        <v>62.752688172043008</v>
      </c>
      <c r="P101" s="41">
        <f t="shared" si="101"/>
        <v>1.155</v>
      </c>
      <c r="Q101" s="42">
        <f t="shared" si="102"/>
        <v>72.479354838709682</v>
      </c>
      <c r="R101" s="43"/>
      <c r="S101" s="43"/>
      <c r="T101" s="44">
        <v>5</v>
      </c>
      <c r="U101" s="45">
        <f t="shared" si="103"/>
        <v>1.155</v>
      </c>
      <c r="V101" s="44">
        <f t="shared" si="104"/>
        <v>5.7750000000000004</v>
      </c>
      <c r="X101">
        <f t="shared" si="42"/>
        <v>1129.5483870967741</v>
      </c>
      <c r="Y101">
        <f t="shared" si="43"/>
        <v>90</v>
      </c>
    </row>
    <row r="102" spans="1:25" ht="24.75">
      <c r="A102" s="22" t="s">
        <v>26</v>
      </c>
      <c r="B102" s="32" t="s">
        <v>150</v>
      </c>
      <c r="C102" s="22" t="s">
        <v>26</v>
      </c>
      <c r="D102" s="23"/>
      <c r="E102" s="23"/>
      <c r="F102" s="23"/>
      <c r="G102" s="22"/>
      <c r="H102" s="23"/>
      <c r="I102" s="23"/>
      <c r="J102" s="23"/>
      <c r="K102" s="23"/>
      <c r="L102" s="50"/>
      <c r="M102" s="3"/>
      <c r="O102" s="43"/>
      <c r="P102" s="43"/>
      <c r="Q102" s="43"/>
      <c r="R102" s="43"/>
      <c r="X102">
        <f t="shared" si="42"/>
        <v>0</v>
      </c>
      <c r="Y102">
        <f t="shared" si="43"/>
        <v>0</v>
      </c>
    </row>
    <row r="103" spans="1:25">
      <c r="A103" s="24" t="s">
        <v>26</v>
      </c>
      <c r="B103" s="33" t="s">
        <v>151</v>
      </c>
      <c r="C103" s="24" t="s">
        <v>64</v>
      </c>
      <c r="D103" s="25">
        <v>1</v>
      </c>
      <c r="E103" s="46">
        <f t="shared" ref="E103:E105" si="105">SUM(Q103)</f>
        <v>74.47887096774194</v>
      </c>
      <c r="F103" s="46">
        <f t="shared" ref="F103:F105" si="106">D103*E103</f>
        <v>74.47887096774194</v>
      </c>
      <c r="G103" s="47"/>
      <c r="H103" s="46">
        <f t="shared" ref="H103:H105" si="107">SUM(V103)</f>
        <v>103.95</v>
      </c>
      <c r="I103" s="46">
        <f t="shared" ref="I103:I105" si="108">D103*H103</f>
        <v>103.95</v>
      </c>
      <c r="J103" s="25">
        <f t="shared" ref="J103:K105" si="109">E103+H103</f>
        <v>178.42887096774194</v>
      </c>
      <c r="K103" s="25">
        <f t="shared" si="109"/>
        <v>178.42887096774194</v>
      </c>
      <c r="L103" s="50"/>
      <c r="M103" s="3"/>
      <c r="O103" s="40">
        <v>64.483870967741936</v>
      </c>
      <c r="P103" s="41">
        <f t="shared" ref="P103:P105" si="110">$P$1</f>
        <v>1.155</v>
      </c>
      <c r="Q103" s="42">
        <f t="shared" ref="Q103:Q105" si="111">SUM(P103*O103)</f>
        <v>74.47887096774194</v>
      </c>
      <c r="R103" s="43"/>
      <c r="S103" s="43"/>
      <c r="T103" s="44">
        <v>90</v>
      </c>
      <c r="U103" s="45">
        <f t="shared" ref="U103:U105" si="112">$U$1</f>
        <v>1.155</v>
      </c>
      <c r="V103" s="44">
        <f t="shared" ref="V103:V105" si="113">SUM(U103*T103)</f>
        <v>103.95</v>
      </c>
      <c r="X103">
        <f t="shared" si="42"/>
        <v>64.483870967741936</v>
      </c>
      <c r="Y103">
        <f t="shared" si="43"/>
        <v>90</v>
      </c>
    </row>
    <row r="104" spans="1:25">
      <c r="A104" s="24" t="s">
        <v>131</v>
      </c>
      <c r="B104" s="53" t="s">
        <v>418</v>
      </c>
      <c r="C104" s="24" t="s">
        <v>64</v>
      </c>
      <c r="D104" s="25">
        <v>1</v>
      </c>
      <c r="E104" s="46">
        <f t="shared" si="105"/>
        <v>74.20564516129032</v>
      </c>
      <c r="F104" s="46">
        <f t="shared" si="106"/>
        <v>74.20564516129032</v>
      </c>
      <c r="G104" s="47"/>
      <c r="H104" s="46">
        <f t="shared" si="107"/>
        <v>11.55</v>
      </c>
      <c r="I104" s="46">
        <f t="shared" si="108"/>
        <v>11.55</v>
      </c>
      <c r="J104" s="25">
        <f t="shared" si="109"/>
        <v>85.755645161290317</v>
      </c>
      <c r="K104" s="25">
        <f t="shared" si="109"/>
        <v>85.755645161290317</v>
      </c>
      <c r="L104" s="54" t="s">
        <v>420</v>
      </c>
      <c r="M104" s="3"/>
      <c r="O104" s="40">
        <v>64.247311827956992</v>
      </c>
      <c r="P104" s="41">
        <f t="shared" si="110"/>
        <v>1.155</v>
      </c>
      <c r="Q104" s="42">
        <f t="shared" si="111"/>
        <v>74.20564516129032</v>
      </c>
      <c r="R104" s="43"/>
      <c r="S104" s="43"/>
      <c r="T104" s="44">
        <v>10</v>
      </c>
      <c r="U104" s="45">
        <f t="shared" si="112"/>
        <v>1.155</v>
      </c>
      <c r="V104" s="44">
        <f t="shared" si="113"/>
        <v>11.55</v>
      </c>
      <c r="X104">
        <f t="shared" si="42"/>
        <v>64.247311827956992</v>
      </c>
      <c r="Y104">
        <f t="shared" si="43"/>
        <v>10</v>
      </c>
    </row>
    <row r="105" spans="1:25">
      <c r="A105" s="24" t="s">
        <v>26</v>
      </c>
      <c r="B105" s="33" t="s">
        <v>153</v>
      </c>
      <c r="C105" s="24" t="s">
        <v>64</v>
      </c>
      <c r="D105" s="25">
        <v>1</v>
      </c>
      <c r="E105" s="46">
        <f t="shared" si="105"/>
        <v>17.995645161290323</v>
      </c>
      <c r="F105" s="46">
        <f t="shared" si="106"/>
        <v>17.995645161290323</v>
      </c>
      <c r="G105" s="47"/>
      <c r="H105" s="46">
        <f t="shared" si="107"/>
        <v>5.7750000000000004</v>
      </c>
      <c r="I105" s="46">
        <f t="shared" si="108"/>
        <v>5.7750000000000004</v>
      </c>
      <c r="J105" s="25">
        <f t="shared" si="109"/>
        <v>23.770645161290325</v>
      </c>
      <c r="K105" s="25">
        <f t="shared" si="109"/>
        <v>23.770645161290325</v>
      </c>
      <c r="L105" s="50"/>
      <c r="M105" s="3"/>
      <c r="O105" s="40">
        <v>15.580645161290322</v>
      </c>
      <c r="P105" s="41">
        <f t="shared" si="110"/>
        <v>1.155</v>
      </c>
      <c r="Q105" s="42">
        <f t="shared" si="111"/>
        <v>17.995645161290323</v>
      </c>
      <c r="R105" s="43"/>
      <c r="S105" s="43"/>
      <c r="T105" s="44">
        <v>5</v>
      </c>
      <c r="U105" s="45">
        <f t="shared" si="112"/>
        <v>1.155</v>
      </c>
      <c r="V105" s="44">
        <f t="shared" si="113"/>
        <v>5.7750000000000004</v>
      </c>
      <c r="X105">
        <f t="shared" si="42"/>
        <v>15.580645161290322</v>
      </c>
      <c r="Y105">
        <f t="shared" si="43"/>
        <v>5</v>
      </c>
    </row>
    <row r="106" spans="1:25">
      <c r="A106" s="22" t="s">
        <v>26</v>
      </c>
      <c r="B106" s="32" t="s">
        <v>154</v>
      </c>
      <c r="C106" s="22" t="s">
        <v>26</v>
      </c>
      <c r="D106" s="23"/>
      <c r="E106" s="23"/>
      <c r="F106" s="23"/>
      <c r="G106" s="22"/>
      <c r="H106" s="23"/>
      <c r="I106" s="23"/>
      <c r="J106" s="23"/>
      <c r="K106" s="23"/>
      <c r="L106" s="50"/>
      <c r="M106" s="3"/>
      <c r="O106" s="43"/>
      <c r="P106" s="43"/>
      <c r="Q106" s="43"/>
      <c r="R106" s="43"/>
      <c r="X106">
        <f t="shared" si="42"/>
        <v>0</v>
      </c>
      <c r="Y106">
        <f t="shared" si="43"/>
        <v>0</v>
      </c>
    </row>
    <row r="107" spans="1:25">
      <c r="A107" s="24" t="s">
        <v>156</v>
      </c>
      <c r="B107" s="33" t="s">
        <v>155</v>
      </c>
      <c r="C107" s="24" t="s">
        <v>64</v>
      </c>
      <c r="D107" s="25">
        <v>16</v>
      </c>
      <c r="E107" s="46">
        <f>SUM(Q107)</f>
        <v>78.938486550000007</v>
      </c>
      <c r="F107" s="46">
        <f>D107*E107</f>
        <v>1263.0157848000001</v>
      </c>
      <c r="G107" s="47"/>
      <c r="H107" s="46">
        <f>SUM(V107)</f>
        <v>173.25</v>
      </c>
      <c r="I107" s="46">
        <f>D107*H107</f>
        <v>2772</v>
      </c>
      <c r="J107" s="25">
        <f>E107+H107</f>
        <v>252.18848654999999</v>
      </c>
      <c r="K107" s="25">
        <f>F107+I107</f>
        <v>4035.0157847999999</v>
      </c>
      <c r="L107" s="50"/>
      <c r="M107" s="3"/>
      <c r="O107" s="40">
        <f>SUM([2]List1!$E$48)</f>
        <v>68.345010000000002</v>
      </c>
      <c r="P107" s="41">
        <f>$P$1</f>
        <v>1.155</v>
      </c>
      <c r="Q107" s="42">
        <f>SUM(P107*O107)</f>
        <v>78.938486550000007</v>
      </c>
      <c r="R107" s="43"/>
      <c r="S107" s="43"/>
      <c r="T107" s="44">
        <v>150</v>
      </c>
      <c r="U107" s="45">
        <f>$U$1</f>
        <v>1.155</v>
      </c>
      <c r="V107" s="44">
        <f>SUM(U107*T107)</f>
        <v>173.25</v>
      </c>
      <c r="X107">
        <f t="shared" si="42"/>
        <v>1093.52016</v>
      </c>
      <c r="Y107">
        <f t="shared" si="43"/>
        <v>2400</v>
      </c>
    </row>
    <row r="108" spans="1:25">
      <c r="A108" s="22" t="s">
        <v>26</v>
      </c>
      <c r="B108" s="32" t="s">
        <v>157</v>
      </c>
      <c r="C108" s="22" t="s">
        <v>26</v>
      </c>
      <c r="D108" s="23"/>
      <c r="E108" s="23"/>
      <c r="F108" s="23"/>
      <c r="G108" s="22"/>
      <c r="H108" s="23"/>
      <c r="I108" s="23"/>
      <c r="J108" s="23"/>
      <c r="K108" s="23"/>
      <c r="L108" s="50"/>
      <c r="M108" s="3"/>
      <c r="O108" s="43"/>
      <c r="P108" s="43"/>
      <c r="Q108" s="43"/>
      <c r="R108" s="43"/>
      <c r="X108">
        <f t="shared" si="42"/>
        <v>0</v>
      </c>
      <c r="Y108">
        <f t="shared" si="43"/>
        <v>0</v>
      </c>
    </row>
    <row r="109" spans="1:25">
      <c r="A109" s="24" t="s">
        <v>159</v>
      </c>
      <c r="B109" s="33" t="s">
        <v>158</v>
      </c>
      <c r="C109" s="24" t="s">
        <v>64</v>
      </c>
      <c r="D109" s="25">
        <v>1</v>
      </c>
      <c r="E109" s="46">
        <f t="shared" ref="E109:E110" si="114">SUM(Q109)</f>
        <v>299.27873684210527</v>
      </c>
      <c r="F109" s="46">
        <f t="shared" ref="F109:F110" si="115">D109*E109</f>
        <v>299.27873684210527</v>
      </c>
      <c r="G109" s="47"/>
      <c r="H109" s="46">
        <f t="shared" ref="H109:H110" si="116">SUM(V109)</f>
        <v>173.25</v>
      </c>
      <c r="I109" s="46">
        <f t="shared" ref="I109:I110" si="117">D109*H109</f>
        <v>173.25</v>
      </c>
      <c r="J109" s="25">
        <f>E109+H109</f>
        <v>472.52873684210527</v>
      </c>
      <c r="K109" s="25">
        <f>F109+I109</f>
        <v>472.52873684210527</v>
      </c>
      <c r="L109" s="50"/>
      <c r="M109" s="3"/>
      <c r="O109" s="40">
        <v>259.11578947368423</v>
      </c>
      <c r="P109" s="41">
        <f t="shared" ref="P109:P110" si="118">$P$1</f>
        <v>1.155</v>
      </c>
      <c r="Q109" s="42">
        <f>SUM(P109*O109)</f>
        <v>299.27873684210527</v>
      </c>
      <c r="R109" s="43"/>
      <c r="S109" s="43"/>
      <c r="T109" s="44">
        <v>150</v>
      </c>
      <c r="U109" s="45">
        <f t="shared" ref="U109:U110" si="119">$U$1</f>
        <v>1.155</v>
      </c>
      <c r="V109" s="44">
        <f t="shared" ref="V109:V110" si="120">SUM(U109*T109)</f>
        <v>173.25</v>
      </c>
      <c r="X109">
        <f t="shared" si="42"/>
        <v>259.11578947368423</v>
      </c>
      <c r="Y109">
        <f t="shared" si="43"/>
        <v>150</v>
      </c>
    </row>
    <row r="110" spans="1:25">
      <c r="A110" s="24" t="s">
        <v>161</v>
      </c>
      <c r="B110" s="33" t="s">
        <v>160</v>
      </c>
      <c r="C110" s="24" t="s">
        <v>64</v>
      </c>
      <c r="D110" s="25">
        <v>9</v>
      </c>
      <c r="E110" s="46">
        <f t="shared" si="114"/>
        <v>120.36315789473686</v>
      </c>
      <c r="F110" s="46">
        <f t="shared" si="115"/>
        <v>1083.2684210526318</v>
      </c>
      <c r="G110" s="47"/>
      <c r="H110" s="46">
        <f t="shared" si="116"/>
        <v>173.25</v>
      </c>
      <c r="I110" s="46">
        <f t="shared" si="117"/>
        <v>1559.25</v>
      </c>
      <c r="J110" s="25">
        <f>E110+H110</f>
        <v>293.61315789473684</v>
      </c>
      <c r="K110" s="25">
        <f>F110+I110</f>
        <v>2642.5184210526318</v>
      </c>
      <c r="L110" s="50"/>
      <c r="M110" s="3"/>
      <c r="O110" s="40">
        <v>104.21052631578948</v>
      </c>
      <c r="P110" s="41">
        <f t="shared" si="118"/>
        <v>1.155</v>
      </c>
      <c r="Q110" s="42">
        <f>SUM(P110*O110)</f>
        <v>120.36315789473686</v>
      </c>
      <c r="R110" s="43"/>
      <c r="S110" s="43"/>
      <c r="T110" s="44">
        <v>150</v>
      </c>
      <c r="U110" s="45">
        <f t="shared" si="119"/>
        <v>1.155</v>
      </c>
      <c r="V110" s="44">
        <f t="shared" si="120"/>
        <v>173.25</v>
      </c>
      <c r="X110">
        <f t="shared" si="42"/>
        <v>937.89473684210532</v>
      </c>
      <c r="Y110">
        <f t="shared" si="43"/>
        <v>1350</v>
      </c>
    </row>
    <row r="111" spans="1:25">
      <c r="A111" s="22" t="s">
        <v>26</v>
      </c>
      <c r="B111" s="32" t="s">
        <v>162</v>
      </c>
      <c r="C111" s="22" t="s">
        <v>26</v>
      </c>
      <c r="D111" s="23"/>
      <c r="E111" s="23"/>
      <c r="F111" s="23"/>
      <c r="G111" s="22"/>
      <c r="H111" s="23"/>
      <c r="I111" s="23"/>
      <c r="J111" s="23"/>
      <c r="K111" s="23"/>
      <c r="L111" s="50"/>
      <c r="M111" s="3"/>
      <c r="O111" s="43"/>
      <c r="P111" s="43"/>
      <c r="Q111" s="43"/>
      <c r="R111" s="43"/>
      <c r="X111">
        <f t="shared" si="42"/>
        <v>0</v>
      </c>
      <c r="Y111">
        <f t="shared" si="43"/>
        <v>0</v>
      </c>
    </row>
    <row r="112" spans="1:25" ht="23.25">
      <c r="A112" s="24" t="s">
        <v>164</v>
      </c>
      <c r="B112" s="33" t="s">
        <v>163</v>
      </c>
      <c r="C112" s="24" t="s">
        <v>64</v>
      </c>
      <c r="D112" s="25">
        <v>1</v>
      </c>
      <c r="E112" s="46">
        <f>SUM(Q112)</f>
        <v>366.39031578947373</v>
      </c>
      <c r="F112" s="46">
        <f>D112*E112</f>
        <v>366.39031578947373</v>
      </c>
      <c r="G112" s="47"/>
      <c r="H112" s="46">
        <f>SUM(V112)</f>
        <v>173.25</v>
      </c>
      <c r="I112" s="46">
        <f>D112*H112</f>
        <v>173.25</v>
      </c>
      <c r="J112" s="25">
        <f>E112+H112</f>
        <v>539.64031578947379</v>
      </c>
      <c r="K112" s="25">
        <f>F112+I112</f>
        <v>539.64031578947379</v>
      </c>
      <c r="L112" s="50"/>
      <c r="M112" s="3"/>
      <c r="O112" s="40">
        <f>SUM([3]Rozpočet!$V$70)</f>
        <v>317.22105263157897</v>
      </c>
      <c r="P112" s="41">
        <f>$P$1</f>
        <v>1.155</v>
      </c>
      <c r="Q112" s="42">
        <f>SUM(P112*O112)</f>
        <v>366.39031578947373</v>
      </c>
      <c r="R112" s="43"/>
      <c r="S112" s="43"/>
      <c r="T112" s="44">
        <v>150</v>
      </c>
      <c r="U112" s="45">
        <f>$U$1</f>
        <v>1.155</v>
      </c>
      <c r="V112" s="44">
        <f>SUM(U112*T112)</f>
        <v>173.25</v>
      </c>
      <c r="X112">
        <f t="shared" si="42"/>
        <v>317.22105263157897</v>
      </c>
      <c r="Y112">
        <f t="shared" si="43"/>
        <v>150</v>
      </c>
    </row>
    <row r="113" spans="1:25">
      <c r="A113" s="22" t="s">
        <v>26</v>
      </c>
      <c r="B113" s="32" t="s">
        <v>165</v>
      </c>
      <c r="C113" s="22" t="s">
        <v>26</v>
      </c>
      <c r="D113" s="23"/>
      <c r="E113" s="23"/>
      <c r="F113" s="23"/>
      <c r="G113" s="22"/>
      <c r="H113" s="23"/>
      <c r="I113" s="23"/>
      <c r="J113" s="23"/>
      <c r="K113" s="23"/>
      <c r="L113" s="50"/>
      <c r="M113" s="3"/>
      <c r="O113" s="43"/>
      <c r="P113" s="43"/>
      <c r="Q113" s="43"/>
      <c r="R113" s="43"/>
      <c r="X113">
        <f t="shared" si="42"/>
        <v>0</v>
      </c>
      <c r="Y113">
        <f t="shared" si="43"/>
        <v>0</v>
      </c>
    </row>
    <row r="114" spans="1:25" ht="57">
      <c r="A114" s="24" t="s">
        <v>167</v>
      </c>
      <c r="B114" s="33" t="s">
        <v>166</v>
      </c>
      <c r="C114" s="24" t="s">
        <v>64</v>
      </c>
      <c r="D114" s="25">
        <v>2</v>
      </c>
      <c r="E114" s="46">
        <f>SUM(Q114)</f>
        <v>3112.9438421052632</v>
      </c>
      <c r="F114" s="46">
        <f>D114*E114</f>
        <v>6225.8876842105265</v>
      </c>
      <c r="G114" s="47"/>
      <c r="H114" s="46">
        <f>SUM(V114)</f>
        <v>635.25</v>
      </c>
      <c r="I114" s="46">
        <f>D114*H114</f>
        <v>1270.5</v>
      </c>
      <c r="J114" s="25">
        <f>E114+H114</f>
        <v>3748.1938421052632</v>
      </c>
      <c r="K114" s="25">
        <f>F114+I114</f>
        <v>7496.3876842105265</v>
      </c>
      <c r="L114" s="50"/>
      <c r="M114" s="3"/>
      <c r="O114" s="40">
        <f>SUM([3]Rozpočet!$V$72)</f>
        <v>2695.1894736842105</v>
      </c>
      <c r="P114" s="41">
        <f>$P$1</f>
        <v>1.155</v>
      </c>
      <c r="Q114" s="42">
        <f>SUM(P114*O114)</f>
        <v>3112.9438421052632</v>
      </c>
      <c r="R114" s="43"/>
      <c r="S114" s="43"/>
      <c r="T114" s="44">
        <v>550</v>
      </c>
      <c r="U114" s="45">
        <f>$U$1</f>
        <v>1.155</v>
      </c>
      <c r="V114" s="44">
        <f>SUM(U114*T114)</f>
        <v>635.25</v>
      </c>
      <c r="X114">
        <f t="shared" si="42"/>
        <v>5390.378947368421</v>
      </c>
      <c r="Y114">
        <f t="shared" si="43"/>
        <v>1100</v>
      </c>
    </row>
    <row r="115" spans="1:25">
      <c r="A115" s="22" t="s">
        <v>26</v>
      </c>
      <c r="B115" s="32" t="s">
        <v>168</v>
      </c>
      <c r="C115" s="22" t="s">
        <v>26</v>
      </c>
      <c r="D115" s="23"/>
      <c r="E115" s="23"/>
      <c r="F115" s="23"/>
      <c r="G115" s="22"/>
      <c r="H115" s="23"/>
      <c r="I115" s="23"/>
      <c r="J115" s="23"/>
      <c r="K115" s="23"/>
      <c r="L115" s="50"/>
      <c r="M115" s="3"/>
      <c r="O115" s="43"/>
      <c r="P115" s="43"/>
      <c r="Q115" s="43"/>
      <c r="R115" s="43"/>
      <c r="X115">
        <f t="shared" si="42"/>
        <v>0</v>
      </c>
      <c r="Y115">
        <f t="shared" si="43"/>
        <v>0</v>
      </c>
    </row>
    <row r="116" spans="1:25" ht="23.25">
      <c r="A116" s="24" t="s">
        <v>170</v>
      </c>
      <c r="B116" s="33" t="s">
        <v>169</v>
      </c>
      <c r="C116" s="24" t="s">
        <v>64</v>
      </c>
      <c r="D116" s="25">
        <v>4</v>
      </c>
      <c r="E116" s="46">
        <f t="shared" ref="E116:E118" si="121">SUM(Q116)</f>
        <v>2351.0087096774191</v>
      </c>
      <c r="F116" s="46">
        <f t="shared" ref="F116:F118" si="122">D116*E116</f>
        <v>9404.0348387096765</v>
      </c>
      <c r="G116" s="47"/>
      <c r="H116" s="46">
        <f t="shared" ref="H116:H118" si="123">SUM(V116)</f>
        <v>173.25</v>
      </c>
      <c r="I116" s="46">
        <f t="shared" ref="I116:I118" si="124">D116*H116</f>
        <v>693</v>
      </c>
      <c r="J116" s="25">
        <f t="shared" ref="J116:K118" si="125">E116+H116</f>
        <v>2524.2587096774191</v>
      </c>
      <c r="K116" s="25">
        <f t="shared" si="125"/>
        <v>10097.034838709676</v>
      </c>
      <c r="L116" s="50"/>
      <c r="M116" s="3"/>
      <c r="O116" s="40">
        <v>2035.5053763440858</v>
      </c>
      <c r="P116" s="41">
        <f t="shared" ref="P116:P118" si="126">$P$1</f>
        <v>1.155</v>
      </c>
      <c r="Q116" s="42">
        <f t="shared" ref="Q116:Q118" si="127">SUM(P116*O116)</f>
        <v>2351.0087096774191</v>
      </c>
      <c r="R116" s="43"/>
      <c r="S116" s="43"/>
      <c r="T116" s="44">
        <v>150</v>
      </c>
      <c r="U116" s="45">
        <f t="shared" ref="U116:U118" si="128">$U$1</f>
        <v>1.155</v>
      </c>
      <c r="V116" s="44">
        <f t="shared" ref="V116:V118" si="129">SUM(U116*T116)</f>
        <v>173.25</v>
      </c>
      <c r="X116">
        <f t="shared" si="42"/>
        <v>8142.0215053763432</v>
      </c>
      <c r="Y116">
        <f t="shared" si="43"/>
        <v>600</v>
      </c>
    </row>
    <row r="117" spans="1:25">
      <c r="A117" s="24" t="s">
        <v>144</v>
      </c>
      <c r="B117" s="33" t="s">
        <v>143</v>
      </c>
      <c r="C117" s="24" t="s">
        <v>64</v>
      </c>
      <c r="D117" s="25">
        <v>4</v>
      </c>
      <c r="E117" s="46">
        <f t="shared" si="121"/>
        <v>65.984032258064516</v>
      </c>
      <c r="F117" s="46">
        <f t="shared" si="122"/>
        <v>263.93612903225807</v>
      </c>
      <c r="G117" s="47"/>
      <c r="H117" s="46">
        <f t="shared" si="123"/>
        <v>11.55</v>
      </c>
      <c r="I117" s="46">
        <f t="shared" si="124"/>
        <v>46.2</v>
      </c>
      <c r="J117" s="25">
        <f t="shared" si="125"/>
        <v>77.534032258064514</v>
      </c>
      <c r="K117" s="25">
        <f t="shared" si="125"/>
        <v>310.13612903225805</v>
      </c>
      <c r="L117" s="50"/>
      <c r="M117" s="3"/>
      <c r="O117" s="40">
        <v>57.129032258064512</v>
      </c>
      <c r="P117" s="41">
        <f t="shared" si="126"/>
        <v>1.155</v>
      </c>
      <c r="Q117" s="42">
        <f t="shared" si="127"/>
        <v>65.984032258064516</v>
      </c>
      <c r="R117" s="43"/>
      <c r="S117" s="43"/>
      <c r="T117" s="44">
        <v>10</v>
      </c>
      <c r="U117" s="45">
        <f t="shared" si="128"/>
        <v>1.155</v>
      </c>
      <c r="V117" s="44">
        <f t="shared" si="129"/>
        <v>11.55</v>
      </c>
      <c r="X117">
        <f t="shared" si="42"/>
        <v>228.51612903225805</v>
      </c>
      <c r="Y117">
        <f t="shared" si="43"/>
        <v>40</v>
      </c>
    </row>
    <row r="118" spans="1:25">
      <c r="A118" s="24" t="s">
        <v>172</v>
      </c>
      <c r="B118" s="33" t="s">
        <v>171</v>
      </c>
      <c r="C118" s="24" t="s">
        <v>64</v>
      </c>
      <c r="D118" s="25">
        <v>4</v>
      </c>
      <c r="E118" s="46">
        <f t="shared" si="121"/>
        <v>161.46403225806449</v>
      </c>
      <c r="F118" s="46">
        <f t="shared" si="122"/>
        <v>645.85612903225797</v>
      </c>
      <c r="G118" s="47"/>
      <c r="H118" s="46">
        <f t="shared" si="123"/>
        <v>5.7750000000000004</v>
      </c>
      <c r="I118" s="46">
        <f t="shared" si="124"/>
        <v>23.1</v>
      </c>
      <c r="J118" s="25">
        <f t="shared" si="125"/>
        <v>167.2390322580645</v>
      </c>
      <c r="K118" s="25">
        <f t="shared" si="125"/>
        <v>668.95612903225799</v>
      </c>
      <c r="L118" s="50"/>
      <c r="M118" s="3"/>
      <c r="O118" s="40">
        <v>139.79569892473117</v>
      </c>
      <c r="P118" s="41">
        <f t="shared" si="126"/>
        <v>1.155</v>
      </c>
      <c r="Q118" s="42">
        <f t="shared" si="127"/>
        <v>161.46403225806449</v>
      </c>
      <c r="R118" s="43"/>
      <c r="S118" s="43"/>
      <c r="T118" s="44">
        <v>5</v>
      </c>
      <c r="U118" s="45">
        <f t="shared" si="128"/>
        <v>1.155</v>
      </c>
      <c r="V118" s="44">
        <f t="shared" si="129"/>
        <v>5.7750000000000004</v>
      </c>
      <c r="X118">
        <f t="shared" si="42"/>
        <v>559.18279569892468</v>
      </c>
      <c r="Y118">
        <f t="shared" si="43"/>
        <v>20</v>
      </c>
    </row>
    <row r="119" spans="1:25" ht="24.75">
      <c r="A119" s="22" t="s">
        <v>26</v>
      </c>
      <c r="B119" s="32" t="s">
        <v>173</v>
      </c>
      <c r="C119" s="22" t="s">
        <v>26</v>
      </c>
      <c r="D119" s="23"/>
      <c r="E119" s="23"/>
      <c r="F119" s="23"/>
      <c r="G119" s="22"/>
      <c r="H119" s="23"/>
      <c r="I119" s="23"/>
      <c r="J119" s="23"/>
      <c r="K119" s="23"/>
      <c r="L119" s="50"/>
      <c r="M119" s="3"/>
      <c r="O119" s="43"/>
      <c r="P119" s="43"/>
      <c r="Q119" s="43"/>
      <c r="R119" s="43"/>
      <c r="X119">
        <f t="shared" si="42"/>
        <v>0</v>
      </c>
      <c r="Y119">
        <f t="shared" si="43"/>
        <v>0</v>
      </c>
    </row>
    <row r="120" spans="1:25" ht="23.25">
      <c r="A120" s="24" t="s">
        <v>26</v>
      </c>
      <c r="B120" s="33" t="s">
        <v>174</v>
      </c>
      <c r="C120" s="24" t="s">
        <v>64</v>
      </c>
      <c r="D120" s="25">
        <v>11</v>
      </c>
      <c r="E120" s="46">
        <f>SUM(Q120)</f>
        <v>200.60526315789477</v>
      </c>
      <c r="F120" s="46">
        <f>D120*E120</f>
        <v>2206.6578947368425</v>
      </c>
      <c r="G120" s="47"/>
      <c r="H120" s="46">
        <f>SUM(V120)</f>
        <v>173.25</v>
      </c>
      <c r="I120" s="46">
        <f>D120*H120</f>
        <v>1905.75</v>
      </c>
      <c r="J120" s="25">
        <f>E120+H120</f>
        <v>373.8552631578948</v>
      </c>
      <c r="K120" s="25">
        <f>F120+I120</f>
        <v>4112.4078947368425</v>
      </c>
      <c r="L120" s="50"/>
      <c r="M120" s="3"/>
      <c r="O120" s="40">
        <v>173.68421052631581</v>
      </c>
      <c r="P120" s="41">
        <f>$P$1</f>
        <v>1.155</v>
      </c>
      <c r="Q120" s="42">
        <f>SUM(P120*O120)</f>
        <v>200.60526315789477</v>
      </c>
      <c r="R120" s="43"/>
      <c r="S120" s="43"/>
      <c r="T120" s="44">
        <v>150</v>
      </c>
      <c r="U120" s="45">
        <f>$U$1</f>
        <v>1.155</v>
      </c>
      <c r="V120" s="44">
        <f>SUM(U120*T120)</f>
        <v>173.25</v>
      </c>
      <c r="X120">
        <f t="shared" si="42"/>
        <v>1910.526315789474</v>
      </c>
      <c r="Y120">
        <f t="shared" si="43"/>
        <v>1650</v>
      </c>
    </row>
    <row r="121" spans="1:25" ht="24.75">
      <c r="A121" s="22" t="s">
        <v>26</v>
      </c>
      <c r="B121" s="32" t="s">
        <v>175</v>
      </c>
      <c r="C121" s="22" t="s">
        <v>26</v>
      </c>
      <c r="D121" s="23"/>
      <c r="E121" s="23"/>
      <c r="F121" s="23"/>
      <c r="G121" s="22"/>
      <c r="H121" s="23"/>
      <c r="I121" s="23"/>
      <c r="J121" s="23"/>
      <c r="K121" s="23"/>
      <c r="L121" s="50"/>
      <c r="M121" s="3"/>
      <c r="O121" s="43"/>
      <c r="P121" s="43"/>
      <c r="Q121" s="43"/>
      <c r="R121" s="43"/>
      <c r="X121">
        <f t="shared" si="42"/>
        <v>0</v>
      </c>
      <c r="Y121">
        <f t="shared" si="43"/>
        <v>0</v>
      </c>
    </row>
    <row r="122" spans="1:25">
      <c r="A122" s="24" t="s">
        <v>177</v>
      </c>
      <c r="B122" s="33" t="s">
        <v>176</v>
      </c>
      <c r="C122" s="24" t="s">
        <v>64</v>
      </c>
      <c r="D122" s="25">
        <v>12</v>
      </c>
      <c r="E122" s="46">
        <f t="shared" ref="E122:E123" si="130">SUM(Q122)</f>
        <v>363.76421052631582</v>
      </c>
      <c r="F122" s="46">
        <f t="shared" ref="F122:F123" si="131">D122*E122</f>
        <v>4365.1705263157901</v>
      </c>
      <c r="G122" s="47"/>
      <c r="H122" s="46">
        <f t="shared" ref="H122:H123" si="132">SUM(V122)</f>
        <v>173.25</v>
      </c>
      <c r="I122" s="46">
        <f t="shared" ref="I122:I123" si="133">D122*H122</f>
        <v>2079</v>
      </c>
      <c r="J122" s="25">
        <f>E122+H122</f>
        <v>537.01421052631576</v>
      </c>
      <c r="K122" s="25">
        <f>F122+I122</f>
        <v>6444.1705263157901</v>
      </c>
      <c r="L122" s="50"/>
      <c r="M122" s="3"/>
      <c r="O122" s="40">
        <v>314.94736842105266</v>
      </c>
      <c r="P122" s="41">
        <f t="shared" ref="P122:P123" si="134">$P$1</f>
        <v>1.155</v>
      </c>
      <c r="Q122" s="42">
        <f t="shared" ref="Q122:Q123" si="135">SUM(P122*O122)</f>
        <v>363.76421052631582</v>
      </c>
      <c r="R122" s="43"/>
      <c r="S122" s="43"/>
      <c r="T122" s="44">
        <v>150</v>
      </c>
      <c r="U122" s="45">
        <f>$U$1</f>
        <v>1.155</v>
      </c>
      <c r="V122" s="44">
        <f>SUM(U122*T122)</f>
        <v>173.25</v>
      </c>
      <c r="X122">
        <f t="shared" si="42"/>
        <v>3779.3684210526317</v>
      </c>
      <c r="Y122">
        <f t="shared" si="43"/>
        <v>1800</v>
      </c>
    </row>
    <row r="123" spans="1:25">
      <c r="A123" s="24" t="s">
        <v>159</v>
      </c>
      <c r="B123" s="33" t="s">
        <v>158</v>
      </c>
      <c r="C123" s="24" t="s">
        <v>64</v>
      </c>
      <c r="D123" s="25">
        <v>1</v>
      </c>
      <c r="E123" s="46">
        <f t="shared" si="130"/>
        <v>299.27873684210527</v>
      </c>
      <c r="F123" s="46">
        <f t="shared" si="131"/>
        <v>299.27873684210527</v>
      </c>
      <c r="G123" s="47"/>
      <c r="H123" s="46">
        <f t="shared" si="132"/>
        <v>173.25</v>
      </c>
      <c r="I123" s="46">
        <f t="shared" si="133"/>
        <v>173.25</v>
      </c>
      <c r="J123" s="25">
        <f>E123+H123</f>
        <v>472.52873684210527</v>
      </c>
      <c r="K123" s="25">
        <f>F123+I123</f>
        <v>472.52873684210527</v>
      </c>
      <c r="L123" s="50"/>
      <c r="M123" s="3"/>
      <c r="O123" s="40">
        <v>259.11578947368423</v>
      </c>
      <c r="P123" s="41">
        <f t="shared" si="134"/>
        <v>1.155</v>
      </c>
      <c r="Q123" s="42">
        <f t="shared" si="135"/>
        <v>299.27873684210527</v>
      </c>
      <c r="R123" s="43"/>
      <c r="S123" s="43"/>
      <c r="T123" s="44">
        <v>150</v>
      </c>
      <c r="U123" s="45">
        <f>$U$1</f>
        <v>1.155</v>
      </c>
      <c r="V123" s="44">
        <f>SUM(U123*T123)</f>
        <v>173.25</v>
      </c>
      <c r="X123">
        <f t="shared" si="42"/>
        <v>259.11578947368423</v>
      </c>
      <c r="Y123">
        <f t="shared" si="43"/>
        <v>150</v>
      </c>
    </row>
    <row r="124" spans="1:25" ht="24.75">
      <c r="A124" s="22" t="s">
        <v>26</v>
      </c>
      <c r="B124" s="32" t="s">
        <v>178</v>
      </c>
      <c r="C124" s="22" t="s">
        <v>26</v>
      </c>
      <c r="D124" s="23"/>
      <c r="E124" s="23"/>
      <c r="F124" s="23"/>
      <c r="G124" s="22"/>
      <c r="H124" s="23"/>
      <c r="I124" s="23"/>
      <c r="J124" s="23"/>
      <c r="K124" s="23"/>
      <c r="L124" s="50"/>
      <c r="M124" s="3"/>
      <c r="O124" s="43"/>
      <c r="P124" s="43"/>
      <c r="Q124" s="43"/>
      <c r="R124" s="43"/>
      <c r="X124">
        <f t="shared" si="42"/>
        <v>0</v>
      </c>
      <c r="Y124">
        <f t="shared" si="43"/>
        <v>0</v>
      </c>
    </row>
    <row r="125" spans="1:25">
      <c r="A125" s="24" t="s">
        <v>180</v>
      </c>
      <c r="B125" s="33" t="s">
        <v>179</v>
      </c>
      <c r="C125" s="24" t="s">
        <v>64</v>
      </c>
      <c r="D125" s="25">
        <v>5</v>
      </c>
      <c r="E125" s="46">
        <f t="shared" ref="E125:E127" si="136">SUM(Q125)</f>
        <v>56.980000000000004</v>
      </c>
      <c r="F125" s="46">
        <f t="shared" ref="F125:F127" si="137">D125*E125</f>
        <v>284.90000000000003</v>
      </c>
      <c r="G125" s="47"/>
      <c r="H125" s="46">
        <f t="shared" ref="H125:H127" si="138">SUM(V125)</f>
        <v>103.95</v>
      </c>
      <c r="I125" s="46">
        <f t="shared" ref="I125:I127" si="139">D125*H125</f>
        <v>519.75</v>
      </c>
      <c r="J125" s="25">
        <f t="shared" ref="J125:K127" si="140">E125+H125</f>
        <v>160.93</v>
      </c>
      <c r="K125" s="25">
        <f t="shared" si="140"/>
        <v>804.65000000000009</v>
      </c>
      <c r="L125" s="50"/>
      <c r="M125" s="3"/>
      <c r="O125" s="40">
        <v>49.333333333333336</v>
      </c>
      <c r="P125" s="41">
        <f t="shared" ref="P125:P127" si="141">$P$1</f>
        <v>1.155</v>
      </c>
      <c r="Q125" s="42">
        <f t="shared" ref="Q125:Q127" si="142">SUM(P125*O125)</f>
        <v>56.980000000000004</v>
      </c>
      <c r="R125" s="43"/>
      <c r="S125" s="43"/>
      <c r="T125" s="44">
        <v>90</v>
      </c>
      <c r="U125" s="45">
        <f t="shared" ref="U125:U127" si="143">$U$1</f>
        <v>1.155</v>
      </c>
      <c r="V125" s="44">
        <f t="shared" ref="V125:V127" si="144">SUM(U125*T125)</f>
        <v>103.95</v>
      </c>
      <c r="X125">
        <f t="shared" si="42"/>
        <v>246.66666666666669</v>
      </c>
      <c r="Y125">
        <f t="shared" si="43"/>
        <v>450</v>
      </c>
    </row>
    <row r="126" spans="1:25">
      <c r="A126" s="24" t="s">
        <v>131</v>
      </c>
      <c r="B126" s="33" t="s">
        <v>130</v>
      </c>
      <c r="C126" s="24" t="s">
        <v>64</v>
      </c>
      <c r="D126" s="25">
        <v>5</v>
      </c>
      <c r="E126" s="46">
        <f t="shared" si="136"/>
        <v>21.49790322580645</v>
      </c>
      <c r="F126" s="46">
        <f t="shared" si="137"/>
        <v>107.48951612903225</v>
      </c>
      <c r="G126" s="47"/>
      <c r="H126" s="46">
        <f t="shared" si="138"/>
        <v>11.55</v>
      </c>
      <c r="I126" s="46">
        <f t="shared" si="139"/>
        <v>57.75</v>
      </c>
      <c r="J126" s="25">
        <f t="shared" si="140"/>
        <v>33.047903225806451</v>
      </c>
      <c r="K126" s="25">
        <f t="shared" si="140"/>
        <v>165.23951612903227</v>
      </c>
      <c r="L126" s="50"/>
      <c r="M126" s="3"/>
      <c r="O126" s="40">
        <v>18.612903225806448</v>
      </c>
      <c r="P126" s="41">
        <f t="shared" si="141"/>
        <v>1.155</v>
      </c>
      <c r="Q126" s="42">
        <f t="shared" si="142"/>
        <v>21.49790322580645</v>
      </c>
      <c r="R126" s="43"/>
      <c r="S126" s="43"/>
      <c r="T126" s="44">
        <v>10</v>
      </c>
      <c r="U126" s="45">
        <f t="shared" si="143"/>
        <v>1.155</v>
      </c>
      <c r="V126" s="44">
        <f t="shared" si="144"/>
        <v>11.55</v>
      </c>
      <c r="X126">
        <f t="shared" si="42"/>
        <v>93.064516129032242</v>
      </c>
      <c r="Y126">
        <f t="shared" si="43"/>
        <v>50</v>
      </c>
    </row>
    <row r="127" spans="1:25">
      <c r="A127" s="24" t="s">
        <v>182</v>
      </c>
      <c r="B127" s="33" t="s">
        <v>181</v>
      </c>
      <c r="C127" s="24" t="s">
        <v>64</v>
      </c>
      <c r="D127" s="25">
        <v>5</v>
      </c>
      <c r="E127" s="46">
        <f t="shared" si="136"/>
        <v>26.999677419354839</v>
      </c>
      <c r="F127" s="46">
        <f t="shared" si="137"/>
        <v>134.9983870967742</v>
      </c>
      <c r="G127" s="47"/>
      <c r="H127" s="46">
        <f t="shared" si="138"/>
        <v>5.7750000000000004</v>
      </c>
      <c r="I127" s="46">
        <f t="shared" si="139"/>
        <v>28.875</v>
      </c>
      <c r="J127" s="25">
        <f t="shared" si="140"/>
        <v>32.774677419354838</v>
      </c>
      <c r="K127" s="25">
        <f t="shared" si="140"/>
        <v>163.8733870967742</v>
      </c>
      <c r="L127" s="50"/>
      <c r="M127" s="3"/>
      <c r="O127" s="40">
        <v>23.376344086021504</v>
      </c>
      <c r="P127" s="41">
        <f t="shared" si="141"/>
        <v>1.155</v>
      </c>
      <c r="Q127" s="42">
        <f t="shared" si="142"/>
        <v>26.999677419354839</v>
      </c>
      <c r="R127" s="43"/>
      <c r="S127" s="43"/>
      <c r="T127" s="44">
        <v>5</v>
      </c>
      <c r="U127" s="45">
        <f t="shared" si="143"/>
        <v>1.155</v>
      </c>
      <c r="V127" s="44">
        <f t="shared" si="144"/>
        <v>5.7750000000000004</v>
      </c>
      <c r="X127">
        <f t="shared" si="42"/>
        <v>116.88172043010752</v>
      </c>
      <c r="Y127">
        <f t="shared" si="43"/>
        <v>25</v>
      </c>
    </row>
    <row r="128" spans="1:25" ht="24.75">
      <c r="A128" s="22" t="s">
        <v>26</v>
      </c>
      <c r="B128" s="32" t="s">
        <v>183</v>
      </c>
      <c r="C128" s="22" t="s">
        <v>26</v>
      </c>
      <c r="D128" s="23"/>
      <c r="E128" s="23"/>
      <c r="F128" s="23"/>
      <c r="G128" s="22"/>
      <c r="H128" s="23"/>
      <c r="I128" s="23"/>
      <c r="J128" s="23"/>
      <c r="K128" s="23"/>
      <c r="L128" s="50"/>
      <c r="M128" s="3"/>
      <c r="O128" s="43"/>
      <c r="P128" s="43"/>
      <c r="Q128" s="43"/>
      <c r="R128" s="43"/>
      <c r="X128">
        <f t="shared" si="42"/>
        <v>0</v>
      </c>
      <c r="Y128">
        <f t="shared" si="43"/>
        <v>0</v>
      </c>
    </row>
    <row r="129" spans="1:25">
      <c r="A129" s="24" t="s">
        <v>185</v>
      </c>
      <c r="B129" s="33" t="s">
        <v>184</v>
      </c>
      <c r="C129" s="24" t="s">
        <v>64</v>
      </c>
      <c r="D129" s="25">
        <v>2</v>
      </c>
      <c r="E129" s="46">
        <f t="shared" ref="E129:E131" si="145">SUM(Q129)</f>
        <v>67.486774193548385</v>
      </c>
      <c r="F129" s="46">
        <f t="shared" ref="F129:F131" si="146">D129*E129</f>
        <v>134.97354838709677</v>
      </c>
      <c r="G129" s="47"/>
      <c r="H129" s="46">
        <f t="shared" ref="H129:H131" si="147">SUM(V129)</f>
        <v>103.95</v>
      </c>
      <c r="I129" s="46">
        <f t="shared" ref="I129:I131" si="148">D129*H129</f>
        <v>207.9</v>
      </c>
      <c r="J129" s="25">
        <f t="shared" ref="J129:K131" si="149">E129+H129</f>
        <v>171.43677419354839</v>
      </c>
      <c r="K129" s="25">
        <f t="shared" si="149"/>
        <v>342.87354838709678</v>
      </c>
      <c r="L129" s="50"/>
      <c r="M129" s="3"/>
      <c r="O129" s="40">
        <v>58.43010752688172</v>
      </c>
      <c r="P129" s="41">
        <f t="shared" ref="P129:P131" si="150">$P$1</f>
        <v>1.155</v>
      </c>
      <c r="Q129" s="42">
        <f t="shared" ref="Q129:Q131" si="151">SUM(P129*O129)</f>
        <v>67.486774193548385</v>
      </c>
      <c r="R129" s="43"/>
      <c r="S129" s="43"/>
      <c r="T129" s="44">
        <v>90</v>
      </c>
      <c r="U129" s="45">
        <f t="shared" ref="U129:U131" si="152">$U$1</f>
        <v>1.155</v>
      </c>
      <c r="V129" s="44">
        <f t="shared" ref="V129:V131" si="153">SUM(U129*T129)</f>
        <v>103.95</v>
      </c>
      <c r="X129">
        <f t="shared" si="42"/>
        <v>116.86021505376344</v>
      </c>
      <c r="Y129">
        <f t="shared" si="43"/>
        <v>180</v>
      </c>
    </row>
    <row r="130" spans="1:25">
      <c r="A130" s="24" t="s">
        <v>131</v>
      </c>
      <c r="B130" s="33" t="s">
        <v>152</v>
      </c>
      <c r="C130" s="24" t="s">
        <v>64</v>
      </c>
      <c r="D130" s="25">
        <v>2</v>
      </c>
      <c r="E130" s="46">
        <f t="shared" si="145"/>
        <v>21.49790322580645</v>
      </c>
      <c r="F130" s="46">
        <f t="shared" si="146"/>
        <v>42.9958064516129</v>
      </c>
      <c r="G130" s="47"/>
      <c r="H130" s="46">
        <f t="shared" si="147"/>
        <v>11.55</v>
      </c>
      <c r="I130" s="46">
        <f t="shared" si="148"/>
        <v>23.1</v>
      </c>
      <c r="J130" s="25">
        <f t="shared" si="149"/>
        <v>33.047903225806451</v>
      </c>
      <c r="K130" s="25">
        <f t="shared" si="149"/>
        <v>66.095806451612901</v>
      </c>
      <c r="L130" s="50"/>
      <c r="M130" s="3"/>
      <c r="O130" s="40">
        <v>18.612903225806448</v>
      </c>
      <c r="P130" s="41">
        <f t="shared" si="150"/>
        <v>1.155</v>
      </c>
      <c r="Q130" s="42">
        <f t="shared" si="151"/>
        <v>21.49790322580645</v>
      </c>
      <c r="R130" s="43"/>
      <c r="S130" s="43"/>
      <c r="T130" s="44">
        <v>10</v>
      </c>
      <c r="U130" s="45">
        <f t="shared" si="152"/>
        <v>1.155</v>
      </c>
      <c r="V130" s="44">
        <f t="shared" si="153"/>
        <v>11.55</v>
      </c>
      <c r="X130">
        <f t="shared" si="42"/>
        <v>37.225806451612897</v>
      </c>
      <c r="Y130">
        <f t="shared" si="43"/>
        <v>20</v>
      </c>
    </row>
    <row r="131" spans="1:25">
      <c r="A131" s="24" t="s">
        <v>182</v>
      </c>
      <c r="B131" s="33" t="s">
        <v>181</v>
      </c>
      <c r="C131" s="24" t="s">
        <v>64</v>
      </c>
      <c r="D131" s="25">
        <v>2</v>
      </c>
      <c r="E131" s="46">
        <f t="shared" si="145"/>
        <v>26.999677419354839</v>
      </c>
      <c r="F131" s="46">
        <f t="shared" si="146"/>
        <v>53.999354838709678</v>
      </c>
      <c r="G131" s="47"/>
      <c r="H131" s="46">
        <f t="shared" si="147"/>
        <v>5.7750000000000004</v>
      </c>
      <c r="I131" s="46">
        <f t="shared" si="148"/>
        <v>11.55</v>
      </c>
      <c r="J131" s="25">
        <f t="shared" si="149"/>
        <v>32.774677419354838</v>
      </c>
      <c r="K131" s="25">
        <f t="shared" si="149"/>
        <v>65.549354838709675</v>
      </c>
      <c r="L131" s="50"/>
      <c r="M131" s="3"/>
      <c r="O131" s="40">
        <v>23.376344086021504</v>
      </c>
      <c r="P131" s="41">
        <f t="shared" si="150"/>
        <v>1.155</v>
      </c>
      <c r="Q131" s="42">
        <f t="shared" si="151"/>
        <v>26.999677419354839</v>
      </c>
      <c r="R131" s="43"/>
      <c r="S131" s="43"/>
      <c r="T131" s="44">
        <v>5</v>
      </c>
      <c r="U131" s="45">
        <f t="shared" si="152"/>
        <v>1.155</v>
      </c>
      <c r="V131" s="44">
        <f t="shared" si="153"/>
        <v>5.7750000000000004</v>
      </c>
      <c r="X131">
        <f t="shared" si="42"/>
        <v>46.752688172043008</v>
      </c>
      <c r="Y131">
        <f t="shared" si="43"/>
        <v>10</v>
      </c>
    </row>
    <row r="132" spans="1:25" ht="24.75">
      <c r="A132" s="22" t="s">
        <v>26</v>
      </c>
      <c r="B132" s="32" t="s">
        <v>186</v>
      </c>
      <c r="C132" s="22" t="s">
        <v>26</v>
      </c>
      <c r="D132" s="23"/>
      <c r="E132" s="23"/>
      <c r="F132" s="23"/>
      <c r="G132" s="22"/>
      <c r="H132" s="23"/>
      <c r="I132" s="23"/>
      <c r="J132" s="23"/>
      <c r="K132" s="23"/>
      <c r="L132" s="50"/>
      <c r="M132" s="3"/>
      <c r="O132" s="43"/>
      <c r="P132" s="43"/>
      <c r="Q132" s="43"/>
      <c r="R132" s="43"/>
      <c r="X132">
        <f t="shared" si="42"/>
        <v>0</v>
      </c>
      <c r="Y132">
        <f t="shared" si="43"/>
        <v>0</v>
      </c>
    </row>
    <row r="133" spans="1:25">
      <c r="A133" s="24" t="s">
        <v>185</v>
      </c>
      <c r="B133" s="33" t="s">
        <v>184</v>
      </c>
      <c r="C133" s="24" t="s">
        <v>64</v>
      </c>
      <c r="D133" s="25">
        <v>1</v>
      </c>
      <c r="E133" s="46">
        <f t="shared" ref="E133:E136" si="154">SUM(Q133)</f>
        <v>67.486774193548385</v>
      </c>
      <c r="F133" s="46">
        <f t="shared" ref="F133:F136" si="155">D133*E133</f>
        <v>67.486774193548385</v>
      </c>
      <c r="G133" s="47"/>
      <c r="H133" s="46">
        <f t="shared" ref="H133:H136" si="156">SUM(V133)</f>
        <v>103.95</v>
      </c>
      <c r="I133" s="46">
        <f t="shared" ref="I133:I136" si="157">D133*H133</f>
        <v>103.95</v>
      </c>
      <c r="J133" s="25">
        <f t="shared" ref="J133:K136" si="158">E133+H133</f>
        <v>171.43677419354839</v>
      </c>
      <c r="K133" s="25">
        <f t="shared" si="158"/>
        <v>171.43677419354839</v>
      </c>
      <c r="L133" s="50"/>
      <c r="M133" s="3"/>
      <c r="O133" s="40">
        <v>58.43010752688172</v>
      </c>
      <c r="P133" s="41">
        <f t="shared" ref="P133:P136" si="159">$P$1</f>
        <v>1.155</v>
      </c>
      <c r="Q133" s="42">
        <f t="shared" ref="Q133:Q136" si="160">SUM(P133*O133)</f>
        <v>67.486774193548385</v>
      </c>
      <c r="R133" s="43"/>
      <c r="S133" s="43"/>
      <c r="T133" s="44">
        <v>90</v>
      </c>
      <c r="U133" s="45">
        <f t="shared" ref="U133:U136" si="161">$U$1</f>
        <v>1.155</v>
      </c>
      <c r="V133" s="44">
        <f t="shared" ref="V133:V136" si="162">SUM(U133*T133)</f>
        <v>103.95</v>
      </c>
      <c r="X133">
        <f t="shared" si="42"/>
        <v>58.43010752688172</v>
      </c>
      <c r="Y133">
        <f t="shared" si="43"/>
        <v>90</v>
      </c>
    </row>
    <row r="134" spans="1:25">
      <c r="A134" s="24" t="s">
        <v>131</v>
      </c>
      <c r="B134" s="33" t="s">
        <v>152</v>
      </c>
      <c r="C134" s="24" t="s">
        <v>64</v>
      </c>
      <c r="D134" s="25">
        <v>1</v>
      </c>
      <c r="E134" s="46">
        <f t="shared" si="154"/>
        <v>21.49790322580645</v>
      </c>
      <c r="F134" s="46">
        <f t="shared" si="155"/>
        <v>21.49790322580645</v>
      </c>
      <c r="G134" s="47"/>
      <c r="H134" s="46">
        <f t="shared" si="156"/>
        <v>11.55</v>
      </c>
      <c r="I134" s="46">
        <f t="shared" si="157"/>
        <v>11.55</v>
      </c>
      <c r="J134" s="25">
        <f t="shared" si="158"/>
        <v>33.047903225806451</v>
      </c>
      <c r="K134" s="25">
        <f t="shared" si="158"/>
        <v>33.047903225806451</v>
      </c>
      <c r="L134" s="50"/>
      <c r="M134" s="3"/>
      <c r="O134" s="40">
        <v>18.612903225806448</v>
      </c>
      <c r="P134" s="41">
        <f t="shared" si="159"/>
        <v>1.155</v>
      </c>
      <c r="Q134" s="42">
        <f t="shared" si="160"/>
        <v>21.49790322580645</v>
      </c>
      <c r="R134" s="43"/>
      <c r="S134" s="43"/>
      <c r="T134" s="44">
        <v>10</v>
      </c>
      <c r="U134" s="45">
        <f t="shared" si="161"/>
        <v>1.155</v>
      </c>
      <c r="V134" s="44">
        <f t="shared" si="162"/>
        <v>11.55</v>
      </c>
      <c r="X134">
        <f t="shared" si="42"/>
        <v>18.612903225806448</v>
      </c>
      <c r="Y134">
        <f t="shared" si="43"/>
        <v>10</v>
      </c>
    </row>
    <row r="135" spans="1:25">
      <c r="A135" s="24" t="s">
        <v>188</v>
      </c>
      <c r="B135" s="33" t="s">
        <v>187</v>
      </c>
      <c r="C135" s="24" t="s">
        <v>64</v>
      </c>
      <c r="D135" s="25">
        <v>1</v>
      </c>
      <c r="E135" s="46">
        <f t="shared" si="154"/>
        <v>62.481774193548382</v>
      </c>
      <c r="F135" s="46">
        <f t="shared" si="155"/>
        <v>62.481774193548382</v>
      </c>
      <c r="G135" s="47"/>
      <c r="H135" s="46">
        <f t="shared" si="156"/>
        <v>5.7750000000000004</v>
      </c>
      <c r="I135" s="46">
        <f t="shared" si="157"/>
        <v>5.7750000000000004</v>
      </c>
      <c r="J135" s="25">
        <f t="shared" si="158"/>
        <v>68.256774193548381</v>
      </c>
      <c r="K135" s="25">
        <f t="shared" si="158"/>
        <v>68.256774193548381</v>
      </c>
      <c r="L135" s="50"/>
      <c r="M135" s="3"/>
      <c r="O135" s="40">
        <v>54.096774193548384</v>
      </c>
      <c r="P135" s="41">
        <f t="shared" si="159"/>
        <v>1.155</v>
      </c>
      <c r="Q135" s="42">
        <f t="shared" si="160"/>
        <v>62.481774193548382</v>
      </c>
      <c r="R135" s="43"/>
      <c r="S135" s="43"/>
      <c r="T135" s="44">
        <v>5</v>
      </c>
      <c r="U135" s="45">
        <f t="shared" si="161"/>
        <v>1.155</v>
      </c>
      <c r="V135" s="44">
        <f t="shared" si="162"/>
        <v>5.7750000000000004</v>
      </c>
      <c r="X135">
        <f t="shared" si="42"/>
        <v>54.096774193548384</v>
      </c>
      <c r="Y135">
        <f t="shared" si="43"/>
        <v>5</v>
      </c>
    </row>
    <row r="136" spans="1:25">
      <c r="A136" s="24" t="s">
        <v>189</v>
      </c>
      <c r="B136" s="33" t="s">
        <v>419</v>
      </c>
      <c r="C136" s="24" t="s">
        <v>64</v>
      </c>
      <c r="D136" s="25">
        <v>1</v>
      </c>
      <c r="E136" s="46">
        <f t="shared" si="154"/>
        <v>74.20564516129032</v>
      </c>
      <c r="F136" s="46">
        <f t="shared" si="155"/>
        <v>74.20564516129032</v>
      </c>
      <c r="G136" s="47"/>
      <c r="H136" s="46">
        <f t="shared" si="156"/>
        <v>17.324999999999999</v>
      </c>
      <c r="I136" s="46">
        <f t="shared" si="157"/>
        <v>17.324999999999999</v>
      </c>
      <c r="J136" s="25">
        <f t="shared" si="158"/>
        <v>91.530645161290323</v>
      </c>
      <c r="K136" s="25">
        <f t="shared" si="158"/>
        <v>91.530645161290323</v>
      </c>
      <c r="L136" s="54" t="s">
        <v>420</v>
      </c>
      <c r="M136" s="3"/>
      <c r="O136" s="40">
        <v>64.247311827956992</v>
      </c>
      <c r="P136" s="41">
        <f t="shared" si="159"/>
        <v>1.155</v>
      </c>
      <c r="Q136" s="42">
        <f t="shared" si="160"/>
        <v>74.20564516129032</v>
      </c>
      <c r="R136" s="43"/>
      <c r="S136" s="43"/>
      <c r="T136" s="44">
        <v>15</v>
      </c>
      <c r="U136" s="45">
        <f t="shared" si="161"/>
        <v>1.155</v>
      </c>
      <c r="V136" s="44">
        <f t="shared" si="162"/>
        <v>17.324999999999999</v>
      </c>
      <c r="X136">
        <f t="shared" si="42"/>
        <v>64.247311827956992</v>
      </c>
      <c r="Y136">
        <f t="shared" si="43"/>
        <v>15</v>
      </c>
    </row>
    <row r="137" spans="1:25" ht="24.75">
      <c r="A137" s="22" t="s">
        <v>26</v>
      </c>
      <c r="B137" s="32" t="s">
        <v>190</v>
      </c>
      <c r="C137" s="22" t="s">
        <v>26</v>
      </c>
      <c r="D137" s="23"/>
      <c r="E137" s="23"/>
      <c r="F137" s="23"/>
      <c r="G137" s="22"/>
      <c r="H137" s="23"/>
      <c r="I137" s="23"/>
      <c r="J137" s="23"/>
      <c r="K137" s="23"/>
      <c r="L137" s="50"/>
      <c r="M137" s="3"/>
      <c r="O137" s="43"/>
      <c r="P137" s="43"/>
      <c r="Q137" s="43"/>
      <c r="R137" s="43"/>
      <c r="X137">
        <f t="shared" si="42"/>
        <v>0</v>
      </c>
      <c r="Y137">
        <f t="shared" si="43"/>
        <v>0</v>
      </c>
    </row>
    <row r="138" spans="1:25">
      <c r="A138" s="24" t="s">
        <v>192</v>
      </c>
      <c r="B138" s="33" t="s">
        <v>191</v>
      </c>
      <c r="C138" s="24" t="s">
        <v>64</v>
      </c>
      <c r="D138" s="25">
        <v>2</v>
      </c>
      <c r="E138" s="46">
        <f t="shared" ref="E138:E140" si="163">SUM(Q138)</f>
        <v>71.982580645161292</v>
      </c>
      <c r="F138" s="46">
        <f t="shared" ref="F138:F140" si="164">D138*E138</f>
        <v>143.96516129032258</v>
      </c>
      <c r="G138" s="47"/>
      <c r="H138" s="46">
        <f t="shared" ref="H138:H140" si="165">SUM(V138)</f>
        <v>103.95</v>
      </c>
      <c r="I138" s="46">
        <f t="shared" ref="I138:I140" si="166">D138*H138</f>
        <v>207.9</v>
      </c>
      <c r="J138" s="25">
        <f t="shared" ref="J138:K140" si="167">E138+H138</f>
        <v>175.93258064516129</v>
      </c>
      <c r="K138" s="25">
        <f t="shared" si="167"/>
        <v>351.86516129032259</v>
      </c>
      <c r="L138" s="50"/>
      <c r="M138" s="3"/>
      <c r="O138" s="40">
        <v>62.322580645161288</v>
      </c>
      <c r="P138" s="41">
        <f t="shared" ref="P138:P140" si="168">$P$1</f>
        <v>1.155</v>
      </c>
      <c r="Q138" s="42">
        <f t="shared" ref="Q138:Q140" si="169">SUM(P138*O138)</f>
        <v>71.982580645161292</v>
      </c>
      <c r="R138" s="43"/>
      <c r="S138" s="43"/>
      <c r="T138" s="44">
        <v>90</v>
      </c>
      <c r="U138" s="45">
        <f t="shared" ref="U138:U140" si="170">$U$1</f>
        <v>1.155</v>
      </c>
      <c r="V138" s="44">
        <f t="shared" ref="V138:V140" si="171">SUM(U138*T138)</f>
        <v>103.95</v>
      </c>
      <c r="X138">
        <f t="shared" ref="X138:X201" si="172">SUM(O138*D138)</f>
        <v>124.64516129032258</v>
      </c>
      <c r="Y138">
        <f t="shared" ref="Y138:Y201" si="173">SUM(T138*D138)</f>
        <v>180</v>
      </c>
    </row>
    <row r="139" spans="1:25">
      <c r="A139" s="24" t="s">
        <v>182</v>
      </c>
      <c r="B139" s="33" t="s">
        <v>181</v>
      </c>
      <c r="C139" s="24" t="s">
        <v>64</v>
      </c>
      <c r="D139" s="25">
        <v>2</v>
      </c>
      <c r="E139" s="46">
        <f t="shared" si="163"/>
        <v>26.999677419354839</v>
      </c>
      <c r="F139" s="46">
        <f t="shared" si="164"/>
        <v>53.999354838709678</v>
      </c>
      <c r="G139" s="47"/>
      <c r="H139" s="46">
        <f t="shared" si="165"/>
        <v>11.55</v>
      </c>
      <c r="I139" s="46">
        <f t="shared" si="166"/>
        <v>23.1</v>
      </c>
      <c r="J139" s="25">
        <f t="shared" si="167"/>
        <v>38.549677419354836</v>
      </c>
      <c r="K139" s="25">
        <f t="shared" si="167"/>
        <v>77.099354838709672</v>
      </c>
      <c r="L139" s="50"/>
      <c r="M139" s="3"/>
      <c r="O139" s="40">
        <v>23.376344086021504</v>
      </c>
      <c r="P139" s="41">
        <f t="shared" si="168"/>
        <v>1.155</v>
      </c>
      <c r="Q139" s="42">
        <f t="shared" si="169"/>
        <v>26.999677419354839</v>
      </c>
      <c r="R139" s="43"/>
      <c r="S139" s="43"/>
      <c r="T139" s="44">
        <v>10</v>
      </c>
      <c r="U139" s="45">
        <f t="shared" si="170"/>
        <v>1.155</v>
      </c>
      <c r="V139" s="44">
        <f t="shared" si="171"/>
        <v>11.55</v>
      </c>
      <c r="X139">
        <f t="shared" si="172"/>
        <v>46.752688172043008</v>
      </c>
      <c r="Y139">
        <f t="shared" si="173"/>
        <v>20</v>
      </c>
    </row>
    <row r="140" spans="1:25">
      <c r="A140" s="24" t="s">
        <v>131</v>
      </c>
      <c r="B140" s="33" t="s">
        <v>152</v>
      </c>
      <c r="C140" s="24" t="s">
        <v>64</v>
      </c>
      <c r="D140" s="25">
        <v>2</v>
      </c>
      <c r="E140" s="46">
        <f t="shared" si="163"/>
        <v>21.49790322580645</v>
      </c>
      <c r="F140" s="46">
        <f t="shared" si="164"/>
        <v>42.9958064516129</v>
      </c>
      <c r="G140" s="47"/>
      <c r="H140" s="46">
        <f t="shared" si="165"/>
        <v>5.7750000000000004</v>
      </c>
      <c r="I140" s="46">
        <f t="shared" si="166"/>
        <v>11.55</v>
      </c>
      <c r="J140" s="25">
        <f t="shared" si="167"/>
        <v>27.272903225806452</v>
      </c>
      <c r="K140" s="25">
        <f t="shared" si="167"/>
        <v>54.545806451612904</v>
      </c>
      <c r="L140" s="50"/>
      <c r="M140" s="3"/>
      <c r="O140" s="40">
        <v>18.612903225806448</v>
      </c>
      <c r="P140" s="41">
        <f t="shared" si="168"/>
        <v>1.155</v>
      </c>
      <c r="Q140" s="42">
        <f t="shared" si="169"/>
        <v>21.49790322580645</v>
      </c>
      <c r="R140" s="43"/>
      <c r="S140" s="43"/>
      <c r="T140" s="44">
        <v>5</v>
      </c>
      <c r="U140" s="45">
        <f t="shared" si="170"/>
        <v>1.155</v>
      </c>
      <c r="V140" s="44">
        <f t="shared" si="171"/>
        <v>5.7750000000000004</v>
      </c>
      <c r="X140">
        <f t="shared" si="172"/>
        <v>37.225806451612897</v>
      </c>
      <c r="Y140">
        <f t="shared" si="173"/>
        <v>10</v>
      </c>
    </row>
    <row r="141" spans="1:25" ht="24.75">
      <c r="A141" s="22" t="s">
        <v>26</v>
      </c>
      <c r="B141" s="32" t="s">
        <v>193</v>
      </c>
      <c r="C141" s="22" t="s">
        <v>26</v>
      </c>
      <c r="D141" s="23"/>
      <c r="E141" s="23"/>
      <c r="F141" s="23"/>
      <c r="G141" s="22"/>
      <c r="H141" s="23"/>
      <c r="I141" s="23"/>
      <c r="J141" s="23"/>
      <c r="K141" s="23"/>
      <c r="L141" s="50"/>
      <c r="M141" s="3"/>
      <c r="O141" s="43"/>
      <c r="P141" s="43"/>
      <c r="Q141" s="43"/>
      <c r="R141" s="43"/>
      <c r="X141">
        <f t="shared" si="172"/>
        <v>0</v>
      </c>
      <c r="Y141">
        <f t="shared" si="173"/>
        <v>0</v>
      </c>
    </row>
    <row r="142" spans="1:25">
      <c r="A142" s="24" t="s">
        <v>195</v>
      </c>
      <c r="B142" s="33" t="s">
        <v>194</v>
      </c>
      <c r="C142" s="24" t="s">
        <v>64</v>
      </c>
      <c r="D142" s="25">
        <v>2</v>
      </c>
      <c r="E142" s="46">
        <f t="shared" ref="E142:E145" si="174">SUM(Q142)</f>
        <v>72.479354838709682</v>
      </c>
      <c r="F142" s="46">
        <f t="shared" ref="F142:F145" si="175">D142*E142</f>
        <v>144.95870967741936</v>
      </c>
      <c r="G142" s="47"/>
      <c r="H142" s="46">
        <f t="shared" ref="H142:H145" si="176">SUM(V142)</f>
        <v>103.95</v>
      </c>
      <c r="I142" s="46">
        <f t="shared" ref="I142:I145" si="177">D142*H142</f>
        <v>207.9</v>
      </c>
      <c r="J142" s="25">
        <f t="shared" ref="J142:K145" si="178">E142+H142</f>
        <v>176.42935483870968</v>
      </c>
      <c r="K142" s="25">
        <f t="shared" si="178"/>
        <v>352.85870967741937</v>
      </c>
      <c r="L142" s="50"/>
      <c r="M142" s="3"/>
      <c r="O142" s="40">
        <v>62.752688172043008</v>
      </c>
      <c r="P142" s="41">
        <f t="shared" ref="P142:P145" si="179">$P$1</f>
        <v>1.155</v>
      </c>
      <c r="Q142" s="42">
        <f t="shared" ref="Q142:Q145" si="180">SUM(P142*O142)</f>
        <v>72.479354838709682</v>
      </c>
      <c r="R142" s="43"/>
      <c r="S142" s="43"/>
      <c r="T142" s="44">
        <v>90</v>
      </c>
      <c r="U142" s="45">
        <f t="shared" ref="U142:U145" si="181">$U$1</f>
        <v>1.155</v>
      </c>
      <c r="V142" s="44">
        <f t="shared" ref="V142:V145" si="182">SUM(U142*T142)</f>
        <v>103.95</v>
      </c>
      <c r="X142">
        <f t="shared" si="172"/>
        <v>125.50537634408602</v>
      </c>
      <c r="Y142">
        <f t="shared" si="173"/>
        <v>180</v>
      </c>
    </row>
    <row r="143" spans="1:25">
      <c r="A143" s="24" t="s">
        <v>131</v>
      </c>
      <c r="B143" s="33" t="s">
        <v>130</v>
      </c>
      <c r="C143" s="24" t="s">
        <v>64</v>
      </c>
      <c r="D143" s="25">
        <v>2</v>
      </c>
      <c r="E143" s="46">
        <f t="shared" si="174"/>
        <v>21.49790322580645</v>
      </c>
      <c r="F143" s="46">
        <f t="shared" si="175"/>
        <v>42.9958064516129</v>
      </c>
      <c r="G143" s="47"/>
      <c r="H143" s="46">
        <f t="shared" si="176"/>
        <v>11.55</v>
      </c>
      <c r="I143" s="46">
        <f t="shared" si="177"/>
        <v>23.1</v>
      </c>
      <c r="J143" s="25">
        <f t="shared" si="178"/>
        <v>33.047903225806451</v>
      </c>
      <c r="K143" s="25">
        <f t="shared" si="178"/>
        <v>66.095806451612901</v>
      </c>
      <c r="L143" s="50"/>
      <c r="M143" s="3"/>
      <c r="O143" s="40">
        <v>18.612903225806448</v>
      </c>
      <c r="P143" s="41">
        <f t="shared" si="179"/>
        <v>1.155</v>
      </c>
      <c r="Q143" s="42">
        <f t="shared" si="180"/>
        <v>21.49790322580645</v>
      </c>
      <c r="R143" s="43"/>
      <c r="S143" s="43"/>
      <c r="T143" s="44">
        <v>10</v>
      </c>
      <c r="U143" s="45">
        <f t="shared" si="181"/>
        <v>1.155</v>
      </c>
      <c r="V143" s="44">
        <f t="shared" si="182"/>
        <v>11.55</v>
      </c>
      <c r="X143">
        <f t="shared" si="172"/>
        <v>37.225806451612897</v>
      </c>
      <c r="Y143">
        <f t="shared" si="173"/>
        <v>20</v>
      </c>
    </row>
    <row r="144" spans="1:25">
      <c r="A144" s="24" t="s">
        <v>197</v>
      </c>
      <c r="B144" s="33" t="s">
        <v>196</v>
      </c>
      <c r="C144" s="24" t="s">
        <v>64</v>
      </c>
      <c r="D144" s="25">
        <v>2</v>
      </c>
      <c r="E144" s="46">
        <f t="shared" si="174"/>
        <v>37.494032258064514</v>
      </c>
      <c r="F144" s="46">
        <f t="shared" si="175"/>
        <v>74.988064516129029</v>
      </c>
      <c r="G144" s="47"/>
      <c r="H144" s="46">
        <f t="shared" si="176"/>
        <v>5.7750000000000004</v>
      </c>
      <c r="I144" s="46">
        <f t="shared" si="177"/>
        <v>11.55</v>
      </c>
      <c r="J144" s="25">
        <f t="shared" si="178"/>
        <v>43.269032258064513</v>
      </c>
      <c r="K144" s="25">
        <f t="shared" si="178"/>
        <v>86.538064516129026</v>
      </c>
      <c r="L144" s="50"/>
      <c r="M144" s="3"/>
      <c r="O144" s="40">
        <v>32.462365591397848</v>
      </c>
      <c r="P144" s="41">
        <f t="shared" si="179"/>
        <v>1.155</v>
      </c>
      <c r="Q144" s="42">
        <f t="shared" si="180"/>
        <v>37.494032258064514</v>
      </c>
      <c r="R144" s="43"/>
      <c r="S144" s="43"/>
      <c r="T144" s="44">
        <v>5</v>
      </c>
      <c r="U144" s="45">
        <f t="shared" si="181"/>
        <v>1.155</v>
      </c>
      <c r="V144" s="44">
        <f t="shared" si="182"/>
        <v>5.7750000000000004</v>
      </c>
      <c r="X144">
        <f t="shared" si="172"/>
        <v>64.924731182795696</v>
      </c>
      <c r="Y144">
        <f t="shared" si="173"/>
        <v>10</v>
      </c>
    </row>
    <row r="145" spans="1:25">
      <c r="A145" s="24" t="s">
        <v>199</v>
      </c>
      <c r="B145" s="33" t="s">
        <v>198</v>
      </c>
      <c r="C145" s="24" t="s">
        <v>64</v>
      </c>
      <c r="D145" s="25">
        <v>2</v>
      </c>
      <c r="E145" s="46">
        <f t="shared" si="174"/>
        <v>82.47693548387096</v>
      </c>
      <c r="F145" s="46">
        <f t="shared" si="175"/>
        <v>164.95387096774192</v>
      </c>
      <c r="G145" s="47"/>
      <c r="H145" s="46">
        <f t="shared" si="176"/>
        <v>11.55</v>
      </c>
      <c r="I145" s="46">
        <f t="shared" si="177"/>
        <v>23.1</v>
      </c>
      <c r="J145" s="25">
        <f t="shared" si="178"/>
        <v>94.026935483870957</v>
      </c>
      <c r="K145" s="25">
        <f t="shared" si="178"/>
        <v>188.05387096774191</v>
      </c>
      <c r="L145" s="50"/>
      <c r="M145" s="3"/>
      <c r="O145" s="40">
        <v>71.408602150537632</v>
      </c>
      <c r="P145" s="41">
        <f t="shared" si="179"/>
        <v>1.155</v>
      </c>
      <c r="Q145" s="42">
        <f t="shared" si="180"/>
        <v>82.47693548387096</v>
      </c>
      <c r="R145" s="43"/>
      <c r="S145" s="43"/>
      <c r="T145" s="44">
        <v>10</v>
      </c>
      <c r="U145" s="45">
        <f t="shared" si="181"/>
        <v>1.155</v>
      </c>
      <c r="V145" s="44">
        <f t="shared" si="182"/>
        <v>11.55</v>
      </c>
      <c r="X145">
        <f t="shared" si="172"/>
        <v>142.81720430107526</v>
      </c>
      <c r="Y145">
        <f t="shared" si="173"/>
        <v>20</v>
      </c>
    </row>
    <row r="146" spans="1:25" ht="24.75">
      <c r="A146" s="22" t="s">
        <v>26</v>
      </c>
      <c r="B146" s="32" t="s">
        <v>200</v>
      </c>
      <c r="C146" s="22" t="s">
        <v>26</v>
      </c>
      <c r="D146" s="23"/>
      <c r="E146" s="23"/>
      <c r="F146" s="23"/>
      <c r="G146" s="22"/>
      <c r="H146" s="23"/>
      <c r="I146" s="23"/>
      <c r="J146" s="23"/>
      <c r="K146" s="23"/>
      <c r="L146" s="50"/>
      <c r="M146" s="3"/>
      <c r="O146" s="43"/>
      <c r="P146" s="43"/>
      <c r="Q146" s="43"/>
      <c r="R146" s="43"/>
      <c r="X146">
        <f t="shared" si="172"/>
        <v>0</v>
      </c>
      <c r="Y146">
        <f t="shared" si="173"/>
        <v>0</v>
      </c>
    </row>
    <row r="147" spans="1:25">
      <c r="A147" s="24" t="s">
        <v>185</v>
      </c>
      <c r="B147" s="33" t="s">
        <v>201</v>
      </c>
      <c r="C147" s="24" t="s">
        <v>64</v>
      </c>
      <c r="D147" s="25">
        <v>4</v>
      </c>
      <c r="E147" s="46">
        <f t="shared" ref="E147:E150" si="183">SUM(Q147)</f>
        <v>67.486774193548385</v>
      </c>
      <c r="F147" s="46">
        <f t="shared" ref="F147:F150" si="184">D147*E147</f>
        <v>269.94709677419354</v>
      </c>
      <c r="G147" s="47"/>
      <c r="H147" s="46">
        <f t="shared" ref="H147:H150" si="185">SUM(V147)</f>
        <v>103.95</v>
      </c>
      <c r="I147" s="46">
        <f t="shared" ref="I147:I150" si="186">D147*H147</f>
        <v>415.8</v>
      </c>
      <c r="J147" s="25">
        <f t="shared" ref="J147:K150" si="187">E147+H147</f>
        <v>171.43677419354839</v>
      </c>
      <c r="K147" s="25">
        <f t="shared" si="187"/>
        <v>685.74709677419355</v>
      </c>
      <c r="L147" s="50"/>
      <c r="M147" s="3"/>
      <c r="O147" s="40">
        <v>58.43010752688172</v>
      </c>
      <c r="P147" s="41">
        <f t="shared" ref="P147:P150" si="188">$P$1</f>
        <v>1.155</v>
      </c>
      <c r="Q147" s="42">
        <f t="shared" ref="Q147:Q150" si="189">SUM(P147*O147)</f>
        <v>67.486774193548385</v>
      </c>
      <c r="R147" s="43"/>
      <c r="S147" s="43"/>
      <c r="T147" s="44">
        <v>90</v>
      </c>
      <c r="U147" s="45">
        <f t="shared" ref="U147:U150" si="190">$U$1</f>
        <v>1.155</v>
      </c>
      <c r="V147" s="44">
        <f t="shared" ref="V147:V150" si="191">SUM(U147*T147)</f>
        <v>103.95</v>
      </c>
      <c r="X147">
        <f t="shared" si="172"/>
        <v>233.72043010752688</v>
      </c>
      <c r="Y147">
        <f t="shared" si="173"/>
        <v>360</v>
      </c>
    </row>
    <row r="148" spans="1:25">
      <c r="A148" s="24" t="s">
        <v>131</v>
      </c>
      <c r="B148" s="33" t="s">
        <v>130</v>
      </c>
      <c r="C148" s="24" t="s">
        <v>64</v>
      </c>
      <c r="D148" s="25">
        <v>4</v>
      </c>
      <c r="E148" s="46">
        <f t="shared" si="183"/>
        <v>21.49790322580645</v>
      </c>
      <c r="F148" s="46">
        <f t="shared" si="184"/>
        <v>85.9916129032258</v>
      </c>
      <c r="G148" s="47"/>
      <c r="H148" s="46">
        <f t="shared" si="185"/>
        <v>11.55</v>
      </c>
      <c r="I148" s="46">
        <f t="shared" si="186"/>
        <v>46.2</v>
      </c>
      <c r="J148" s="25">
        <f t="shared" si="187"/>
        <v>33.047903225806451</v>
      </c>
      <c r="K148" s="25">
        <f t="shared" si="187"/>
        <v>132.1916129032258</v>
      </c>
      <c r="L148" s="50"/>
      <c r="M148" s="3"/>
      <c r="O148" s="40">
        <v>18.612903225806448</v>
      </c>
      <c r="P148" s="41">
        <f t="shared" si="188"/>
        <v>1.155</v>
      </c>
      <c r="Q148" s="42">
        <f t="shared" si="189"/>
        <v>21.49790322580645</v>
      </c>
      <c r="R148" s="43"/>
      <c r="S148" s="43"/>
      <c r="T148" s="44">
        <v>10</v>
      </c>
      <c r="U148" s="45">
        <f t="shared" si="190"/>
        <v>1.155</v>
      </c>
      <c r="V148" s="44">
        <f t="shared" si="191"/>
        <v>11.55</v>
      </c>
      <c r="X148">
        <f t="shared" si="172"/>
        <v>74.451612903225794</v>
      </c>
      <c r="Y148">
        <f t="shared" si="173"/>
        <v>40</v>
      </c>
    </row>
    <row r="149" spans="1:25">
      <c r="A149" s="24" t="s">
        <v>182</v>
      </c>
      <c r="B149" s="33" t="s">
        <v>181</v>
      </c>
      <c r="C149" s="24" t="s">
        <v>64</v>
      </c>
      <c r="D149" s="25">
        <v>4</v>
      </c>
      <c r="E149" s="46">
        <f t="shared" si="183"/>
        <v>26.987258064516126</v>
      </c>
      <c r="F149" s="46">
        <f t="shared" si="184"/>
        <v>107.94903225806451</v>
      </c>
      <c r="G149" s="47"/>
      <c r="H149" s="46">
        <f t="shared" si="185"/>
        <v>5.7750000000000004</v>
      </c>
      <c r="I149" s="46">
        <f t="shared" si="186"/>
        <v>23.1</v>
      </c>
      <c r="J149" s="25">
        <f t="shared" si="187"/>
        <v>32.762258064516125</v>
      </c>
      <c r="K149" s="25">
        <f t="shared" si="187"/>
        <v>131.0490322580645</v>
      </c>
      <c r="L149" s="50"/>
      <c r="M149" s="3"/>
      <c r="O149" s="40">
        <v>23.36559139784946</v>
      </c>
      <c r="P149" s="41">
        <f t="shared" si="188"/>
        <v>1.155</v>
      </c>
      <c r="Q149" s="42">
        <f t="shared" si="189"/>
        <v>26.987258064516126</v>
      </c>
      <c r="R149" s="43"/>
      <c r="S149" s="43"/>
      <c r="T149" s="44">
        <v>5</v>
      </c>
      <c r="U149" s="45">
        <f t="shared" si="190"/>
        <v>1.155</v>
      </c>
      <c r="V149" s="44">
        <f t="shared" si="191"/>
        <v>5.7750000000000004</v>
      </c>
      <c r="X149">
        <f t="shared" si="172"/>
        <v>93.462365591397841</v>
      </c>
      <c r="Y149">
        <f t="shared" si="173"/>
        <v>20</v>
      </c>
    </row>
    <row r="150" spans="1:25">
      <c r="A150" s="24" t="s">
        <v>199</v>
      </c>
      <c r="B150" s="33" t="s">
        <v>198</v>
      </c>
      <c r="C150" s="24" t="s">
        <v>64</v>
      </c>
      <c r="D150" s="25">
        <v>4</v>
      </c>
      <c r="E150" s="46">
        <f t="shared" si="183"/>
        <v>82.47693548387096</v>
      </c>
      <c r="F150" s="46">
        <f t="shared" si="184"/>
        <v>329.90774193548384</v>
      </c>
      <c r="G150" s="47"/>
      <c r="H150" s="46">
        <f t="shared" si="185"/>
        <v>11.55</v>
      </c>
      <c r="I150" s="46">
        <f t="shared" si="186"/>
        <v>46.2</v>
      </c>
      <c r="J150" s="25">
        <f t="shared" si="187"/>
        <v>94.026935483870957</v>
      </c>
      <c r="K150" s="25">
        <f t="shared" si="187"/>
        <v>376.10774193548383</v>
      </c>
      <c r="L150" s="50"/>
      <c r="M150" s="3"/>
      <c r="O150" s="40">
        <v>71.408602150537632</v>
      </c>
      <c r="P150" s="41">
        <f t="shared" si="188"/>
        <v>1.155</v>
      </c>
      <c r="Q150" s="42">
        <f t="shared" si="189"/>
        <v>82.47693548387096</v>
      </c>
      <c r="R150" s="43"/>
      <c r="S150" s="43"/>
      <c r="T150" s="44">
        <v>10</v>
      </c>
      <c r="U150" s="45">
        <f t="shared" si="190"/>
        <v>1.155</v>
      </c>
      <c r="V150" s="44">
        <f t="shared" si="191"/>
        <v>11.55</v>
      </c>
      <c r="X150">
        <f t="shared" si="172"/>
        <v>285.63440860215053</v>
      </c>
      <c r="Y150">
        <f t="shared" si="173"/>
        <v>40</v>
      </c>
    </row>
    <row r="151" spans="1:25" ht="24.75">
      <c r="A151" s="22" t="s">
        <v>26</v>
      </c>
      <c r="B151" s="32" t="s">
        <v>202</v>
      </c>
      <c r="C151" s="22" t="s">
        <v>26</v>
      </c>
      <c r="D151" s="23"/>
      <c r="E151" s="23"/>
      <c r="F151" s="23"/>
      <c r="G151" s="22"/>
      <c r="H151" s="23"/>
      <c r="I151" s="23"/>
      <c r="J151" s="23"/>
      <c r="K151" s="23"/>
      <c r="L151" s="50"/>
      <c r="M151" s="3"/>
      <c r="O151" s="43"/>
      <c r="P151" s="43"/>
      <c r="Q151" s="43"/>
      <c r="R151" s="43"/>
      <c r="X151">
        <f t="shared" si="172"/>
        <v>0</v>
      </c>
      <c r="Y151">
        <f t="shared" si="173"/>
        <v>0</v>
      </c>
    </row>
    <row r="152" spans="1:25">
      <c r="A152" s="24" t="s">
        <v>204</v>
      </c>
      <c r="B152" s="33" t="s">
        <v>203</v>
      </c>
      <c r="C152" s="24" t="s">
        <v>64</v>
      </c>
      <c r="D152" s="25">
        <v>3</v>
      </c>
      <c r="E152" s="46">
        <f>SUM(Q152)</f>
        <v>73.555263157894743</v>
      </c>
      <c r="F152" s="46">
        <f>D152*E152</f>
        <v>220.66578947368424</v>
      </c>
      <c r="G152" s="47"/>
      <c r="H152" s="46">
        <f>SUM(V152)</f>
        <v>103.95</v>
      </c>
      <c r="I152" s="46">
        <f>D152*H152</f>
        <v>311.85000000000002</v>
      </c>
      <c r="J152" s="25">
        <f>E152+H152</f>
        <v>177.50526315789475</v>
      </c>
      <c r="K152" s="25">
        <f>F152+I152</f>
        <v>532.51578947368421</v>
      </c>
      <c r="L152" s="50"/>
      <c r="M152" s="3"/>
      <c r="O152" s="40">
        <v>63.684210526315795</v>
      </c>
      <c r="P152" s="41">
        <f>$P$1</f>
        <v>1.155</v>
      </c>
      <c r="Q152" s="42">
        <f>SUM(P152*O152)</f>
        <v>73.555263157894743</v>
      </c>
      <c r="R152" s="43"/>
      <c r="S152" s="43"/>
      <c r="T152" s="44">
        <v>90</v>
      </c>
      <c r="U152" s="45">
        <f>$U$1</f>
        <v>1.155</v>
      </c>
      <c r="V152" s="44">
        <f>SUM(U152*T152)</f>
        <v>103.95</v>
      </c>
      <c r="X152">
        <f t="shared" si="172"/>
        <v>191.0526315789474</v>
      </c>
      <c r="Y152">
        <f t="shared" si="173"/>
        <v>270</v>
      </c>
    </row>
    <row r="153" spans="1:25" ht="24.75">
      <c r="A153" s="22" t="s">
        <v>26</v>
      </c>
      <c r="B153" s="32" t="s">
        <v>205</v>
      </c>
      <c r="C153" s="22" t="s">
        <v>26</v>
      </c>
      <c r="D153" s="23"/>
      <c r="E153" s="23"/>
      <c r="F153" s="23"/>
      <c r="G153" s="22"/>
      <c r="H153" s="23"/>
      <c r="I153" s="23"/>
      <c r="J153" s="23"/>
      <c r="K153" s="23"/>
      <c r="L153" s="50"/>
      <c r="M153" s="3"/>
      <c r="O153" s="43"/>
      <c r="P153" s="43"/>
      <c r="Q153" s="43"/>
      <c r="R153" s="43"/>
      <c r="X153">
        <f t="shared" si="172"/>
        <v>0</v>
      </c>
      <c r="Y153">
        <f t="shared" si="173"/>
        <v>0</v>
      </c>
    </row>
    <row r="154" spans="1:25" ht="23.25">
      <c r="A154" s="24" t="s">
        <v>207</v>
      </c>
      <c r="B154" s="33" t="s">
        <v>206</v>
      </c>
      <c r="C154" s="24" t="s">
        <v>64</v>
      </c>
      <c r="D154" s="25">
        <v>1</v>
      </c>
      <c r="E154" s="46">
        <f>SUM(Q154)</f>
        <v>2148.3607894736842</v>
      </c>
      <c r="F154" s="46">
        <f>D154*E154</f>
        <v>2148.3607894736842</v>
      </c>
      <c r="G154" s="47"/>
      <c r="H154" s="46">
        <f>SUM(V154)</f>
        <v>5313</v>
      </c>
      <c r="I154" s="46">
        <f>D154*H154</f>
        <v>5313</v>
      </c>
      <c r="J154" s="25">
        <f>E154+H154</f>
        <v>7461.3607894736842</v>
      </c>
      <c r="K154" s="25">
        <f>F154+I154</f>
        <v>7461.3607894736842</v>
      </c>
      <c r="L154" s="50"/>
      <c r="M154" s="3"/>
      <c r="O154" s="40">
        <v>1860.0526315789475</v>
      </c>
      <c r="P154" s="41">
        <f>$P$1</f>
        <v>1.155</v>
      </c>
      <c r="Q154" s="42">
        <f>SUM(P154*O154)</f>
        <v>2148.3607894736842</v>
      </c>
      <c r="R154" s="43"/>
      <c r="S154" s="43"/>
      <c r="T154" s="44">
        <v>4600</v>
      </c>
      <c r="U154" s="45">
        <f>$U$1</f>
        <v>1.155</v>
      </c>
      <c r="V154" s="44">
        <f>SUM(U154*T154)</f>
        <v>5313</v>
      </c>
      <c r="X154">
        <f t="shared" si="172"/>
        <v>1860.0526315789475</v>
      </c>
      <c r="Y154">
        <f t="shared" si="173"/>
        <v>4600</v>
      </c>
    </row>
    <row r="155" spans="1:25" ht="24.75">
      <c r="A155" s="22" t="s">
        <v>26</v>
      </c>
      <c r="B155" s="32" t="s">
        <v>208</v>
      </c>
      <c r="C155" s="22" t="s">
        <v>26</v>
      </c>
      <c r="D155" s="23"/>
      <c r="E155" s="23"/>
      <c r="F155" s="23"/>
      <c r="G155" s="22"/>
      <c r="H155" s="23"/>
      <c r="I155" s="23"/>
      <c r="J155" s="23"/>
      <c r="K155" s="23"/>
      <c r="L155" s="50"/>
      <c r="M155" s="3"/>
      <c r="O155" s="43"/>
      <c r="P155" s="43"/>
      <c r="Q155" s="43"/>
      <c r="R155" s="43"/>
      <c r="X155">
        <f t="shared" si="172"/>
        <v>0</v>
      </c>
      <c r="Y155">
        <f t="shared" si="173"/>
        <v>0</v>
      </c>
    </row>
    <row r="156" spans="1:25">
      <c r="A156" s="24" t="s">
        <v>210</v>
      </c>
      <c r="B156" s="33" t="s">
        <v>209</v>
      </c>
      <c r="C156" s="24" t="s">
        <v>64</v>
      </c>
      <c r="D156" s="25">
        <v>1</v>
      </c>
      <c r="E156" s="46">
        <f>SUM(Q156)</f>
        <v>608.1378947368421</v>
      </c>
      <c r="F156" s="46">
        <f>D156*E156</f>
        <v>608.1378947368421</v>
      </c>
      <c r="G156" s="47"/>
      <c r="H156" s="46">
        <f>SUM(V156)</f>
        <v>288.75</v>
      </c>
      <c r="I156" s="46">
        <f>D156*H156</f>
        <v>288.75</v>
      </c>
      <c r="J156" s="25">
        <f>E156+H156</f>
        <v>896.8878947368421</v>
      </c>
      <c r="K156" s="25">
        <f>F156+I156</f>
        <v>896.8878947368421</v>
      </c>
      <c r="L156" s="50"/>
      <c r="M156" s="3"/>
      <c r="O156" s="40">
        <v>526.52631578947364</v>
      </c>
      <c r="P156" s="41">
        <f>$P$1</f>
        <v>1.155</v>
      </c>
      <c r="Q156" s="42">
        <f>SUM(P156*O156)</f>
        <v>608.1378947368421</v>
      </c>
      <c r="R156" s="43"/>
      <c r="S156" s="43"/>
      <c r="T156" s="44">
        <v>250</v>
      </c>
      <c r="U156" s="45">
        <f>$U$1</f>
        <v>1.155</v>
      </c>
      <c r="V156" s="44">
        <f>SUM(U156*T156)</f>
        <v>288.75</v>
      </c>
      <c r="X156">
        <f t="shared" si="172"/>
        <v>526.52631578947364</v>
      </c>
      <c r="Y156">
        <f t="shared" si="173"/>
        <v>250</v>
      </c>
    </row>
    <row r="157" spans="1:25" ht="24.75">
      <c r="A157" s="22" t="s">
        <v>26</v>
      </c>
      <c r="B157" s="32" t="s">
        <v>211</v>
      </c>
      <c r="C157" s="22" t="s">
        <v>26</v>
      </c>
      <c r="D157" s="23"/>
      <c r="E157" s="23"/>
      <c r="F157" s="23"/>
      <c r="G157" s="22"/>
      <c r="H157" s="23"/>
      <c r="I157" s="23"/>
      <c r="J157" s="23"/>
      <c r="K157" s="23"/>
      <c r="L157" s="50"/>
      <c r="M157" s="3"/>
      <c r="O157" s="43"/>
      <c r="P157" s="43"/>
      <c r="Q157" s="43"/>
      <c r="R157" s="43"/>
      <c r="X157">
        <f t="shared" si="172"/>
        <v>0</v>
      </c>
      <c r="Y157">
        <f t="shared" si="173"/>
        <v>0</v>
      </c>
    </row>
    <row r="158" spans="1:25">
      <c r="A158" s="24" t="s">
        <v>180</v>
      </c>
      <c r="B158" s="33" t="s">
        <v>179</v>
      </c>
      <c r="C158" s="24" t="s">
        <v>64</v>
      </c>
      <c r="D158" s="25">
        <v>8</v>
      </c>
      <c r="E158" s="46">
        <f t="shared" ref="E158:E159" si="192">SUM(Q158)</f>
        <v>56.992419354838709</v>
      </c>
      <c r="F158" s="46">
        <f t="shared" ref="F158:F159" si="193">D158*E158</f>
        <v>455.93935483870968</v>
      </c>
      <c r="G158" s="47"/>
      <c r="H158" s="46">
        <f t="shared" ref="H158:H159" si="194">SUM(V158)</f>
        <v>103.95</v>
      </c>
      <c r="I158" s="46">
        <f t="shared" ref="I158:I159" si="195">D158*H158</f>
        <v>831.6</v>
      </c>
      <c r="J158" s="25">
        <f t="shared" ref="J158:K160" si="196">E158+H158</f>
        <v>160.94241935483871</v>
      </c>
      <c r="K158" s="25">
        <f t="shared" si="196"/>
        <v>1287.5393548387096</v>
      </c>
      <c r="L158" s="50"/>
      <c r="M158" s="3"/>
      <c r="O158" s="40">
        <v>49.344086021505376</v>
      </c>
      <c r="P158" s="41">
        <f t="shared" ref="P158:P160" si="197">$P$1</f>
        <v>1.155</v>
      </c>
      <c r="Q158" s="42">
        <f t="shared" ref="Q158:Q160" si="198">SUM(P158*O158)</f>
        <v>56.992419354838709</v>
      </c>
      <c r="R158" s="43"/>
      <c r="S158" s="43"/>
      <c r="T158" s="44">
        <v>90</v>
      </c>
      <c r="U158" s="45">
        <f t="shared" ref="U158:U160" si="199">$U$1</f>
        <v>1.155</v>
      </c>
      <c r="V158" s="44">
        <f t="shared" ref="V158:V160" si="200">SUM(U158*T158)</f>
        <v>103.95</v>
      </c>
      <c r="X158">
        <f t="shared" si="172"/>
        <v>394.75268817204301</v>
      </c>
      <c r="Y158">
        <f t="shared" si="173"/>
        <v>720</v>
      </c>
    </row>
    <row r="159" spans="1:25">
      <c r="A159" s="24" t="s">
        <v>144</v>
      </c>
      <c r="B159" s="33" t="s">
        <v>143</v>
      </c>
      <c r="C159" s="24" t="s">
        <v>64</v>
      </c>
      <c r="D159" s="25">
        <v>8</v>
      </c>
      <c r="E159" s="46">
        <f t="shared" si="192"/>
        <v>65.984032258064516</v>
      </c>
      <c r="F159" s="46">
        <f t="shared" si="193"/>
        <v>527.87225806451613</v>
      </c>
      <c r="G159" s="47"/>
      <c r="H159" s="46">
        <f t="shared" si="194"/>
        <v>11.55</v>
      </c>
      <c r="I159" s="46">
        <f t="shared" si="195"/>
        <v>92.4</v>
      </c>
      <c r="J159" s="25">
        <f t="shared" si="196"/>
        <v>77.534032258064514</v>
      </c>
      <c r="K159" s="25">
        <f t="shared" si="196"/>
        <v>620.27225806451611</v>
      </c>
      <c r="L159" s="50"/>
      <c r="M159" s="3"/>
      <c r="O159" s="40">
        <v>57.129032258064512</v>
      </c>
      <c r="P159" s="41">
        <f t="shared" si="197"/>
        <v>1.155</v>
      </c>
      <c r="Q159" s="42">
        <f t="shared" si="198"/>
        <v>65.984032258064516</v>
      </c>
      <c r="R159" s="43"/>
      <c r="S159" s="43"/>
      <c r="T159" s="44">
        <v>10</v>
      </c>
      <c r="U159" s="45">
        <f t="shared" si="199"/>
        <v>1.155</v>
      </c>
      <c r="V159" s="44">
        <f t="shared" si="200"/>
        <v>11.55</v>
      </c>
      <c r="X159">
        <f t="shared" si="172"/>
        <v>457.0322580645161</v>
      </c>
      <c r="Y159">
        <f t="shared" si="173"/>
        <v>80</v>
      </c>
    </row>
    <row r="160" spans="1:25">
      <c r="A160" s="24" t="s">
        <v>213</v>
      </c>
      <c r="B160" s="33" t="s">
        <v>212</v>
      </c>
      <c r="C160" s="24" t="s">
        <v>64</v>
      </c>
      <c r="D160" s="25">
        <v>8</v>
      </c>
      <c r="E160" s="46">
        <f>SUM(Q160)</f>
        <v>69.486290322580643</v>
      </c>
      <c r="F160" s="46">
        <f>D160*E160</f>
        <v>555.89032258064515</v>
      </c>
      <c r="G160" s="47"/>
      <c r="H160" s="46">
        <f>SUM(V160)</f>
        <v>5.7750000000000004</v>
      </c>
      <c r="I160" s="46">
        <f>D160*H160</f>
        <v>46.2</v>
      </c>
      <c r="J160" s="25">
        <f t="shared" si="196"/>
        <v>75.261290322580649</v>
      </c>
      <c r="K160" s="25">
        <f t="shared" si="196"/>
        <v>602.09032258064519</v>
      </c>
      <c r="L160" s="50"/>
      <c r="M160" s="3"/>
      <c r="O160" s="40">
        <v>60.161290322580648</v>
      </c>
      <c r="P160" s="41">
        <f t="shared" si="197"/>
        <v>1.155</v>
      </c>
      <c r="Q160" s="42">
        <f t="shared" si="198"/>
        <v>69.486290322580643</v>
      </c>
      <c r="R160" s="43"/>
      <c r="S160" s="43"/>
      <c r="T160" s="44">
        <v>5</v>
      </c>
      <c r="U160" s="45">
        <f t="shared" si="199"/>
        <v>1.155</v>
      </c>
      <c r="V160" s="44">
        <f t="shared" si="200"/>
        <v>5.7750000000000004</v>
      </c>
      <c r="X160">
        <f t="shared" si="172"/>
        <v>481.29032258064518</v>
      </c>
      <c r="Y160">
        <f t="shared" si="173"/>
        <v>40</v>
      </c>
    </row>
    <row r="161" spans="1:25">
      <c r="A161" s="22" t="s">
        <v>26</v>
      </c>
      <c r="B161" s="32" t="s">
        <v>214</v>
      </c>
      <c r="C161" s="22" t="s">
        <v>26</v>
      </c>
      <c r="D161" s="23"/>
      <c r="E161" s="23"/>
      <c r="F161" s="23"/>
      <c r="G161" s="22"/>
      <c r="H161" s="23"/>
      <c r="I161" s="23"/>
      <c r="J161" s="23"/>
      <c r="K161" s="23"/>
      <c r="L161" s="50"/>
      <c r="M161" s="3"/>
      <c r="O161" s="43"/>
      <c r="P161" s="43"/>
      <c r="Q161" s="43"/>
      <c r="R161" s="43"/>
      <c r="X161">
        <f t="shared" si="172"/>
        <v>0</v>
      </c>
      <c r="Y161">
        <f t="shared" si="173"/>
        <v>0</v>
      </c>
    </row>
    <row r="162" spans="1:25">
      <c r="A162" s="24" t="s">
        <v>216</v>
      </c>
      <c r="B162" s="33" t="s">
        <v>215</v>
      </c>
      <c r="C162" s="24" t="s">
        <v>64</v>
      </c>
      <c r="D162" s="25">
        <v>3</v>
      </c>
      <c r="E162" s="46">
        <f>SUM(Q162)</f>
        <v>373.24736842105267</v>
      </c>
      <c r="F162" s="46">
        <f>D162*E162</f>
        <v>1119.742105263158</v>
      </c>
      <c r="G162" s="47"/>
      <c r="H162" s="46">
        <f>SUM(V162)</f>
        <v>334.95</v>
      </c>
      <c r="I162" s="46">
        <f>D162*H162</f>
        <v>1004.8499999999999</v>
      </c>
      <c r="J162" s="25">
        <f>E162+H162</f>
        <v>708.19736842105272</v>
      </c>
      <c r="K162" s="25">
        <f>F162+I162</f>
        <v>2124.5921052631579</v>
      </c>
      <c r="L162" s="50"/>
      <c r="M162" s="3"/>
      <c r="O162" s="40">
        <v>323.15789473684214</v>
      </c>
      <c r="P162" s="41">
        <f>$P$1</f>
        <v>1.155</v>
      </c>
      <c r="Q162" s="42">
        <f>SUM(P162*O162)</f>
        <v>373.24736842105267</v>
      </c>
      <c r="R162" s="43"/>
      <c r="S162" s="43"/>
      <c r="T162" s="44">
        <v>290</v>
      </c>
      <c r="U162" s="45">
        <f>$U$1</f>
        <v>1.155</v>
      </c>
      <c r="V162" s="44">
        <f>SUM(U162*T162)</f>
        <v>334.95</v>
      </c>
      <c r="X162">
        <f t="shared" si="172"/>
        <v>969.47368421052647</v>
      </c>
      <c r="Y162">
        <f t="shared" si="173"/>
        <v>870</v>
      </c>
    </row>
    <row r="163" spans="1:25" ht="24.75">
      <c r="A163" s="22" t="s">
        <v>26</v>
      </c>
      <c r="B163" s="32" t="s">
        <v>217</v>
      </c>
      <c r="C163" s="22" t="s">
        <v>26</v>
      </c>
      <c r="D163" s="23"/>
      <c r="E163" s="23"/>
      <c r="F163" s="23"/>
      <c r="G163" s="22"/>
      <c r="H163" s="23"/>
      <c r="I163" s="23"/>
      <c r="J163" s="23"/>
      <c r="K163" s="23"/>
      <c r="L163" s="50"/>
      <c r="M163" s="3"/>
      <c r="O163" s="43"/>
      <c r="P163" s="43"/>
      <c r="Q163" s="43"/>
      <c r="R163" s="43"/>
      <c r="X163">
        <f t="shared" si="172"/>
        <v>0</v>
      </c>
      <c r="Y163">
        <f t="shared" si="173"/>
        <v>0</v>
      </c>
    </row>
    <row r="164" spans="1:25">
      <c r="A164" s="24" t="s">
        <v>124</v>
      </c>
      <c r="B164" s="33" t="s">
        <v>123</v>
      </c>
      <c r="C164" s="24" t="s">
        <v>64</v>
      </c>
      <c r="D164" s="25">
        <v>1</v>
      </c>
      <c r="E164" s="46">
        <f t="shared" ref="E164:E168" si="201">SUM(Q164)</f>
        <v>45.988870967741931</v>
      </c>
      <c r="F164" s="46">
        <f t="shared" ref="F164:F168" si="202">D164*E164</f>
        <v>45.988870967741931</v>
      </c>
      <c r="G164" s="47"/>
      <c r="H164" s="46">
        <f t="shared" ref="H164:H168" si="203">SUM(V164)</f>
        <v>103.95</v>
      </c>
      <c r="I164" s="46">
        <f t="shared" ref="I164:I168" si="204">D164*H164</f>
        <v>103.95</v>
      </c>
      <c r="J164" s="25">
        <f t="shared" ref="J164:K169" si="205">E164+H164</f>
        <v>149.93887096774193</v>
      </c>
      <c r="K164" s="25">
        <f t="shared" si="205"/>
        <v>149.93887096774193</v>
      </c>
      <c r="L164" s="50"/>
      <c r="M164" s="3"/>
      <c r="O164" s="40">
        <v>39.817204301075265</v>
      </c>
      <c r="P164" s="41">
        <f t="shared" ref="P164:P168" si="206">$P$1</f>
        <v>1.155</v>
      </c>
      <c r="Q164" s="42">
        <f t="shared" ref="Q164:Q168" si="207">SUM(P164*O164)</f>
        <v>45.988870967741931</v>
      </c>
      <c r="R164" s="43"/>
      <c r="S164" s="43"/>
      <c r="T164" s="44">
        <v>90</v>
      </c>
      <c r="U164" s="45">
        <f t="shared" ref="U164:U168" si="208">$U$1</f>
        <v>1.155</v>
      </c>
      <c r="V164" s="44">
        <f t="shared" ref="V164:V168" si="209">SUM(U164*T164)</f>
        <v>103.95</v>
      </c>
      <c r="X164">
        <f t="shared" si="172"/>
        <v>39.817204301075265</v>
      </c>
      <c r="Y164">
        <f t="shared" si="173"/>
        <v>90</v>
      </c>
    </row>
    <row r="165" spans="1:25">
      <c r="A165" s="24" t="s">
        <v>139</v>
      </c>
      <c r="B165" s="33" t="s">
        <v>138</v>
      </c>
      <c r="C165" s="24" t="s">
        <v>64</v>
      </c>
      <c r="D165" s="25">
        <v>1</v>
      </c>
      <c r="E165" s="46">
        <f t="shared" si="201"/>
        <v>33.494999999999997</v>
      </c>
      <c r="F165" s="46">
        <f t="shared" si="202"/>
        <v>33.494999999999997</v>
      </c>
      <c r="G165" s="47"/>
      <c r="H165" s="46">
        <f t="shared" si="203"/>
        <v>11.55</v>
      </c>
      <c r="I165" s="46">
        <f t="shared" si="204"/>
        <v>11.55</v>
      </c>
      <c r="J165" s="25">
        <f t="shared" si="205"/>
        <v>45.045000000000002</v>
      </c>
      <c r="K165" s="25">
        <f t="shared" si="205"/>
        <v>45.045000000000002</v>
      </c>
      <c r="L165" s="50"/>
      <c r="M165" s="3"/>
      <c r="O165" s="40">
        <v>28.999999999999996</v>
      </c>
      <c r="P165" s="41">
        <f t="shared" si="206"/>
        <v>1.155</v>
      </c>
      <c r="Q165" s="42">
        <f t="shared" si="207"/>
        <v>33.494999999999997</v>
      </c>
      <c r="R165" s="43"/>
      <c r="S165" s="43"/>
      <c r="T165" s="44">
        <v>10</v>
      </c>
      <c r="U165" s="45">
        <f t="shared" si="208"/>
        <v>1.155</v>
      </c>
      <c r="V165" s="44">
        <f t="shared" si="209"/>
        <v>11.55</v>
      </c>
      <c r="X165">
        <f t="shared" si="172"/>
        <v>28.999999999999996</v>
      </c>
      <c r="Y165">
        <f t="shared" si="173"/>
        <v>10</v>
      </c>
    </row>
    <row r="166" spans="1:25">
      <c r="A166" s="24" t="s">
        <v>133</v>
      </c>
      <c r="B166" s="33" t="s">
        <v>132</v>
      </c>
      <c r="C166" s="24" t="s">
        <v>64</v>
      </c>
      <c r="D166" s="25">
        <v>1</v>
      </c>
      <c r="E166" s="46">
        <f t="shared" si="201"/>
        <v>35.991290322580646</v>
      </c>
      <c r="F166" s="46">
        <f t="shared" si="202"/>
        <v>35.991290322580646</v>
      </c>
      <c r="G166" s="47"/>
      <c r="H166" s="46">
        <f t="shared" si="203"/>
        <v>5.7750000000000004</v>
      </c>
      <c r="I166" s="46">
        <f t="shared" si="204"/>
        <v>5.7750000000000004</v>
      </c>
      <c r="J166" s="25">
        <f t="shared" si="205"/>
        <v>41.766290322580645</v>
      </c>
      <c r="K166" s="25">
        <f t="shared" si="205"/>
        <v>41.766290322580645</v>
      </c>
      <c r="L166" s="50"/>
      <c r="M166" s="3"/>
      <c r="O166" s="40">
        <v>31.161290322580644</v>
      </c>
      <c r="P166" s="41">
        <f t="shared" si="206"/>
        <v>1.155</v>
      </c>
      <c r="Q166" s="42">
        <f t="shared" si="207"/>
        <v>35.991290322580646</v>
      </c>
      <c r="R166" s="43"/>
      <c r="S166" s="43"/>
      <c r="T166" s="44">
        <v>5</v>
      </c>
      <c r="U166" s="45">
        <f t="shared" si="208"/>
        <v>1.155</v>
      </c>
      <c r="V166" s="44">
        <f t="shared" si="209"/>
        <v>5.7750000000000004</v>
      </c>
      <c r="X166">
        <f t="shared" si="172"/>
        <v>31.161290322580644</v>
      </c>
      <c r="Y166">
        <f t="shared" si="173"/>
        <v>5</v>
      </c>
    </row>
    <row r="167" spans="1:25">
      <c r="A167" s="24" t="s">
        <v>219</v>
      </c>
      <c r="B167" s="33" t="s">
        <v>218</v>
      </c>
      <c r="C167" s="24" t="s">
        <v>64</v>
      </c>
      <c r="D167" s="25">
        <v>1</v>
      </c>
      <c r="E167" s="46">
        <f t="shared" si="201"/>
        <v>851.29709677419351</v>
      </c>
      <c r="F167" s="46">
        <f t="shared" si="202"/>
        <v>851.29709677419351</v>
      </c>
      <c r="G167" s="47"/>
      <c r="H167" s="46">
        <f t="shared" si="203"/>
        <v>103.95</v>
      </c>
      <c r="I167" s="46">
        <f t="shared" si="204"/>
        <v>103.95</v>
      </c>
      <c r="J167" s="25">
        <f t="shared" si="205"/>
        <v>955.24709677419355</v>
      </c>
      <c r="K167" s="25">
        <f t="shared" si="205"/>
        <v>955.24709677419355</v>
      </c>
      <c r="L167" s="50"/>
      <c r="M167" s="3"/>
      <c r="O167" s="40">
        <v>737.05376344086017</v>
      </c>
      <c r="P167" s="41">
        <f t="shared" si="206"/>
        <v>1.155</v>
      </c>
      <c r="Q167" s="42">
        <f t="shared" si="207"/>
        <v>851.29709677419351</v>
      </c>
      <c r="R167" s="43"/>
      <c r="S167" s="43"/>
      <c r="T167" s="44">
        <v>90</v>
      </c>
      <c r="U167" s="45">
        <f t="shared" si="208"/>
        <v>1.155</v>
      </c>
      <c r="V167" s="44">
        <f t="shared" si="209"/>
        <v>103.95</v>
      </c>
      <c r="X167">
        <f t="shared" si="172"/>
        <v>737.05376344086017</v>
      </c>
      <c r="Y167">
        <f t="shared" si="173"/>
        <v>90</v>
      </c>
    </row>
    <row r="168" spans="1:25">
      <c r="A168" s="24" t="s">
        <v>221</v>
      </c>
      <c r="B168" s="33" t="s">
        <v>220</v>
      </c>
      <c r="C168" s="24" t="s">
        <v>64</v>
      </c>
      <c r="D168" s="25">
        <v>1</v>
      </c>
      <c r="E168" s="46">
        <f t="shared" si="201"/>
        <v>61.984999999999992</v>
      </c>
      <c r="F168" s="46">
        <f t="shared" si="202"/>
        <v>61.984999999999992</v>
      </c>
      <c r="G168" s="47"/>
      <c r="H168" s="46">
        <f t="shared" si="203"/>
        <v>11.55</v>
      </c>
      <c r="I168" s="46">
        <f t="shared" si="204"/>
        <v>11.55</v>
      </c>
      <c r="J168" s="25">
        <f t="shared" si="205"/>
        <v>73.534999999999997</v>
      </c>
      <c r="K168" s="25">
        <f t="shared" si="205"/>
        <v>73.534999999999997</v>
      </c>
      <c r="L168" s="50"/>
      <c r="M168" s="3"/>
      <c r="O168" s="40">
        <v>53.666666666666657</v>
      </c>
      <c r="P168" s="41">
        <f t="shared" si="206"/>
        <v>1.155</v>
      </c>
      <c r="Q168" s="42">
        <f t="shared" si="207"/>
        <v>61.984999999999992</v>
      </c>
      <c r="R168" s="43"/>
      <c r="S168" s="43"/>
      <c r="T168" s="44">
        <v>10</v>
      </c>
      <c r="U168" s="45">
        <f t="shared" si="208"/>
        <v>1.155</v>
      </c>
      <c r="V168" s="44">
        <f t="shared" si="209"/>
        <v>11.55</v>
      </c>
      <c r="X168">
        <f t="shared" si="172"/>
        <v>53.666666666666657</v>
      </c>
      <c r="Y168">
        <f t="shared" si="173"/>
        <v>10</v>
      </c>
    </row>
    <row r="169" spans="1:25">
      <c r="A169" s="24" t="s">
        <v>26</v>
      </c>
      <c r="B169" s="33" t="s">
        <v>26</v>
      </c>
      <c r="C169" s="24" t="s">
        <v>26</v>
      </c>
      <c r="D169" s="26"/>
      <c r="E169" s="26"/>
      <c r="F169" s="26"/>
      <c r="G169" s="24"/>
      <c r="H169" s="26"/>
      <c r="I169" s="26"/>
      <c r="J169" s="26">
        <f t="shared" si="205"/>
        <v>0</v>
      </c>
      <c r="K169" s="26">
        <f t="shared" si="205"/>
        <v>0</v>
      </c>
      <c r="L169" s="50"/>
      <c r="M169" s="3"/>
      <c r="O169" s="43"/>
      <c r="P169" s="43"/>
      <c r="Q169" s="43"/>
      <c r="R169" s="43"/>
      <c r="X169">
        <f t="shared" si="172"/>
        <v>0</v>
      </c>
      <c r="Y169">
        <f t="shared" si="173"/>
        <v>0</v>
      </c>
    </row>
    <row r="170" spans="1:25">
      <c r="A170" s="22" t="s">
        <v>26</v>
      </c>
      <c r="B170" s="32" t="s">
        <v>222</v>
      </c>
      <c r="C170" s="22" t="s">
        <v>26</v>
      </c>
      <c r="D170" s="23"/>
      <c r="E170" s="23"/>
      <c r="F170" s="23"/>
      <c r="G170" s="22"/>
      <c r="H170" s="23"/>
      <c r="I170" s="23"/>
      <c r="J170" s="23"/>
      <c r="K170" s="23"/>
      <c r="L170" s="50"/>
      <c r="M170" s="3"/>
      <c r="O170" s="43"/>
      <c r="P170" s="43"/>
      <c r="Q170" s="43"/>
      <c r="R170" s="43"/>
      <c r="X170">
        <f t="shared" si="172"/>
        <v>0</v>
      </c>
      <c r="Y170">
        <f t="shared" si="173"/>
        <v>0</v>
      </c>
    </row>
    <row r="171" spans="1:25">
      <c r="A171" s="24" t="s">
        <v>224</v>
      </c>
      <c r="B171" s="33" t="s">
        <v>223</v>
      </c>
      <c r="C171" s="24" t="s">
        <v>64</v>
      </c>
      <c r="D171" s="25">
        <v>119</v>
      </c>
      <c r="E171" s="46">
        <f>SUM(Q171)</f>
        <v>145.88257894736844</v>
      </c>
      <c r="F171" s="46">
        <f>D171*E171</f>
        <v>17360.026894736846</v>
      </c>
      <c r="G171" s="47"/>
      <c r="H171" s="46">
        <f>SUM(V171)</f>
        <v>635.25</v>
      </c>
      <c r="I171" s="46">
        <f>D171*H171</f>
        <v>75594.75</v>
      </c>
      <c r="J171" s="25">
        <f>E171+H171</f>
        <v>781.13257894736842</v>
      </c>
      <c r="K171" s="25">
        <f>F171+I171</f>
        <v>92954.776894736846</v>
      </c>
      <c r="L171" s="50"/>
      <c r="M171" s="3"/>
      <c r="O171" s="40">
        <v>126.30526315789474</v>
      </c>
      <c r="P171" s="41">
        <f>$P$1</f>
        <v>1.155</v>
      </c>
      <c r="Q171" s="42">
        <f>SUM(P171*O171)</f>
        <v>145.88257894736844</v>
      </c>
      <c r="R171" s="43"/>
      <c r="S171" s="43"/>
      <c r="T171" s="44">
        <v>550</v>
      </c>
      <c r="U171" s="45">
        <f>$U$1</f>
        <v>1.155</v>
      </c>
      <c r="V171" s="44">
        <f>SUM(U171*T171)</f>
        <v>635.25</v>
      </c>
      <c r="X171">
        <f t="shared" si="172"/>
        <v>15030.326315789474</v>
      </c>
      <c r="Y171">
        <f t="shared" si="173"/>
        <v>65450</v>
      </c>
    </row>
    <row r="172" spans="1:25">
      <c r="A172" s="22" t="s">
        <v>26</v>
      </c>
      <c r="B172" s="32" t="s">
        <v>225</v>
      </c>
      <c r="C172" s="22" t="s">
        <v>26</v>
      </c>
      <c r="D172" s="23"/>
      <c r="E172" s="23"/>
      <c r="F172" s="23"/>
      <c r="G172" s="22"/>
      <c r="H172" s="23"/>
      <c r="I172" s="23"/>
      <c r="J172" s="23"/>
      <c r="K172" s="23"/>
      <c r="L172" s="50"/>
      <c r="M172" s="3"/>
      <c r="O172" s="43"/>
      <c r="P172" s="43"/>
      <c r="Q172" s="43"/>
      <c r="R172" s="43"/>
      <c r="X172">
        <f t="shared" si="172"/>
        <v>0</v>
      </c>
      <c r="Y172">
        <f t="shared" si="173"/>
        <v>0</v>
      </c>
    </row>
    <row r="173" spans="1:25" ht="23.25">
      <c r="A173" s="24" t="s">
        <v>26</v>
      </c>
      <c r="B173" s="33" t="s">
        <v>421</v>
      </c>
      <c r="C173" s="24" t="s">
        <v>64</v>
      </c>
      <c r="D173" s="25">
        <v>14</v>
      </c>
      <c r="E173" s="46">
        <f>SUM(Q173)</f>
        <v>142.46241935483869</v>
      </c>
      <c r="F173" s="46">
        <f>D173*E173</f>
        <v>1994.4738709677417</v>
      </c>
      <c r="G173" s="47"/>
      <c r="H173" s="46">
        <f>SUM(V173)</f>
        <v>92.4</v>
      </c>
      <c r="I173" s="46">
        <f>D173*H173</f>
        <v>1293.6000000000001</v>
      </c>
      <c r="J173" s="25">
        <f t="shared" ref="J173:K175" si="210">E173+H173</f>
        <v>234.86241935483869</v>
      </c>
      <c r="K173" s="25">
        <f t="shared" si="210"/>
        <v>3288.0738709677416</v>
      </c>
      <c r="L173" s="54" t="s">
        <v>420</v>
      </c>
      <c r="M173" s="3"/>
      <c r="O173" s="40">
        <v>123.34408602150536</v>
      </c>
      <c r="P173" s="41">
        <f t="shared" ref="P173:P174" si="211">$P$1</f>
        <v>1.155</v>
      </c>
      <c r="Q173" s="42">
        <f t="shared" ref="Q173:Q174" si="212">SUM(P173*O173)</f>
        <v>142.46241935483869</v>
      </c>
      <c r="R173" s="43"/>
      <c r="S173" s="43"/>
      <c r="T173" s="44">
        <v>80</v>
      </c>
      <c r="U173" s="45">
        <f t="shared" ref="U173:U174" si="213">$U$1</f>
        <v>1.155</v>
      </c>
      <c r="V173" s="44">
        <f t="shared" ref="V173:V174" si="214">SUM(U173*T173)</f>
        <v>92.4</v>
      </c>
      <c r="X173">
        <f t="shared" si="172"/>
        <v>1726.817204301075</v>
      </c>
      <c r="Y173">
        <f t="shared" si="173"/>
        <v>1120</v>
      </c>
    </row>
    <row r="174" spans="1:25" ht="23.25">
      <c r="A174" s="24" t="s">
        <v>26</v>
      </c>
      <c r="B174" s="33" t="s">
        <v>422</v>
      </c>
      <c r="C174" s="24" t="s">
        <v>64</v>
      </c>
      <c r="D174" s="25">
        <v>2</v>
      </c>
      <c r="E174" s="46">
        <f>SUM(Q174)</f>
        <v>74.20564516129032</v>
      </c>
      <c r="F174" s="46">
        <f>D174*E174</f>
        <v>148.41129032258064</v>
      </c>
      <c r="G174" s="47"/>
      <c r="H174" s="46">
        <f>SUM(V174)</f>
        <v>103.95</v>
      </c>
      <c r="I174" s="46">
        <f>D174*H174</f>
        <v>207.9</v>
      </c>
      <c r="J174" s="25">
        <f t="shared" si="210"/>
        <v>178.15564516129032</v>
      </c>
      <c r="K174" s="25">
        <f t="shared" si="210"/>
        <v>356.31129032258065</v>
      </c>
      <c r="L174" s="54" t="s">
        <v>420</v>
      </c>
      <c r="M174" s="3"/>
      <c r="O174" s="40">
        <v>64.247311827956992</v>
      </c>
      <c r="P174" s="41">
        <f t="shared" si="211"/>
        <v>1.155</v>
      </c>
      <c r="Q174" s="42">
        <f t="shared" si="212"/>
        <v>74.20564516129032</v>
      </c>
      <c r="R174" s="43"/>
      <c r="S174" s="43"/>
      <c r="T174" s="44">
        <v>90</v>
      </c>
      <c r="U174" s="45">
        <f t="shared" si="213"/>
        <v>1.155</v>
      </c>
      <c r="V174" s="44">
        <f t="shared" si="214"/>
        <v>103.95</v>
      </c>
      <c r="X174">
        <f t="shared" si="172"/>
        <v>128.49462365591398</v>
      </c>
      <c r="Y174">
        <f t="shared" si="173"/>
        <v>180</v>
      </c>
    </row>
    <row r="175" spans="1:25">
      <c r="A175" s="8" t="s">
        <v>26</v>
      </c>
      <c r="B175" s="27" t="s">
        <v>26</v>
      </c>
      <c r="C175" s="8" t="s">
        <v>26</v>
      </c>
      <c r="D175" s="13"/>
      <c r="E175" s="13"/>
      <c r="F175" s="13"/>
      <c r="G175" s="8"/>
      <c r="H175" s="13"/>
      <c r="I175" s="13"/>
      <c r="J175" s="13">
        <f t="shared" si="210"/>
        <v>0</v>
      </c>
      <c r="K175" s="13">
        <f t="shared" si="210"/>
        <v>0</v>
      </c>
      <c r="L175" s="50"/>
      <c r="M175" s="3"/>
      <c r="O175" s="43"/>
      <c r="P175" s="43"/>
      <c r="Q175" s="43"/>
      <c r="R175" s="43"/>
      <c r="X175">
        <f t="shared" si="172"/>
        <v>0</v>
      </c>
      <c r="Y175">
        <f t="shared" si="173"/>
        <v>0</v>
      </c>
    </row>
    <row r="176" spans="1:25">
      <c r="A176" s="9" t="s">
        <v>26</v>
      </c>
      <c r="B176" s="29" t="s">
        <v>226</v>
      </c>
      <c r="C176" s="9" t="s">
        <v>26</v>
      </c>
      <c r="D176" s="16"/>
      <c r="E176" s="16"/>
      <c r="F176" s="16">
        <f>SUM(F65:F175)</f>
        <v>123258.02426035178</v>
      </c>
      <c r="G176" s="9"/>
      <c r="H176" s="16"/>
      <c r="I176" s="16">
        <f>SUM(I65:I175)</f>
        <v>128124.15</v>
      </c>
      <c r="J176" s="16"/>
      <c r="K176" s="16">
        <f>SUM(K65:K175)</f>
        <v>251382.17426035172</v>
      </c>
      <c r="L176" s="50"/>
      <c r="M176" s="3"/>
      <c r="O176" s="43"/>
      <c r="P176" s="43"/>
      <c r="Q176" s="43"/>
      <c r="R176" s="43"/>
      <c r="X176">
        <f t="shared" si="172"/>
        <v>0</v>
      </c>
      <c r="Y176">
        <f t="shared" si="173"/>
        <v>0</v>
      </c>
    </row>
    <row r="177" spans="1:25">
      <c r="A177" s="8" t="s">
        <v>26</v>
      </c>
      <c r="B177" s="27" t="s">
        <v>26</v>
      </c>
      <c r="C177" s="8" t="s">
        <v>26</v>
      </c>
      <c r="D177" s="13"/>
      <c r="E177" s="13"/>
      <c r="F177" s="13"/>
      <c r="G177" s="8"/>
      <c r="H177" s="13"/>
      <c r="I177" s="13"/>
      <c r="J177" s="13">
        <f>E177+H177</f>
        <v>0</v>
      </c>
      <c r="K177" s="13">
        <f>F177+I177</f>
        <v>0</v>
      </c>
      <c r="L177" s="50"/>
      <c r="M177" s="3"/>
      <c r="O177" s="43"/>
      <c r="P177" s="43"/>
      <c r="Q177" s="43"/>
      <c r="R177" s="43"/>
      <c r="X177">
        <f t="shared" si="172"/>
        <v>0</v>
      </c>
      <c r="Y177">
        <f t="shared" si="173"/>
        <v>0</v>
      </c>
    </row>
    <row r="178" spans="1:25">
      <c r="A178" s="9" t="s">
        <v>26</v>
      </c>
      <c r="B178" s="29" t="s">
        <v>227</v>
      </c>
      <c r="C178" s="9" t="s">
        <v>26</v>
      </c>
      <c r="D178" s="16"/>
      <c r="E178" s="16"/>
      <c r="F178" s="16"/>
      <c r="G178" s="9"/>
      <c r="H178" s="16"/>
      <c r="I178" s="16"/>
      <c r="J178" s="16"/>
      <c r="K178" s="16"/>
      <c r="L178" s="50"/>
      <c r="M178" s="3"/>
      <c r="O178" s="43"/>
      <c r="P178" s="43"/>
      <c r="Q178" s="43"/>
      <c r="R178" s="43"/>
      <c r="X178">
        <f t="shared" si="172"/>
        <v>0</v>
      </c>
      <c r="Y178">
        <f t="shared" si="173"/>
        <v>0</v>
      </c>
    </row>
    <row r="179" spans="1:25">
      <c r="A179" s="8" t="s">
        <v>26</v>
      </c>
      <c r="B179" s="27" t="s">
        <v>26</v>
      </c>
      <c r="C179" s="8" t="s">
        <v>26</v>
      </c>
      <c r="D179" s="13"/>
      <c r="E179" s="13"/>
      <c r="F179" s="13"/>
      <c r="G179" s="8"/>
      <c r="H179" s="13"/>
      <c r="I179" s="13"/>
      <c r="J179" s="13">
        <f t="shared" ref="J179:K181" si="215">E179+H179</f>
        <v>0</v>
      </c>
      <c r="K179" s="13">
        <f t="shared" si="215"/>
        <v>0</v>
      </c>
      <c r="L179" s="50"/>
      <c r="M179" s="3"/>
      <c r="O179" s="43"/>
      <c r="P179" s="43"/>
      <c r="Q179" s="43"/>
      <c r="R179" s="43"/>
      <c r="X179">
        <f t="shared" si="172"/>
        <v>0</v>
      </c>
      <c r="Y179">
        <f t="shared" si="173"/>
        <v>0</v>
      </c>
    </row>
    <row r="180" spans="1:25" ht="34.5">
      <c r="A180" s="8" t="s">
        <v>26</v>
      </c>
      <c r="B180" s="27" t="s">
        <v>228</v>
      </c>
      <c r="C180" s="8" t="s">
        <v>64</v>
      </c>
      <c r="D180" s="13">
        <v>1</v>
      </c>
      <c r="E180" s="55">
        <f>SUM(Q180)</f>
        <v>0</v>
      </c>
      <c r="F180" s="46">
        <f>D180*E180</f>
        <v>0</v>
      </c>
      <c r="G180" s="47"/>
      <c r="H180" s="46">
        <f>SUM(V180)</f>
        <v>404.25</v>
      </c>
      <c r="I180" s="46">
        <f>D180*H180</f>
        <v>404.25</v>
      </c>
      <c r="J180" s="13">
        <f t="shared" si="215"/>
        <v>404.25</v>
      </c>
      <c r="K180" s="13">
        <f t="shared" si="215"/>
        <v>404.25</v>
      </c>
      <c r="L180" s="50" t="s">
        <v>423</v>
      </c>
      <c r="M180" s="3"/>
      <c r="O180" s="40"/>
      <c r="P180" s="41">
        <f>$P$1</f>
        <v>1.155</v>
      </c>
      <c r="Q180" s="42">
        <f>SUM(P180*O180)</f>
        <v>0</v>
      </c>
      <c r="R180" s="43"/>
      <c r="S180" s="43"/>
      <c r="T180" s="44">
        <v>350</v>
      </c>
      <c r="U180" s="45">
        <f>$U$1</f>
        <v>1.155</v>
      </c>
      <c r="V180" s="44">
        <f>SUM(U180*T180)</f>
        <v>404.25</v>
      </c>
      <c r="X180">
        <f t="shared" si="172"/>
        <v>0</v>
      </c>
      <c r="Y180">
        <f t="shared" si="173"/>
        <v>350</v>
      </c>
    </row>
    <row r="181" spans="1:25">
      <c r="A181" s="8" t="s">
        <v>26</v>
      </c>
      <c r="B181" s="27" t="s">
        <v>26</v>
      </c>
      <c r="C181" s="8" t="s">
        <v>26</v>
      </c>
      <c r="D181" s="13"/>
      <c r="E181" s="13"/>
      <c r="F181" s="13"/>
      <c r="G181" s="8"/>
      <c r="H181" s="13"/>
      <c r="I181" s="13"/>
      <c r="J181" s="13">
        <f t="shared" si="215"/>
        <v>0</v>
      </c>
      <c r="K181" s="13">
        <f t="shared" si="215"/>
        <v>0</v>
      </c>
      <c r="L181" s="50"/>
      <c r="M181" s="3"/>
      <c r="O181" s="43"/>
      <c r="P181" s="43"/>
      <c r="Q181" s="43"/>
      <c r="R181" s="43"/>
      <c r="X181">
        <f t="shared" si="172"/>
        <v>0</v>
      </c>
      <c r="Y181">
        <f t="shared" si="173"/>
        <v>0</v>
      </c>
    </row>
    <row r="182" spans="1:25">
      <c r="A182" s="9" t="s">
        <v>26</v>
      </c>
      <c r="B182" s="29" t="s">
        <v>229</v>
      </c>
      <c r="C182" s="9" t="s">
        <v>26</v>
      </c>
      <c r="D182" s="16"/>
      <c r="E182" s="16"/>
      <c r="F182" s="16">
        <f>SUM(F179:F181)</f>
        <v>0</v>
      </c>
      <c r="G182" s="9"/>
      <c r="H182" s="16"/>
      <c r="I182" s="16">
        <f>SUM(I179:I181)</f>
        <v>404.25</v>
      </c>
      <c r="J182" s="16"/>
      <c r="K182" s="16">
        <f>SUM(K179:K181)</f>
        <v>404.25</v>
      </c>
      <c r="L182" s="50"/>
      <c r="M182" s="3"/>
      <c r="O182" s="43"/>
      <c r="P182" s="43"/>
      <c r="Q182" s="43"/>
      <c r="R182" s="43"/>
      <c r="X182">
        <f t="shared" si="172"/>
        <v>0</v>
      </c>
      <c r="Y182">
        <f t="shared" si="173"/>
        <v>0</v>
      </c>
    </row>
    <row r="183" spans="1:25">
      <c r="A183" s="8" t="s">
        <v>26</v>
      </c>
      <c r="B183" s="27" t="s">
        <v>26</v>
      </c>
      <c r="C183" s="8" t="s">
        <v>26</v>
      </c>
      <c r="D183" s="13"/>
      <c r="E183" s="13"/>
      <c r="F183" s="13"/>
      <c r="G183" s="8"/>
      <c r="H183" s="13"/>
      <c r="I183" s="13"/>
      <c r="J183" s="13">
        <f>E183+H183</f>
        <v>0</v>
      </c>
      <c r="K183" s="13">
        <f>F183+I183</f>
        <v>0</v>
      </c>
      <c r="L183" s="50"/>
      <c r="M183" s="3"/>
      <c r="O183" s="43"/>
      <c r="P183" s="43"/>
      <c r="Q183" s="43"/>
      <c r="R183" s="43"/>
      <c r="X183">
        <f t="shared" si="172"/>
        <v>0</v>
      </c>
      <c r="Y183">
        <f t="shared" si="173"/>
        <v>0</v>
      </c>
    </row>
    <row r="184" spans="1:25">
      <c r="A184" s="9" t="s">
        <v>26</v>
      </c>
      <c r="B184" s="29" t="s">
        <v>230</v>
      </c>
      <c r="C184" s="9" t="s">
        <v>26</v>
      </c>
      <c r="D184" s="16"/>
      <c r="E184" s="16"/>
      <c r="F184" s="16"/>
      <c r="G184" s="9"/>
      <c r="H184" s="16"/>
      <c r="I184" s="16"/>
      <c r="J184" s="16"/>
      <c r="K184" s="16"/>
      <c r="L184" s="50"/>
      <c r="M184" s="3"/>
      <c r="O184" s="43"/>
      <c r="P184" s="43"/>
      <c r="Q184" s="43"/>
      <c r="R184" s="43"/>
      <c r="X184">
        <f t="shared" si="172"/>
        <v>0</v>
      </c>
      <c r="Y184">
        <f t="shared" si="173"/>
        <v>0</v>
      </c>
    </row>
    <row r="185" spans="1:25">
      <c r="A185" s="8" t="s">
        <v>26</v>
      </c>
      <c r="B185" s="27" t="s">
        <v>26</v>
      </c>
      <c r="C185" s="8" t="s">
        <v>26</v>
      </c>
      <c r="D185" s="13"/>
      <c r="E185" s="13"/>
      <c r="F185" s="13"/>
      <c r="G185" s="8"/>
      <c r="H185" s="13"/>
      <c r="I185" s="13"/>
      <c r="J185" s="13">
        <f>E185+H185</f>
        <v>0</v>
      </c>
      <c r="K185" s="13">
        <f>F185+I185</f>
        <v>0</v>
      </c>
      <c r="L185" s="50"/>
      <c r="M185" s="3"/>
      <c r="O185" s="43"/>
      <c r="P185" s="43"/>
      <c r="Q185" s="43"/>
      <c r="R185" s="43"/>
      <c r="X185">
        <f t="shared" si="172"/>
        <v>0</v>
      </c>
      <c r="Y185">
        <f t="shared" si="173"/>
        <v>0</v>
      </c>
    </row>
    <row r="186" spans="1:25">
      <c r="A186" s="19" t="s">
        <v>26</v>
      </c>
      <c r="B186" s="31" t="s">
        <v>231</v>
      </c>
      <c r="C186" s="19" t="s">
        <v>26</v>
      </c>
      <c r="D186" s="20"/>
      <c r="E186" s="20"/>
      <c r="F186" s="20"/>
      <c r="G186" s="19"/>
      <c r="H186" s="20"/>
      <c r="I186" s="20"/>
      <c r="J186" s="20"/>
      <c r="K186" s="20"/>
      <c r="L186" s="50"/>
      <c r="M186" s="3"/>
      <c r="O186" s="43"/>
      <c r="P186" s="43"/>
      <c r="Q186" s="43"/>
      <c r="R186" s="43"/>
      <c r="X186">
        <f t="shared" si="172"/>
        <v>0</v>
      </c>
      <c r="Y186">
        <f t="shared" si="173"/>
        <v>0</v>
      </c>
    </row>
    <row r="187" spans="1:25">
      <c r="A187" s="17" t="s">
        <v>26</v>
      </c>
      <c r="B187" s="30" t="s">
        <v>232</v>
      </c>
      <c r="C187" s="17" t="s">
        <v>74</v>
      </c>
      <c r="D187" s="18">
        <v>2100</v>
      </c>
      <c r="E187" s="46">
        <f t="shared" ref="E187:E194" si="216">SUM(Q187)</f>
        <v>13.495482000000001</v>
      </c>
      <c r="F187" s="46">
        <f t="shared" ref="F187:F194" si="217">D187*E187</f>
        <v>28340.512200000001</v>
      </c>
      <c r="G187" s="47"/>
      <c r="H187" s="46">
        <f t="shared" ref="H187:H194" si="218">SUM(V187)</f>
        <v>25.41</v>
      </c>
      <c r="I187" s="46">
        <f t="shared" ref="I187:I194" si="219">D187*H187</f>
        <v>53361</v>
      </c>
      <c r="J187" s="18">
        <f t="shared" ref="J187:K194" si="220">E187+H187</f>
        <v>38.905481999999999</v>
      </c>
      <c r="K187" s="18">
        <f t="shared" si="220"/>
        <v>81701.512199999997</v>
      </c>
      <c r="L187" s="50"/>
      <c r="M187" s="3"/>
      <c r="O187" s="40">
        <v>11.6844</v>
      </c>
      <c r="P187" s="60">
        <f t="shared" ref="P187:P190" si="221">$P$1</f>
        <v>1.155</v>
      </c>
      <c r="Q187" s="42">
        <f t="shared" ref="Q187:Q194" si="222">SUM(P187*O187)</f>
        <v>13.495482000000001</v>
      </c>
      <c r="R187" s="43"/>
      <c r="S187" s="43"/>
      <c r="T187" s="44">
        <v>22</v>
      </c>
      <c r="U187" s="45">
        <f t="shared" ref="U187:U194" si="223">$U$1</f>
        <v>1.155</v>
      </c>
      <c r="V187" s="44">
        <f t="shared" ref="V187:V194" si="224">SUM(U187*T187)</f>
        <v>25.41</v>
      </c>
      <c r="X187">
        <f t="shared" si="172"/>
        <v>24537.24</v>
      </c>
      <c r="Y187">
        <f t="shared" si="173"/>
        <v>46200</v>
      </c>
    </row>
    <row r="188" spans="1:25">
      <c r="A188" s="17" t="s">
        <v>26</v>
      </c>
      <c r="B188" s="30" t="s">
        <v>233</v>
      </c>
      <c r="C188" s="17" t="s">
        <v>74</v>
      </c>
      <c r="D188" s="18">
        <v>3240</v>
      </c>
      <c r="E188" s="46">
        <f t="shared" si="216"/>
        <v>22.048026000000004</v>
      </c>
      <c r="F188" s="46">
        <f t="shared" si="217"/>
        <v>71435.604240000015</v>
      </c>
      <c r="G188" s="47"/>
      <c r="H188" s="46">
        <f t="shared" si="218"/>
        <v>25.41</v>
      </c>
      <c r="I188" s="46">
        <f t="shared" si="219"/>
        <v>82328.399999999994</v>
      </c>
      <c r="J188" s="18">
        <f t="shared" si="220"/>
        <v>47.458026000000004</v>
      </c>
      <c r="K188" s="18">
        <f t="shared" si="220"/>
        <v>153764.00424000001</v>
      </c>
      <c r="L188" s="50"/>
      <c r="M188" s="3"/>
      <c r="O188" s="40">
        <v>19.089200000000002</v>
      </c>
      <c r="P188" s="60">
        <f t="shared" si="221"/>
        <v>1.155</v>
      </c>
      <c r="Q188" s="42">
        <f t="shared" si="222"/>
        <v>22.048026000000004</v>
      </c>
      <c r="R188" s="43"/>
      <c r="S188" s="43"/>
      <c r="T188" s="44">
        <v>22</v>
      </c>
      <c r="U188" s="45">
        <f t="shared" si="223"/>
        <v>1.155</v>
      </c>
      <c r="V188" s="44">
        <f t="shared" si="224"/>
        <v>25.41</v>
      </c>
      <c r="X188">
        <f t="shared" si="172"/>
        <v>61849.008000000009</v>
      </c>
      <c r="Y188">
        <f t="shared" si="173"/>
        <v>71280</v>
      </c>
    </row>
    <row r="189" spans="1:25">
      <c r="A189" s="17" t="s">
        <v>26</v>
      </c>
      <c r="B189" s="30" t="s">
        <v>234</v>
      </c>
      <c r="C189" s="17" t="s">
        <v>74</v>
      </c>
      <c r="D189" s="18">
        <v>1340</v>
      </c>
      <c r="E189" s="46">
        <f t="shared" si="216"/>
        <v>22.120097999999999</v>
      </c>
      <c r="F189" s="46">
        <f t="shared" si="217"/>
        <v>29640.93132</v>
      </c>
      <c r="G189" s="47"/>
      <c r="H189" s="46">
        <f t="shared" si="218"/>
        <v>25.41</v>
      </c>
      <c r="I189" s="46">
        <f t="shared" si="219"/>
        <v>34049.4</v>
      </c>
      <c r="J189" s="18">
        <f t="shared" si="220"/>
        <v>47.530097999999995</v>
      </c>
      <c r="K189" s="18">
        <f t="shared" si="220"/>
        <v>63690.331319999998</v>
      </c>
      <c r="L189" s="50"/>
      <c r="M189" s="3"/>
      <c r="O189" s="40">
        <v>19.151599999999998</v>
      </c>
      <c r="P189" s="60">
        <f t="shared" si="221"/>
        <v>1.155</v>
      </c>
      <c r="Q189" s="42">
        <f t="shared" si="222"/>
        <v>22.120097999999999</v>
      </c>
      <c r="R189" s="43"/>
      <c r="S189" s="43"/>
      <c r="T189" s="44">
        <v>22</v>
      </c>
      <c r="U189" s="45">
        <f t="shared" si="223"/>
        <v>1.155</v>
      </c>
      <c r="V189" s="44">
        <f t="shared" si="224"/>
        <v>25.41</v>
      </c>
      <c r="X189">
        <f t="shared" si="172"/>
        <v>25663.143999999997</v>
      </c>
      <c r="Y189">
        <f t="shared" si="173"/>
        <v>29480</v>
      </c>
    </row>
    <row r="190" spans="1:25">
      <c r="A190" s="8" t="s">
        <v>26</v>
      </c>
      <c r="B190" s="27" t="s">
        <v>235</v>
      </c>
      <c r="C190" s="8" t="s">
        <v>74</v>
      </c>
      <c r="D190" s="13">
        <v>450</v>
      </c>
      <c r="E190" s="46">
        <f t="shared" si="216"/>
        <v>36.744708000000003</v>
      </c>
      <c r="F190" s="46">
        <f t="shared" si="217"/>
        <v>16535.118600000002</v>
      </c>
      <c r="G190" s="47"/>
      <c r="H190" s="46">
        <f t="shared" si="218"/>
        <v>25.41</v>
      </c>
      <c r="I190" s="46">
        <f t="shared" si="219"/>
        <v>11434.5</v>
      </c>
      <c r="J190" s="13">
        <f t="shared" si="220"/>
        <v>62.154707999999999</v>
      </c>
      <c r="K190" s="13">
        <f t="shared" si="220"/>
        <v>27969.618600000002</v>
      </c>
      <c r="L190" s="50"/>
      <c r="M190" s="3"/>
      <c r="O190" s="40">
        <v>31.813600000000001</v>
      </c>
      <c r="P190" s="60">
        <f t="shared" si="221"/>
        <v>1.155</v>
      </c>
      <c r="Q190" s="42">
        <f t="shared" si="222"/>
        <v>36.744708000000003</v>
      </c>
      <c r="R190" s="43"/>
      <c r="S190" s="43"/>
      <c r="T190" s="44">
        <v>22</v>
      </c>
      <c r="U190" s="45">
        <f t="shared" si="223"/>
        <v>1.155</v>
      </c>
      <c r="V190" s="44">
        <f t="shared" si="224"/>
        <v>25.41</v>
      </c>
      <c r="X190">
        <f t="shared" si="172"/>
        <v>14316.12</v>
      </c>
      <c r="Y190">
        <f t="shared" si="173"/>
        <v>9900</v>
      </c>
    </row>
    <row r="191" spans="1:25">
      <c r="A191" s="8" t="s">
        <v>26</v>
      </c>
      <c r="B191" s="27" t="s">
        <v>236</v>
      </c>
      <c r="C191" s="8" t="s">
        <v>74</v>
      </c>
      <c r="D191" s="13">
        <v>90</v>
      </c>
      <c r="E191" s="46">
        <f t="shared" si="216"/>
        <v>58.066008000000004</v>
      </c>
      <c r="F191" s="46">
        <f t="shared" si="217"/>
        <v>5225.9407200000005</v>
      </c>
      <c r="G191" s="47"/>
      <c r="H191" s="46">
        <f t="shared" si="218"/>
        <v>28.875</v>
      </c>
      <c r="I191" s="46">
        <f t="shared" si="219"/>
        <v>2598.75</v>
      </c>
      <c r="J191" s="13">
        <f t="shared" si="220"/>
        <v>86.941008000000011</v>
      </c>
      <c r="K191" s="13">
        <f t="shared" si="220"/>
        <v>7824.6907200000005</v>
      </c>
      <c r="L191" s="50"/>
      <c r="M191" s="3"/>
      <c r="O191" s="40">
        <v>50.273600000000002</v>
      </c>
      <c r="P191" s="41">
        <f t="shared" ref="P191:P194" si="225">$P$1</f>
        <v>1.155</v>
      </c>
      <c r="Q191" s="42">
        <f t="shared" si="222"/>
        <v>58.066008000000004</v>
      </c>
      <c r="R191" s="43"/>
      <c r="S191" s="43"/>
      <c r="T191" s="44">
        <v>25</v>
      </c>
      <c r="U191" s="45">
        <f t="shared" si="223"/>
        <v>1.155</v>
      </c>
      <c r="V191" s="44">
        <f t="shared" si="224"/>
        <v>28.875</v>
      </c>
      <c r="X191">
        <f t="shared" si="172"/>
        <v>4524.6239999999998</v>
      </c>
      <c r="Y191">
        <f t="shared" si="173"/>
        <v>2250</v>
      </c>
    </row>
    <row r="192" spans="1:25">
      <c r="A192" s="8" t="s">
        <v>26</v>
      </c>
      <c r="B192" s="27" t="s">
        <v>237</v>
      </c>
      <c r="C192" s="8" t="s">
        <v>74</v>
      </c>
      <c r="D192" s="13">
        <v>10</v>
      </c>
      <c r="E192" s="46">
        <f t="shared" si="216"/>
        <v>86.858772000000002</v>
      </c>
      <c r="F192" s="46">
        <f t="shared" si="217"/>
        <v>868.58771999999999</v>
      </c>
      <c r="G192" s="47"/>
      <c r="H192" s="46">
        <f t="shared" si="218"/>
        <v>28.875</v>
      </c>
      <c r="I192" s="46">
        <f t="shared" si="219"/>
        <v>288.75</v>
      </c>
      <c r="J192" s="13">
        <f t="shared" si="220"/>
        <v>115.733772</v>
      </c>
      <c r="K192" s="13">
        <f t="shared" si="220"/>
        <v>1157.33772</v>
      </c>
      <c r="L192" s="50"/>
      <c r="M192" s="3"/>
      <c r="O192" s="40">
        <v>75.202399999999997</v>
      </c>
      <c r="P192" s="41">
        <f t="shared" si="225"/>
        <v>1.155</v>
      </c>
      <c r="Q192" s="42">
        <f t="shared" si="222"/>
        <v>86.858772000000002</v>
      </c>
      <c r="R192" s="43"/>
      <c r="S192" s="43"/>
      <c r="T192" s="44">
        <v>25</v>
      </c>
      <c r="U192" s="45">
        <f t="shared" si="223"/>
        <v>1.155</v>
      </c>
      <c r="V192" s="44">
        <f t="shared" si="224"/>
        <v>28.875</v>
      </c>
      <c r="X192">
        <f t="shared" si="172"/>
        <v>752.024</v>
      </c>
      <c r="Y192">
        <f t="shared" si="173"/>
        <v>250</v>
      </c>
    </row>
    <row r="193" spans="1:25">
      <c r="A193" s="8" t="s">
        <v>26</v>
      </c>
      <c r="B193" s="27" t="s">
        <v>238</v>
      </c>
      <c r="C193" s="8" t="s">
        <v>74</v>
      </c>
      <c r="D193" s="13">
        <v>140</v>
      </c>
      <c r="E193" s="46">
        <f t="shared" si="216"/>
        <v>141.26112000000001</v>
      </c>
      <c r="F193" s="46">
        <f t="shared" si="217"/>
        <v>19776.556800000002</v>
      </c>
      <c r="G193" s="47"/>
      <c r="H193" s="46">
        <f t="shared" si="218"/>
        <v>32.340000000000003</v>
      </c>
      <c r="I193" s="46">
        <f t="shared" si="219"/>
        <v>4527.6000000000004</v>
      </c>
      <c r="J193" s="13">
        <f t="shared" si="220"/>
        <v>173.60112000000001</v>
      </c>
      <c r="K193" s="13">
        <f t="shared" si="220"/>
        <v>24304.156800000004</v>
      </c>
      <c r="L193" s="50"/>
      <c r="M193" s="3"/>
      <c r="O193" s="40">
        <v>122.304</v>
      </c>
      <c r="P193" s="60">
        <f t="shared" si="225"/>
        <v>1.155</v>
      </c>
      <c r="Q193" s="42">
        <f t="shared" si="222"/>
        <v>141.26112000000001</v>
      </c>
      <c r="R193" s="43"/>
      <c r="S193" s="43"/>
      <c r="T193" s="44">
        <v>28</v>
      </c>
      <c r="U193" s="45">
        <f t="shared" si="223"/>
        <v>1.155</v>
      </c>
      <c r="V193" s="44">
        <f t="shared" si="224"/>
        <v>32.340000000000003</v>
      </c>
      <c r="X193">
        <f t="shared" si="172"/>
        <v>17122.560000000001</v>
      </c>
      <c r="Y193">
        <f t="shared" si="173"/>
        <v>3920</v>
      </c>
    </row>
    <row r="194" spans="1:25">
      <c r="A194" s="8" t="s">
        <v>26</v>
      </c>
      <c r="B194" s="27" t="s">
        <v>239</v>
      </c>
      <c r="C194" s="8" t="s">
        <v>74</v>
      </c>
      <c r="D194" s="13">
        <v>10</v>
      </c>
      <c r="E194" s="46">
        <f t="shared" si="216"/>
        <v>229.64541600000001</v>
      </c>
      <c r="F194" s="46">
        <f t="shared" si="217"/>
        <v>2296.4541600000002</v>
      </c>
      <c r="G194" s="47"/>
      <c r="H194" s="46">
        <f t="shared" si="218"/>
        <v>34.65</v>
      </c>
      <c r="I194" s="46">
        <f t="shared" si="219"/>
        <v>346.5</v>
      </c>
      <c r="J194" s="13">
        <f t="shared" si="220"/>
        <v>264.29541599999999</v>
      </c>
      <c r="K194" s="13">
        <f t="shared" si="220"/>
        <v>2642.9541600000002</v>
      </c>
      <c r="L194" s="50"/>
      <c r="M194" s="3"/>
      <c r="O194" s="40">
        <v>198.8272</v>
      </c>
      <c r="P194" s="41">
        <f t="shared" si="225"/>
        <v>1.155</v>
      </c>
      <c r="Q194" s="42">
        <f t="shared" si="222"/>
        <v>229.64541600000001</v>
      </c>
      <c r="R194" s="43"/>
      <c r="S194" s="43"/>
      <c r="T194" s="44">
        <v>30</v>
      </c>
      <c r="U194" s="45">
        <f t="shared" si="223"/>
        <v>1.155</v>
      </c>
      <c r="V194" s="44">
        <f t="shared" si="224"/>
        <v>34.65</v>
      </c>
      <c r="X194">
        <f t="shared" si="172"/>
        <v>1988.2719999999999</v>
      </c>
      <c r="Y194">
        <f t="shared" si="173"/>
        <v>300</v>
      </c>
    </row>
    <row r="195" spans="1:25">
      <c r="A195" s="19" t="s">
        <v>26</v>
      </c>
      <c r="B195" s="31" t="s">
        <v>240</v>
      </c>
      <c r="C195" s="19" t="s">
        <v>26</v>
      </c>
      <c r="D195" s="20"/>
      <c r="E195" s="20"/>
      <c r="F195" s="20"/>
      <c r="G195" s="19"/>
      <c r="H195" s="20"/>
      <c r="I195" s="20"/>
      <c r="J195" s="20"/>
      <c r="K195" s="20"/>
      <c r="L195" s="50"/>
      <c r="M195" s="3"/>
      <c r="O195" s="43"/>
      <c r="P195" s="43"/>
      <c r="Q195" s="43"/>
      <c r="R195" s="43"/>
      <c r="X195">
        <f t="shared" si="172"/>
        <v>0</v>
      </c>
      <c r="Y195">
        <f t="shared" si="173"/>
        <v>0</v>
      </c>
    </row>
    <row r="196" spans="1:25" ht="23.25">
      <c r="A196" s="8" t="s">
        <v>26</v>
      </c>
      <c r="B196" s="27" t="s">
        <v>241</v>
      </c>
      <c r="C196" s="8" t="s">
        <v>74</v>
      </c>
      <c r="D196" s="13">
        <v>400</v>
      </c>
      <c r="E196" s="46">
        <f>SUM(Q196)</f>
        <v>7.3812007500000005</v>
      </c>
      <c r="F196" s="46">
        <f>D196*E196</f>
        <v>2952.4803000000002</v>
      </c>
      <c r="G196" s="47"/>
      <c r="H196" s="46">
        <f>SUM(V196)</f>
        <v>25.41</v>
      </c>
      <c r="I196" s="46">
        <f>D196*H196</f>
        <v>10164</v>
      </c>
      <c r="J196" s="13">
        <f>E196+H196</f>
        <v>32.791200750000002</v>
      </c>
      <c r="K196" s="13">
        <f>F196+I196</f>
        <v>13116.480299999999</v>
      </c>
      <c r="L196" s="50"/>
      <c r="M196" s="3"/>
      <c r="O196" s="40">
        <f>SUM([2]List1!$E$113)</f>
        <v>6.3906499999999999</v>
      </c>
      <c r="P196" s="41">
        <f>$P$1</f>
        <v>1.155</v>
      </c>
      <c r="Q196" s="42">
        <f>SUM(P196*O196)</f>
        <v>7.3812007500000005</v>
      </c>
      <c r="R196" s="43"/>
      <c r="S196" s="43"/>
      <c r="T196" s="44">
        <v>22</v>
      </c>
      <c r="U196" s="45">
        <f>$U$1</f>
        <v>1.155</v>
      </c>
      <c r="V196" s="44">
        <f>SUM(U196*T196)</f>
        <v>25.41</v>
      </c>
      <c r="X196">
        <f t="shared" si="172"/>
        <v>2556.2599999999998</v>
      </c>
      <c r="Y196">
        <f t="shared" si="173"/>
        <v>8800</v>
      </c>
    </row>
    <row r="197" spans="1:25" ht="36.75">
      <c r="A197" s="19" t="s">
        <v>26</v>
      </c>
      <c r="B197" s="31" t="s">
        <v>242</v>
      </c>
      <c r="C197" s="19" t="s">
        <v>26</v>
      </c>
      <c r="D197" s="20"/>
      <c r="E197" s="20"/>
      <c r="F197" s="20"/>
      <c r="G197" s="19"/>
      <c r="H197" s="20"/>
      <c r="I197" s="20"/>
      <c r="J197" s="20"/>
      <c r="K197" s="20"/>
      <c r="L197" s="50"/>
      <c r="M197" s="3"/>
      <c r="O197" s="43"/>
      <c r="P197" s="43"/>
      <c r="Q197" s="43"/>
      <c r="R197" s="43"/>
      <c r="X197">
        <f t="shared" si="172"/>
        <v>0</v>
      </c>
      <c r="Y197">
        <f t="shared" si="173"/>
        <v>0</v>
      </c>
    </row>
    <row r="198" spans="1:25">
      <c r="A198" s="8" t="s">
        <v>26</v>
      </c>
      <c r="B198" s="27" t="s">
        <v>243</v>
      </c>
      <c r="C198" s="8" t="s">
        <v>74</v>
      </c>
      <c r="D198" s="13">
        <v>15</v>
      </c>
      <c r="E198" s="46">
        <f>SUM(Q198)</f>
        <v>37.827289499999999</v>
      </c>
      <c r="F198" s="46">
        <f>D198*E198</f>
        <v>567.40934249999998</v>
      </c>
      <c r="G198" s="47"/>
      <c r="H198" s="46">
        <f>SUM(V198)</f>
        <v>28.875</v>
      </c>
      <c r="I198" s="46">
        <f>D198*H198</f>
        <v>433.125</v>
      </c>
      <c r="J198" s="13">
        <f>E198+H198</f>
        <v>66.702289500000006</v>
      </c>
      <c r="K198" s="13">
        <f>F198+I198</f>
        <v>1000.5343425</v>
      </c>
      <c r="L198" s="50"/>
      <c r="M198" s="3"/>
      <c r="O198" s="40">
        <f>SUM([2]List1!$E$114)</f>
        <v>32.750900000000001</v>
      </c>
      <c r="P198" s="41">
        <f>$P$1</f>
        <v>1.155</v>
      </c>
      <c r="Q198" s="42">
        <f>SUM(P198*O198)</f>
        <v>37.827289499999999</v>
      </c>
      <c r="R198" s="43"/>
      <c r="S198" s="43"/>
      <c r="T198" s="44">
        <v>25</v>
      </c>
      <c r="U198" s="45">
        <f>$U$1</f>
        <v>1.155</v>
      </c>
      <c r="V198" s="44">
        <f>SUM(U198*T198)</f>
        <v>28.875</v>
      </c>
      <c r="X198">
        <f t="shared" si="172"/>
        <v>491.26350000000002</v>
      </c>
      <c r="Y198">
        <f t="shared" si="173"/>
        <v>375</v>
      </c>
    </row>
    <row r="199" spans="1:25">
      <c r="A199" s="19" t="s">
        <v>26</v>
      </c>
      <c r="B199" s="31" t="s">
        <v>231</v>
      </c>
      <c r="C199" s="19" t="s">
        <v>26</v>
      </c>
      <c r="D199" s="20"/>
      <c r="E199" s="20"/>
      <c r="F199" s="20"/>
      <c r="G199" s="19"/>
      <c r="H199" s="20"/>
      <c r="I199" s="20"/>
      <c r="J199" s="20"/>
      <c r="K199" s="20"/>
      <c r="L199" s="50"/>
      <c r="M199" s="3"/>
      <c r="O199" s="43"/>
      <c r="P199" s="43"/>
      <c r="Q199" s="43"/>
      <c r="R199" s="43"/>
      <c r="X199">
        <f t="shared" si="172"/>
        <v>0</v>
      </c>
      <c r="Y199">
        <f t="shared" si="173"/>
        <v>0</v>
      </c>
    </row>
    <row r="200" spans="1:25">
      <c r="A200" s="8" t="s">
        <v>26</v>
      </c>
      <c r="B200" s="27" t="s">
        <v>244</v>
      </c>
      <c r="C200" s="8" t="s">
        <v>74</v>
      </c>
      <c r="D200" s="13">
        <v>510</v>
      </c>
      <c r="E200" s="46">
        <f t="shared" ref="E200:E202" si="226">SUM(Q200)</f>
        <v>10.108098</v>
      </c>
      <c r="F200" s="46">
        <f t="shared" ref="F200:F202" si="227">D200*E200</f>
        <v>5155.1299799999997</v>
      </c>
      <c r="G200" s="47"/>
      <c r="H200" s="46">
        <f t="shared" ref="H200:H202" si="228">SUM(V200)</f>
        <v>25.41</v>
      </c>
      <c r="I200" s="46">
        <f t="shared" ref="I200:I202" si="229">D200*H200</f>
        <v>12959.1</v>
      </c>
      <c r="J200" s="13">
        <f t="shared" ref="J200:K202" si="230">E200+H200</f>
        <v>35.518098000000002</v>
      </c>
      <c r="K200" s="13">
        <f t="shared" si="230"/>
        <v>18114.22998</v>
      </c>
      <c r="L200" s="50"/>
      <c r="M200" s="3"/>
      <c r="O200" s="40">
        <v>8.7515999999999998</v>
      </c>
      <c r="P200" s="41">
        <f t="shared" ref="P200:P202" si="231">$P$1</f>
        <v>1.155</v>
      </c>
      <c r="Q200" s="42">
        <f t="shared" ref="Q200:Q202" si="232">SUM(P200*O200)</f>
        <v>10.108098</v>
      </c>
      <c r="R200" s="43"/>
      <c r="S200" s="43"/>
      <c r="T200" s="44">
        <v>22</v>
      </c>
      <c r="U200" s="45">
        <f t="shared" ref="U200:U202" si="233">$U$1</f>
        <v>1.155</v>
      </c>
      <c r="V200" s="44">
        <f t="shared" ref="V200:V202" si="234">SUM(U200*T200)</f>
        <v>25.41</v>
      </c>
      <c r="X200">
        <f t="shared" si="172"/>
        <v>4463.3159999999998</v>
      </c>
      <c r="Y200">
        <f t="shared" si="173"/>
        <v>11220</v>
      </c>
    </row>
    <row r="201" spans="1:25">
      <c r="A201" s="8" t="s">
        <v>26</v>
      </c>
      <c r="B201" s="27" t="s">
        <v>245</v>
      </c>
      <c r="C201" s="8" t="s">
        <v>74</v>
      </c>
      <c r="D201" s="13">
        <v>188</v>
      </c>
      <c r="E201" s="46">
        <f t="shared" si="226"/>
        <v>13.495482000000001</v>
      </c>
      <c r="F201" s="46">
        <f t="shared" si="227"/>
        <v>2537.1506160000004</v>
      </c>
      <c r="G201" s="47"/>
      <c r="H201" s="46">
        <f t="shared" si="228"/>
        <v>25.41</v>
      </c>
      <c r="I201" s="46">
        <f t="shared" si="229"/>
        <v>4777.08</v>
      </c>
      <c r="J201" s="13">
        <f t="shared" si="230"/>
        <v>38.905481999999999</v>
      </c>
      <c r="K201" s="13">
        <f t="shared" si="230"/>
        <v>7314.2306160000007</v>
      </c>
      <c r="L201" s="50"/>
      <c r="M201" s="3"/>
      <c r="O201" s="40">
        <v>11.6844</v>
      </c>
      <c r="P201" s="41">
        <f t="shared" si="231"/>
        <v>1.155</v>
      </c>
      <c r="Q201" s="42">
        <f t="shared" si="232"/>
        <v>13.495482000000001</v>
      </c>
      <c r="R201" s="43"/>
      <c r="S201" s="43"/>
      <c r="T201" s="44">
        <v>22</v>
      </c>
      <c r="U201" s="45">
        <f t="shared" si="233"/>
        <v>1.155</v>
      </c>
      <c r="V201" s="44">
        <f t="shared" si="234"/>
        <v>25.41</v>
      </c>
      <c r="X201">
        <f t="shared" si="172"/>
        <v>2196.6671999999999</v>
      </c>
      <c r="Y201">
        <f t="shared" si="173"/>
        <v>4136</v>
      </c>
    </row>
    <row r="202" spans="1:25">
      <c r="A202" s="8" t="s">
        <v>26</v>
      </c>
      <c r="B202" s="27" t="s">
        <v>246</v>
      </c>
      <c r="C202" s="8" t="s">
        <v>74</v>
      </c>
      <c r="D202" s="13">
        <v>320</v>
      </c>
      <c r="E202" s="46">
        <f t="shared" si="226"/>
        <v>22.120097999999999</v>
      </c>
      <c r="F202" s="46">
        <f t="shared" si="227"/>
        <v>7078.4313599999996</v>
      </c>
      <c r="G202" s="47"/>
      <c r="H202" s="46">
        <f t="shared" si="228"/>
        <v>25.41</v>
      </c>
      <c r="I202" s="46">
        <f t="shared" si="229"/>
        <v>8131.2</v>
      </c>
      <c r="J202" s="13">
        <f t="shared" si="230"/>
        <v>47.530097999999995</v>
      </c>
      <c r="K202" s="13">
        <f t="shared" si="230"/>
        <v>15209.631359999999</v>
      </c>
      <c r="L202" s="50"/>
      <c r="M202" s="3"/>
      <c r="O202" s="40">
        <v>19.151599999999998</v>
      </c>
      <c r="P202" s="41">
        <f t="shared" si="231"/>
        <v>1.155</v>
      </c>
      <c r="Q202" s="42">
        <f t="shared" si="232"/>
        <v>22.120097999999999</v>
      </c>
      <c r="R202" s="43"/>
      <c r="S202" s="43"/>
      <c r="T202" s="44">
        <v>22</v>
      </c>
      <c r="U202" s="45">
        <f t="shared" si="233"/>
        <v>1.155</v>
      </c>
      <c r="V202" s="44">
        <f t="shared" si="234"/>
        <v>25.41</v>
      </c>
      <c r="X202">
        <f t="shared" ref="X202:X265" si="235">SUM(O202*D202)</f>
        <v>6128.5119999999997</v>
      </c>
      <c r="Y202">
        <f t="shared" ref="Y202:Y265" si="236">SUM(T202*D202)</f>
        <v>7040</v>
      </c>
    </row>
    <row r="203" spans="1:25">
      <c r="A203" s="19" t="s">
        <v>26</v>
      </c>
      <c r="B203" s="31" t="s">
        <v>247</v>
      </c>
      <c r="C203" s="19" t="s">
        <v>26</v>
      </c>
      <c r="D203" s="20"/>
      <c r="E203" s="20"/>
      <c r="F203" s="20"/>
      <c r="G203" s="19"/>
      <c r="H203" s="20"/>
      <c r="I203" s="20"/>
      <c r="J203" s="20"/>
      <c r="K203" s="20"/>
      <c r="L203" s="50"/>
      <c r="M203" s="3"/>
      <c r="O203" s="43"/>
      <c r="P203" s="43"/>
      <c r="Q203" s="43"/>
      <c r="R203" s="43"/>
      <c r="X203">
        <f t="shared" si="235"/>
        <v>0</v>
      </c>
      <c r="Y203">
        <f t="shared" si="236"/>
        <v>0</v>
      </c>
    </row>
    <row r="204" spans="1:25">
      <c r="A204" s="8" t="s">
        <v>26</v>
      </c>
      <c r="B204" s="27" t="s">
        <v>248</v>
      </c>
      <c r="C204" s="8" t="s">
        <v>74</v>
      </c>
      <c r="D204" s="13">
        <v>50</v>
      </c>
      <c r="E204" s="46">
        <f t="shared" ref="E204:E207" si="237">SUM(Q204)</f>
        <v>71.790757499999998</v>
      </c>
      <c r="F204" s="46">
        <f t="shared" ref="F204:F207" si="238">D204*E204</f>
        <v>3589.537875</v>
      </c>
      <c r="G204" s="47"/>
      <c r="H204" s="46">
        <f t="shared" ref="H204:H207" si="239">SUM(V204)</f>
        <v>36.96</v>
      </c>
      <c r="I204" s="46">
        <f t="shared" ref="I204:I207" si="240">D204*H204</f>
        <v>1848</v>
      </c>
      <c r="J204" s="13">
        <f t="shared" ref="J204:K208" si="241">E204+H204</f>
        <v>108.75075749999999</v>
      </c>
      <c r="K204" s="13">
        <f t="shared" si="241"/>
        <v>5437.537875</v>
      </c>
      <c r="L204" s="50"/>
      <c r="M204" s="3"/>
      <c r="O204" s="40">
        <v>62.156500000000001</v>
      </c>
      <c r="P204" s="41">
        <f t="shared" ref="P204:P207" si="242">$P$1</f>
        <v>1.155</v>
      </c>
      <c r="Q204" s="42">
        <f t="shared" ref="Q204:Q207" si="243">SUM(P204*O204)</f>
        <v>71.790757499999998</v>
      </c>
      <c r="R204" s="43"/>
      <c r="S204" s="43"/>
      <c r="T204" s="44">
        <v>32</v>
      </c>
      <c r="U204" s="45">
        <f t="shared" ref="U204:U207" si="244">$U$1</f>
        <v>1.155</v>
      </c>
      <c r="V204" s="44">
        <f t="shared" ref="V204:V207" si="245">SUM(U204*T204)</f>
        <v>36.96</v>
      </c>
      <c r="X204">
        <f t="shared" si="235"/>
        <v>3107.8250000000003</v>
      </c>
      <c r="Y204">
        <f t="shared" si="236"/>
        <v>1600</v>
      </c>
    </row>
    <row r="205" spans="1:25">
      <c r="A205" s="8" t="s">
        <v>26</v>
      </c>
      <c r="B205" s="27" t="s">
        <v>249</v>
      </c>
      <c r="C205" s="8" t="s">
        <v>74</v>
      </c>
      <c r="D205" s="13">
        <v>60</v>
      </c>
      <c r="E205" s="46">
        <f t="shared" si="237"/>
        <v>11.659609500000002</v>
      </c>
      <c r="F205" s="46">
        <f t="shared" si="238"/>
        <v>699.57657000000017</v>
      </c>
      <c r="G205" s="47"/>
      <c r="H205" s="46">
        <f t="shared" si="239"/>
        <v>25.41</v>
      </c>
      <c r="I205" s="46">
        <f t="shared" si="240"/>
        <v>1524.6</v>
      </c>
      <c r="J205" s="13">
        <f t="shared" si="241"/>
        <v>37.069609499999999</v>
      </c>
      <c r="K205" s="13">
        <f t="shared" si="241"/>
        <v>2224.1765700000001</v>
      </c>
      <c r="L205" s="50"/>
      <c r="M205" s="3"/>
      <c r="O205" s="40">
        <v>10.094900000000001</v>
      </c>
      <c r="P205" s="41">
        <f t="shared" si="242"/>
        <v>1.155</v>
      </c>
      <c r="Q205" s="42">
        <f t="shared" si="243"/>
        <v>11.659609500000002</v>
      </c>
      <c r="R205" s="43"/>
      <c r="S205" s="43"/>
      <c r="T205" s="44">
        <v>22</v>
      </c>
      <c r="U205" s="45">
        <f t="shared" si="244"/>
        <v>1.155</v>
      </c>
      <c r="V205" s="44">
        <f t="shared" si="245"/>
        <v>25.41</v>
      </c>
      <c r="X205">
        <f t="shared" si="235"/>
        <v>605.69400000000007</v>
      </c>
      <c r="Y205">
        <f t="shared" si="236"/>
        <v>1320</v>
      </c>
    </row>
    <row r="206" spans="1:25">
      <c r="A206" s="8" t="s">
        <v>26</v>
      </c>
      <c r="B206" s="27" t="s">
        <v>250</v>
      </c>
      <c r="C206" s="8" t="s">
        <v>74</v>
      </c>
      <c r="D206" s="13">
        <v>30</v>
      </c>
      <c r="E206" s="46">
        <f t="shared" si="237"/>
        <v>29.534043</v>
      </c>
      <c r="F206" s="46">
        <f t="shared" si="238"/>
        <v>886.02129000000002</v>
      </c>
      <c r="G206" s="47"/>
      <c r="H206" s="46">
        <f t="shared" si="239"/>
        <v>30.03</v>
      </c>
      <c r="I206" s="46">
        <f t="shared" si="240"/>
        <v>900.90000000000009</v>
      </c>
      <c r="J206" s="13">
        <f t="shared" si="241"/>
        <v>59.564042999999998</v>
      </c>
      <c r="K206" s="13">
        <f t="shared" si="241"/>
        <v>1786.9212900000002</v>
      </c>
      <c r="L206" s="50"/>
      <c r="M206" s="3"/>
      <c r="O206" s="40">
        <v>25.570599999999999</v>
      </c>
      <c r="P206" s="41">
        <f t="shared" si="242"/>
        <v>1.155</v>
      </c>
      <c r="Q206" s="42">
        <f t="shared" si="243"/>
        <v>29.534043</v>
      </c>
      <c r="R206" s="43"/>
      <c r="S206" s="43"/>
      <c r="T206" s="44">
        <v>26</v>
      </c>
      <c r="U206" s="45">
        <f t="shared" si="244"/>
        <v>1.155</v>
      </c>
      <c r="V206" s="44">
        <f t="shared" si="245"/>
        <v>30.03</v>
      </c>
      <c r="X206">
        <f t="shared" si="235"/>
        <v>767.11799999999994</v>
      </c>
      <c r="Y206">
        <f t="shared" si="236"/>
        <v>780</v>
      </c>
    </row>
    <row r="207" spans="1:25">
      <c r="A207" s="8" t="s">
        <v>26</v>
      </c>
      <c r="B207" s="27" t="s">
        <v>251</v>
      </c>
      <c r="C207" s="8" t="s">
        <v>74</v>
      </c>
      <c r="D207" s="13">
        <v>110</v>
      </c>
      <c r="E207" s="46">
        <f t="shared" si="237"/>
        <v>17.465563500000002</v>
      </c>
      <c r="F207" s="46">
        <f t="shared" si="238"/>
        <v>1921.2119850000001</v>
      </c>
      <c r="G207" s="47"/>
      <c r="H207" s="46">
        <f t="shared" si="239"/>
        <v>25.41</v>
      </c>
      <c r="I207" s="46">
        <f t="shared" si="240"/>
        <v>2795.1</v>
      </c>
      <c r="J207" s="13">
        <f t="shared" si="241"/>
        <v>42.875563499999998</v>
      </c>
      <c r="K207" s="13">
        <f t="shared" si="241"/>
        <v>4716.3119850000003</v>
      </c>
      <c r="L207" s="50"/>
      <c r="M207" s="3"/>
      <c r="O207" s="40">
        <v>15.121700000000001</v>
      </c>
      <c r="P207" s="41">
        <f t="shared" si="242"/>
        <v>1.155</v>
      </c>
      <c r="Q207" s="42">
        <f t="shared" si="243"/>
        <v>17.465563500000002</v>
      </c>
      <c r="R207" s="43"/>
      <c r="S207" s="43"/>
      <c r="T207" s="44">
        <v>22</v>
      </c>
      <c r="U207" s="45">
        <f t="shared" si="244"/>
        <v>1.155</v>
      </c>
      <c r="V207" s="44">
        <f t="shared" si="245"/>
        <v>25.41</v>
      </c>
      <c r="X207">
        <f t="shared" si="235"/>
        <v>1663.3870000000002</v>
      </c>
      <c r="Y207">
        <f t="shared" si="236"/>
        <v>2420</v>
      </c>
    </row>
    <row r="208" spans="1:25">
      <c r="A208" s="8" t="s">
        <v>26</v>
      </c>
      <c r="B208" s="27" t="s">
        <v>26</v>
      </c>
      <c r="C208" s="8" t="s">
        <v>26</v>
      </c>
      <c r="D208" s="13"/>
      <c r="E208" s="13"/>
      <c r="F208" s="13"/>
      <c r="G208" s="8"/>
      <c r="H208" s="13"/>
      <c r="I208" s="13"/>
      <c r="J208" s="13">
        <f t="shared" si="241"/>
        <v>0</v>
      </c>
      <c r="K208" s="13">
        <f t="shared" si="241"/>
        <v>0</v>
      </c>
      <c r="L208" s="50"/>
      <c r="M208" s="3"/>
      <c r="O208" s="43"/>
      <c r="P208" s="43"/>
      <c r="Q208" s="43"/>
      <c r="R208" s="43"/>
      <c r="X208">
        <f t="shared" si="235"/>
        <v>0</v>
      </c>
      <c r="Y208">
        <f t="shared" si="236"/>
        <v>0</v>
      </c>
    </row>
    <row r="209" spans="1:25">
      <c r="A209" s="9" t="s">
        <v>26</v>
      </c>
      <c r="B209" s="29" t="s">
        <v>252</v>
      </c>
      <c r="C209" s="9" t="s">
        <v>26</v>
      </c>
      <c r="D209" s="16"/>
      <c r="E209" s="16"/>
      <c r="F209" s="16">
        <f>SUM(F185:F208)</f>
        <v>199506.65507850004</v>
      </c>
      <c r="G209" s="9"/>
      <c r="H209" s="16"/>
      <c r="I209" s="16">
        <f>SUM(I185:I208)</f>
        <v>232468.005</v>
      </c>
      <c r="J209" s="16"/>
      <c r="K209" s="16">
        <f>SUM(K185:K208)</f>
        <v>431974.66007850005</v>
      </c>
      <c r="L209" s="50"/>
      <c r="M209" s="3"/>
      <c r="O209" s="43"/>
      <c r="P209" s="43"/>
      <c r="Q209" s="43"/>
      <c r="R209" s="43"/>
      <c r="X209">
        <f t="shared" si="235"/>
        <v>0</v>
      </c>
      <c r="Y209">
        <f t="shared" si="236"/>
        <v>0</v>
      </c>
    </row>
    <row r="210" spans="1:25">
      <c r="A210" s="8" t="s">
        <v>26</v>
      </c>
      <c r="B210" s="27" t="s">
        <v>26</v>
      </c>
      <c r="C210" s="8" t="s">
        <v>26</v>
      </c>
      <c r="D210" s="13"/>
      <c r="E210" s="13"/>
      <c r="F210" s="13"/>
      <c r="G210" s="8"/>
      <c r="H210" s="13"/>
      <c r="I210" s="13"/>
      <c r="J210" s="13">
        <f>E210+H210</f>
        <v>0</v>
      </c>
      <c r="K210" s="13">
        <f>F210+I210</f>
        <v>0</v>
      </c>
      <c r="L210" s="50"/>
      <c r="M210" s="3"/>
      <c r="O210" s="43"/>
      <c r="P210" s="43"/>
      <c r="Q210" s="43"/>
      <c r="R210" s="43"/>
      <c r="X210">
        <f t="shared" si="235"/>
        <v>0</v>
      </c>
      <c r="Y210">
        <f t="shared" si="236"/>
        <v>0</v>
      </c>
    </row>
    <row r="211" spans="1:25">
      <c r="A211" s="9" t="s">
        <v>26</v>
      </c>
      <c r="B211" s="29" t="s">
        <v>253</v>
      </c>
      <c r="C211" s="9" t="s">
        <v>26</v>
      </c>
      <c r="D211" s="16"/>
      <c r="E211" s="16"/>
      <c r="F211" s="16"/>
      <c r="G211" s="9"/>
      <c r="H211" s="16"/>
      <c r="I211" s="16"/>
      <c r="J211" s="16"/>
      <c r="K211" s="16"/>
      <c r="L211" s="50"/>
      <c r="M211" s="3"/>
      <c r="O211" s="43"/>
      <c r="P211" s="43"/>
      <c r="Q211" s="43"/>
      <c r="R211" s="43"/>
      <c r="X211">
        <f t="shared" si="235"/>
        <v>0</v>
      </c>
      <c r="Y211">
        <f t="shared" si="236"/>
        <v>0</v>
      </c>
    </row>
    <row r="212" spans="1:25">
      <c r="A212" s="8" t="s">
        <v>26</v>
      </c>
      <c r="B212" s="27" t="s">
        <v>26</v>
      </c>
      <c r="C212" s="8" t="s">
        <v>26</v>
      </c>
      <c r="D212" s="13"/>
      <c r="E212" s="13"/>
      <c r="F212" s="13"/>
      <c r="G212" s="8"/>
      <c r="H212" s="13"/>
      <c r="I212" s="13"/>
      <c r="J212" s="13">
        <f>E212+H212</f>
        <v>0</v>
      </c>
      <c r="K212" s="13">
        <f>F212+I212</f>
        <v>0</v>
      </c>
      <c r="L212" s="50"/>
      <c r="M212" s="3"/>
      <c r="O212" s="43"/>
      <c r="P212" s="43"/>
      <c r="Q212" s="43"/>
      <c r="R212" s="43"/>
      <c r="X212">
        <f t="shared" si="235"/>
        <v>0</v>
      </c>
      <c r="Y212">
        <f t="shared" si="236"/>
        <v>0</v>
      </c>
    </row>
    <row r="213" spans="1:25" ht="36.75">
      <c r="A213" s="19" t="s">
        <v>26</v>
      </c>
      <c r="B213" s="31" t="s">
        <v>254</v>
      </c>
      <c r="C213" s="19" t="s">
        <v>26</v>
      </c>
      <c r="D213" s="20"/>
      <c r="E213" s="20"/>
      <c r="F213" s="20"/>
      <c r="G213" s="19"/>
      <c r="H213" s="20"/>
      <c r="I213" s="20"/>
      <c r="J213" s="20"/>
      <c r="K213" s="20"/>
      <c r="L213" s="50"/>
      <c r="M213" s="3"/>
      <c r="O213" s="43"/>
      <c r="P213" s="43"/>
      <c r="Q213" s="43"/>
      <c r="R213" s="43"/>
      <c r="X213">
        <f t="shared" si="235"/>
        <v>0</v>
      </c>
      <c r="Y213">
        <f t="shared" si="236"/>
        <v>0</v>
      </c>
    </row>
    <row r="214" spans="1:25">
      <c r="A214" s="17"/>
      <c r="B214" s="30" t="s">
        <v>255</v>
      </c>
      <c r="C214" s="17" t="s">
        <v>64</v>
      </c>
      <c r="D214" s="18">
        <v>7100</v>
      </c>
      <c r="E214" s="46">
        <f t="shared" ref="E214:E218" si="246">SUM(Q214)</f>
        <v>0</v>
      </c>
      <c r="F214" s="46">
        <f t="shared" ref="F214:F218" si="247">D214*E214</f>
        <v>0</v>
      </c>
      <c r="G214" s="47"/>
      <c r="H214" s="46">
        <f t="shared" ref="H214:H218" si="248">SUM(V214)</f>
        <v>9.24</v>
      </c>
      <c r="I214" s="46">
        <f t="shared" ref="I214:I218" si="249">D214*H214</f>
        <v>65604</v>
      </c>
      <c r="J214" s="18">
        <f t="shared" ref="J214:K218" si="250">E214+H214</f>
        <v>9.24</v>
      </c>
      <c r="K214" s="18">
        <f t="shared" si="250"/>
        <v>65604</v>
      </c>
      <c r="L214" s="50"/>
      <c r="M214" s="3"/>
      <c r="O214" s="40"/>
      <c r="P214" s="41">
        <f t="shared" ref="P214:P218" si="251">$P$1</f>
        <v>1.155</v>
      </c>
      <c r="Q214" s="42">
        <f t="shared" ref="Q214:Q218" si="252">SUM(P214*O214)</f>
        <v>0</v>
      </c>
      <c r="R214" s="43"/>
      <c r="S214" s="43"/>
      <c r="T214" s="44">
        <v>8</v>
      </c>
      <c r="U214" s="45">
        <f t="shared" ref="U214:U217" si="253">$U$1</f>
        <v>1.155</v>
      </c>
      <c r="V214" s="44">
        <f t="shared" ref="V214:V217" si="254">SUM(U214*T214)</f>
        <v>9.24</v>
      </c>
      <c r="X214">
        <f t="shared" si="235"/>
        <v>0</v>
      </c>
      <c r="Y214">
        <f t="shared" si="236"/>
        <v>56800</v>
      </c>
    </row>
    <row r="215" spans="1:25">
      <c r="A215" s="8"/>
      <c r="B215" s="27" t="s">
        <v>256</v>
      </c>
      <c r="C215" s="8" t="s">
        <v>64</v>
      </c>
      <c r="D215" s="13">
        <v>120</v>
      </c>
      <c r="E215" s="46">
        <f t="shared" si="246"/>
        <v>0</v>
      </c>
      <c r="F215" s="46">
        <f t="shared" si="247"/>
        <v>0</v>
      </c>
      <c r="G215" s="47"/>
      <c r="H215" s="46">
        <f t="shared" si="248"/>
        <v>17.324999999999999</v>
      </c>
      <c r="I215" s="46">
        <f t="shared" si="249"/>
        <v>2079</v>
      </c>
      <c r="J215" s="13">
        <f t="shared" si="250"/>
        <v>17.324999999999999</v>
      </c>
      <c r="K215" s="13">
        <f t="shared" si="250"/>
        <v>2079</v>
      </c>
      <c r="L215" s="50"/>
      <c r="M215" s="3"/>
      <c r="O215" s="40"/>
      <c r="P215" s="41">
        <f t="shared" si="251"/>
        <v>1.155</v>
      </c>
      <c r="Q215" s="42">
        <f t="shared" si="252"/>
        <v>0</v>
      </c>
      <c r="R215" s="43"/>
      <c r="S215" s="43"/>
      <c r="T215" s="44">
        <v>15</v>
      </c>
      <c r="U215" s="45">
        <f t="shared" si="253"/>
        <v>1.155</v>
      </c>
      <c r="V215" s="44">
        <f t="shared" si="254"/>
        <v>17.324999999999999</v>
      </c>
      <c r="X215">
        <f t="shared" si="235"/>
        <v>0</v>
      </c>
      <c r="Y215">
        <f t="shared" si="236"/>
        <v>1800</v>
      </c>
    </row>
    <row r="216" spans="1:25">
      <c r="A216" s="8"/>
      <c r="B216" s="27" t="s">
        <v>257</v>
      </c>
      <c r="C216" s="8" t="s">
        <v>64</v>
      </c>
      <c r="D216" s="13">
        <v>90</v>
      </c>
      <c r="E216" s="46">
        <f t="shared" si="246"/>
        <v>0</v>
      </c>
      <c r="F216" s="46">
        <f t="shared" si="247"/>
        <v>0</v>
      </c>
      <c r="G216" s="47"/>
      <c r="H216" s="46">
        <f t="shared" si="248"/>
        <v>17.324999999999999</v>
      </c>
      <c r="I216" s="46">
        <f t="shared" si="249"/>
        <v>1559.25</v>
      </c>
      <c r="J216" s="13">
        <f t="shared" si="250"/>
        <v>17.324999999999999</v>
      </c>
      <c r="K216" s="13">
        <f t="shared" si="250"/>
        <v>1559.25</v>
      </c>
      <c r="L216" s="50"/>
      <c r="M216" s="3"/>
      <c r="O216" s="40"/>
      <c r="P216" s="41">
        <f t="shared" si="251"/>
        <v>1.155</v>
      </c>
      <c r="Q216" s="42">
        <f t="shared" si="252"/>
        <v>0</v>
      </c>
      <c r="R216" s="43"/>
      <c r="S216" s="43"/>
      <c r="T216" s="44">
        <v>15</v>
      </c>
      <c r="U216" s="45">
        <f t="shared" si="253"/>
        <v>1.155</v>
      </c>
      <c r="V216" s="44">
        <f t="shared" si="254"/>
        <v>17.324999999999999</v>
      </c>
      <c r="X216">
        <f t="shared" si="235"/>
        <v>0</v>
      </c>
      <c r="Y216">
        <f t="shared" si="236"/>
        <v>1350</v>
      </c>
    </row>
    <row r="217" spans="1:25">
      <c r="A217" s="8"/>
      <c r="B217" s="27" t="s">
        <v>258</v>
      </c>
      <c r="C217" s="8" t="s">
        <v>64</v>
      </c>
      <c r="D217" s="13">
        <v>40</v>
      </c>
      <c r="E217" s="46">
        <f t="shared" si="246"/>
        <v>0</v>
      </c>
      <c r="F217" s="46">
        <f t="shared" si="247"/>
        <v>0</v>
      </c>
      <c r="G217" s="47"/>
      <c r="H217" s="46">
        <f t="shared" si="248"/>
        <v>23.1</v>
      </c>
      <c r="I217" s="46">
        <f t="shared" si="249"/>
        <v>924</v>
      </c>
      <c r="J217" s="13">
        <f t="shared" si="250"/>
        <v>23.1</v>
      </c>
      <c r="K217" s="13">
        <f t="shared" si="250"/>
        <v>924</v>
      </c>
      <c r="L217" s="50"/>
      <c r="M217" s="3"/>
      <c r="O217" s="40"/>
      <c r="P217" s="41">
        <f t="shared" si="251"/>
        <v>1.155</v>
      </c>
      <c r="Q217" s="42">
        <f t="shared" si="252"/>
        <v>0</v>
      </c>
      <c r="R217" s="43"/>
      <c r="S217" s="43"/>
      <c r="T217" s="44">
        <v>20</v>
      </c>
      <c r="U217" s="45">
        <f t="shared" si="253"/>
        <v>1.155</v>
      </c>
      <c r="V217" s="44">
        <f t="shared" si="254"/>
        <v>23.1</v>
      </c>
      <c r="X217">
        <f t="shared" si="235"/>
        <v>0</v>
      </c>
      <c r="Y217">
        <f t="shared" si="236"/>
        <v>800</v>
      </c>
    </row>
    <row r="218" spans="1:25">
      <c r="A218" s="8"/>
      <c r="B218" s="27" t="s">
        <v>259</v>
      </c>
      <c r="C218" s="8" t="s">
        <v>64</v>
      </c>
      <c r="D218" s="13">
        <v>12</v>
      </c>
      <c r="E218" s="46">
        <f t="shared" si="246"/>
        <v>0</v>
      </c>
      <c r="F218" s="46">
        <f t="shared" si="247"/>
        <v>0</v>
      </c>
      <c r="G218" s="47"/>
      <c r="H218" s="46">
        <f t="shared" si="248"/>
        <v>28.875</v>
      </c>
      <c r="I218" s="46">
        <f t="shared" si="249"/>
        <v>346.5</v>
      </c>
      <c r="J218" s="13">
        <f t="shared" si="250"/>
        <v>28.875</v>
      </c>
      <c r="K218" s="13">
        <f t="shared" si="250"/>
        <v>346.5</v>
      </c>
      <c r="L218" s="50"/>
      <c r="M218" s="3"/>
      <c r="O218" s="40"/>
      <c r="P218" s="41">
        <f t="shared" si="251"/>
        <v>1.155</v>
      </c>
      <c r="Q218" s="42">
        <f t="shared" si="252"/>
        <v>0</v>
      </c>
      <c r="R218" s="43"/>
      <c r="S218" s="43"/>
      <c r="T218" s="44">
        <v>25</v>
      </c>
      <c r="U218" s="45">
        <f>$U$1</f>
        <v>1.155</v>
      </c>
      <c r="V218" s="44">
        <f>SUM(U218*T218)</f>
        <v>28.875</v>
      </c>
      <c r="X218">
        <f t="shared" si="235"/>
        <v>0</v>
      </c>
      <c r="Y218">
        <f t="shared" si="236"/>
        <v>300</v>
      </c>
    </row>
    <row r="219" spans="1:25">
      <c r="A219" s="19"/>
      <c r="B219" s="31" t="s">
        <v>260</v>
      </c>
      <c r="C219" s="19" t="s">
        <v>26</v>
      </c>
      <c r="D219" s="20"/>
      <c r="E219" s="20"/>
      <c r="F219" s="20"/>
      <c r="G219" s="19"/>
      <c r="H219" s="20"/>
      <c r="I219" s="20"/>
      <c r="J219" s="20"/>
      <c r="K219" s="20"/>
      <c r="L219" s="50"/>
      <c r="M219" s="3"/>
      <c r="O219" s="43"/>
      <c r="P219" s="43"/>
      <c r="Q219" s="43"/>
      <c r="R219" s="43"/>
      <c r="X219">
        <f t="shared" si="235"/>
        <v>0</v>
      </c>
      <c r="Y219">
        <f t="shared" si="236"/>
        <v>0</v>
      </c>
    </row>
    <row r="220" spans="1:25">
      <c r="A220" s="19"/>
      <c r="B220" s="31" t="s">
        <v>261</v>
      </c>
      <c r="C220" s="19" t="s">
        <v>26</v>
      </c>
      <c r="D220" s="20"/>
      <c r="E220" s="20"/>
      <c r="F220" s="20"/>
      <c r="G220" s="19"/>
      <c r="H220" s="20"/>
      <c r="I220" s="20"/>
      <c r="J220" s="20"/>
      <c r="K220" s="20"/>
      <c r="L220" s="50"/>
      <c r="M220" s="3"/>
      <c r="O220" s="43"/>
      <c r="P220" s="43"/>
      <c r="Q220" s="43"/>
      <c r="R220" s="43"/>
      <c r="X220">
        <f t="shared" si="235"/>
        <v>0</v>
      </c>
      <c r="Y220">
        <f t="shared" si="236"/>
        <v>0</v>
      </c>
    </row>
    <row r="221" spans="1:25">
      <c r="A221" s="8"/>
      <c r="B221" s="27" t="s">
        <v>262</v>
      </c>
      <c r="C221" s="8" t="s">
        <v>64</v>
      </c>
      <c r="D221" s="13">
        <v>12</v>
      </c>
      <c r="E221" s="46">
        <f t="shared" ref="E221:E223" si="255">SUM(Q221)</f>
        <v>26.868947368421058</v>
      </c>
      <c r="F221" s="46">
        <f t="shared" ref="F221:F223" si="256">D221*E221</f>
        <v>322.42736842105268</v>
      </c>
      <c r="G221" s="47"/>
      <c r="H221" s="46">
        <f t="shared" ref="H221:H223" si="257">SUM(V221)</f>
        <v>69.3</v>
      </c>
      <c r="I221" s="46">
        <f t="shared" ref="I221:I223" si="258">D221*H221</f>
        <v>831.59999999999991</v>
      </c>
      <c r="J221" s="13">
        <f t="shared" ref="J221:K223" si="259">E221+H221</f>
        <v>96.168947368421058</v>
      </c>
      <c r="K221" s="13">
        <f t="shared" si="259"/>
        <v>1154.0273684210526</v>
      </c>
      <c r="L221" s="50"/>
      <c r="M221" s="3"/>
      <c r="O221" s="40">
        <v>23.263157894736846</v>
      </c>
      <c r="P221" s="41">
        <f t="shared" ref="P221:P223" si="260">$P$1</f>
        <v>1.155</v>
      </c>
      <c r="Q221" s="42">
        <f t="shared" ref="Q221:Q222" si="261">SUM(P221*O221)</f>
        <v>26.868947368421058</v>
      </c>
      <c r="R221" s="43"/>
      <c r="S221" s="43"/>
      <c r="T221" s="44">
        <v>60</v>
      </c>
      <c r="U221" s="45">
        <f t="shared" ref="U221:U223" si="262">$U$1</f>
        <v>1.155</v>
      </c>
      <c r="V221" s="44">
        <f t="shared" ref="V221:V223" si="263">SUM(U221*T221)</f>
        <v>69.3</v>
      </c>
      <c r="X221">
        <f t="shared" si="235"/>
        <v>279.15789473684214</v>
      </c>
      <c r="Y221">
        <f t="shared" si="236"/>
        <v>720</v>
      </c>
    </row>
    <row r="222" spans="1:25">
      <c r="A222" s="8"/>
      <c r="B222" s="27" t="s">
        <v>263</v>
      </c>
      <c r="C222" s="8" t="s">
        <v>64</v>
      </c>
      <c r="D222" s="13">
        <v>22</v>
      </c>
      <c r="E222" s="46">
        <f t="shared" si="255"/>
        <v>26.868947368421058</v>
      </c>
      <c r="F222" s="46">
        <f t="shared" si="256"/>
        <v>591.11684210526323</v>
      </c>
      <c r="G222" s="47"/>
      <c r="H222" s="46">
        <f t="shared" si="257"/>
        <v>69.3</v>
      </c>
      <c r="I222" s="46">
        <f t="shared" si="258"/>
        <v>1524.6</v>
      </c>
      <c r="J222" s="13">
        <f t="shared" si="259"/>
        <v>96.168947368421058</v>
      </c>
      <c r="K222" s="13">
        <f t="shared" si="259"/>
        <v>2115.7168421052629</v>
      </c>
      <c r="L222" s="50"/>
      <c r="M222" s="3"/>
      <c r="O222" s="40">
        <v>23.263157894736846</v>
      </c>
      <c r="P222" s="41">
        <f t="shared" si="260"/>
        <v>1.155</v>
      </c>
      <c r="Q222" s="42">
        <f t="shared" si="261"/>
        <v>26.868947368421058</v>
      </c>
      <c r="R222" s="43"/>
      <c r="S222" s="43"/>
      <c r="T222" s="44">
        <v>60</v>
      </c>
      <c r="U222" s="45">
        <f t="shared" si="262"/>
        <v>1.155</v>
      </c>
      <c r="V222" s="44">
        <f t="shared" si="263"/>
        <v>69.3</v>
      </c>
      <c r="X222">
        <f t="shared" si="235"/>
        <v>511.78947368421063</v>
      </c>
      <c r="Y222">
        <f t="shared" si="236"/>
        <v>1320</v>
      </c>
    </row>
    <row r="223" spans="1:25">
      <c r="A223" s="8" t="s">
        <v>26</v>
      </c>
      <c r="B223" s="27" t="s">
        <v>264</v>
      </c>
      <c r="C223" s="8" t="s">
        <v>265</v>
      </c>
      <c r="D223" s="13">
        <v>1</v>
      </c>
      <c r="E223" s="46">
        <f t="shared" si="255"/>
        <v>635.25</v>
      </c>
      <c r="F223" s="46">
        <f t="shared" si="256"/>
        <v>635.25</v>
      </c>
      <c r="G223" s="47"/>
      <c r="H223" s="46">
        <f t="shared" si="257"/>
        <v>1039.5</v>
      </c>
      <c r="I223" s="46">
        <f t="shared" si="258"/>
        <v>1039.5</v>
      </c>
      <c r="J223" s="13">
        <f t="shared" si="259"/>
        <v>1674.75</v>
      </c>
      <c r="K223" s="13">
        <f t="shared" si="259"/>
        <v>1674.75</v>
      </c>
      <c r="L223" s="50"/>
      <c r="M223" s="3"/>
      <c r="O223" s="40">
        <v>550</v>
      </c>
      <c r="P223" s="41">
        <f t="shared" si="260"/>
        <v>1.155</v>
      </c>
      <c r="Q223" s="42">
        <f>SUM(P223*O223)</f>
        <v>635.25</v>
      </c>
      <c r="R223" s="43"/>
      <c r="S223" s="43"/>
      <c r="T223" s="44">
        <v>900</v>
      </c>
      <c r="U223" s="45">
        <f t="shared" si="262"/>
        <v>1.155</v>
      </c>
      <c r="V223" s="44">
        <f t="shared" si="263"/>
        <v>1039.5</v>
      </c>
      <c r="X223">
        <f t="shared" si="235"/>
        <v>550</v>
      </c>
      <c r="Y223">
        <f t="shared" si="236"/>
        <v>900</v>
      </c>
    </row>
    <row r="224" spans="1:25">
      <c r="A224" s="19" t="s">
        <v>26</v>
      </c>
      <c r="B224" s="31" t="s">
        <v>266</v>
      </c>
      <c r="C224" s="19" t="s">
        <v>26</v>
      </c>
      <c r="D224" s="20"/>
      <c r="E224" s="20"/>
      <c r="F224" s="20"/>
      <c r="G224" s="19"/>
      <c r="H224" s="20"/>
      <c r="I224" s="20"/>
      <c r="J224" s="20"/>
      <c r="K224" s="20"/>
      <c r="L224" s="50"/>
      <c r="M224" s="3"/>
      <c r="O224" s="43"/>
      <c r="P224" s="43"/>
      <c r="Q224" s="43"/>
      <c r="R224" s="43"/>
      <c r="X224">
        <f t="shared" si="235"/>
        <v>0</v>
      </c>
      <c r="Y224">
        <f t="shared" si="236"/>
        <v>0</v>
      </c>
    </row>
    <row r="225" spans="1:25">
      <c r="A225" s="8" t="s">
        <v>26</v>
      </c>
      <c r="B225" s="27" t="s">
        <v>267</v>
      </c>
      <c r="C225" s="8" t="s">
        <v>64</v>
      </c>
      <c r="D225" s="13">
        <v>47</v>
      </c>
      <c r="E225" s="46">
        <f t="shared" ref="E225:E226" si="264">SUM(Q225)</f>
        <v>0</v>
      </c>
      <c r="F225" s="46">
        <f t="shared" ref="F225:F226" si="265">D225*E225</f>
        <v>0</v>
      </c>
      <c r="G225" s="47"/>
      <c r="H225" s="46">
        <f t="shared" ref="H225:H226" si="266">SUM(V225)</f>
        <v>51.975000000000001</v>
      </c>
      <c r="I225" s="46">
        <f t="shared" ref="I225:I226" si="267">D225*H225</f>
        <v>2442.8250000000003</v>
      </c>
      <c r="J225" s="13">
        <f t="shared" ref="J225:K227" si="268">E225+H225</f>
        <v>51.975000000000001</v>
      </c>
      <c r="K225" s="13">
        <f t="shared" si="268"/>
        <v>2442.8250000000003</v>
      </c>
      <c r="L225" s="50"/>
      <c r="M225" s="3"/>
      <c r="O225" s="40"/>
      <c r="P225" s="41">
        <f t="shared" ref="P225:P226" si="269">$P$1</f>
        <v>1.155</v>
      </c>
      <c r="Q225" s="42">
        <f t="shared" ref="Q225:Q226" si="270">SUM(P225*O225)</f>
        <v>0</v>
      </c>
      <c r="R225" s="43"/>
      <c r="S225" s="43"/>
      <c r="T225" s="44">
        <v>45</v>
      </c>
      <c r="U225" s="45">
        <f t="shared" ref="U225:U226" si="271">$U$1</f>
        <v>1.155</v>
      </c>
      <c r="V225" s="44">
        <f t="shared" ref="V225:V226" si="272">SUM(U225*T225)</f>
        <v>51.975000000000001</v>
      </c>
      <c r="X225">
        <f t="shared" si="235"/>
        <v>0</v>
      </c>
      <c r="Y225">
        <f t="shared" si="236"/>
        <v>2115</v>
      </c>
    </row>
    <row r="226" spans="1:25">
      <c r="A226" s="8" t="s">
        <v>26</v>
      </c>
      <c r="B226" s="27" t="s">
        <v>268</v>
      </c>
      <c r="C226" s="8" t="s">
        <v>64</v>
      </c>
      <c r="D226" s="13">
        <v>10</v>
      </c>
      <c r="E226" s="46">
        <f t="shared" si="264"/>
        <v>0</v>
      </c>
      <c r="F226" s="46">
        <f t="shared" si="265"/>
        <v>0</v>
      </c>
      <c r="G226" s="47"/>
      <c r="H226" s="46">
        <f t="shared" si="266"/>
        <v>86.625</v>
      </c>
      <c r="I226" s="46">
        <f t="shared" si="267"/>
        <v>866.25</v>
      </c>
      <c r="J226" s="13">
        <f t="shared" si="268"/>
        <v>86.625</v>
      </c>
      <c r="K226" s="13">
        <f t="shared" si="268"/>
        <v>866.25</v>
      </c>
      <c r="L226" s="50"/>
      <c r="M226" s="3"/>
      <c r="O226" s="40"/>
      <c r="P226" s="41">
        <f t="shared" si="269"/>
        <v>1.155</v>
      </c>
      <c r="Q226" s="42">
        <f t="shared" si="270"/>
        <v>0</v>
      </c>
      <c r="R226" s="43"/>
      <c r="S226" s="43"/>
      <c r="T226" s="44">
        <v>75</v>
      </c>
      <c r="U226" s="45">
        <f t="shared" si="271"/>
        <v>1.155</v>
      </c>
      <c r="V226" s="44">
        <f t="shared" si="272"/>
        <v>86.625</v>
      </c>
      <c r="X226">
        <f t="shared" si="235"/>
        <v>0</v>
      </c>
      <c r="Y226">
        <f t="shared" si="236"/>
        <v>750</v>
      </c>
    </row>
    <row r="227" spans="1:25">
      <c r="A227" s="8" t="s">
        <v>26</v>
      </c>
      <c r="B227" s="27" t="s">
        <v>26</v>
      </c>
      <c r="C227" s="8" t="s">
        <v>26</v>
      </c>
      <c r="D227" s="13"/>
      <c r="E227" s="13"/>
      <c r="F227" s="13"/>
      <c r="G227" s="8"/>
      <c r="H227" s="13"/>
      <c r="I227" s="13"/>
      <c r="J227" s="13">
        <f t="shared" si="268"/>
        <v>0</v>
      </c>
      <c r="K227" s="13">
        <f t="shared" si="268"/>
        <v>0</v>
      </c>
      <c r="L227" s="50"/>
      <c r="M227" s="3"/>
      <c r="O227" s="43"/>
      <c r="P227" s="43"/>
      <c r="Q227" s="43"/>
      <c r="R227" s="43"/>
      <c r="X227">
        <f t="shared" si="235"/>
        <v>0</v>
      </c>
      <c r="Y227">
        <f t="shared" si="236"/>
        <v>0</v>
      </c>
    </row>
    <row r="228" spans="1:25">
      <c r="A228" s="9" t="s">
        <v>26</v>
      </c>
      <c r="B228" s="29" t="s">
        <v>269</v>
      </c>
      <c r="C228" s="9" t="s">
        <v>26</v>
      </c>
      <c r="D228" s="16"/>
      <c r="E228" s="16"/>
      <c r="F228" s="16">
        <f>SUM(F212:F227)</f>
        <v>1548.794210526316</v>
      </c>
      <c r="G228" s="9"/>
      <c r="H228" s="16"/>
      <c r="I228" s="16">
        <f>SUM(I212:I227)</f>
        <v>77217.525000000009</v>
      </c>
      <c r="J228" s="16"/>
      <c r="K228" s="16">
        <f>SUM(K212:K227)</f>
        <v>78766.319210526315</v>
      </c>
      <c r="L228" s="50"/>
      <c r="M228" s="3"/>
      <c r="O228" s="43"/>
      <c r="P228" s="43"/>
      <c r="Q228" s="43"/>
      <c r="R228" s="43"/>
      <c r="X228">
        <f t="shared" si="235"/>
        <v>0</v>
      </c>
      <c r="Y228">
        <f t="shared" si="236"/>
        <v>0</v>
      </c>
    </row>
    <row r="229" spans="1:25">
      <c r="A229" s="8" t="s">
        <v>26</v>
      </c>
      <c r="B229" s="27" t="s">
        <v>26</v>
      </c>
      <c r="C229" s="8" t="s">
        <v>26</v>
      </c>
      <c r="D229" s="13"/>
      <c r="E229" s="13"/>
      <c r="F229" s="13"/>
      <c r="G229" s="8"/>
      <c r="H229" s="13"/>
      <c r="I229" s="13"/>
      <c r="J229" s="13">
        <f>E229+H229</f>
        <v>0</v>
      </c>
      <c r="K229" s="13">
        <f>F229+I229</f>
        <v>0</v>
      </c>
      <c r="L229" s="50"/>
      <c r="M229" s="3"/>
      <c r="O229" s="43"/>
      <c r="P229" s="43"/>
      <c r="Q229" s="43"/>
      <c r="R229" s="43"/>
      <c r="X229">
        <f t="shared" si="235"/>
        <v>0</v>
      </c>
      <c r="Y229">
        <f t="shared" si="236"/>
        <v>0</v>
      </c>
    </row>
    <row r="230" spans="1:25">
      <c r="A230" s="9" t="s">
        <v>26</v>
      </c>
      <c r="B230" s="29" t="s">
        <v>270</v>
      </c>
      <c r="C230" s="9" t="s">
        <v>26</v>
      </c>
      <c r="D230" s="16"/>
      <c r="E230" s="16"/>
      <c r="F230" s="16"/>
      <c r="G230" s="9"/>
      <c r="H230" s="16"/>
      <c r="I230" s="16"/>
      <c r="J230" s="16"/>
      <c r="K230" s="16"/>
      <c r="L230" s="50"/>
      <c r="M230" s="3"/>
      <c r="O230" s="43"/>
      <c r="P230" s="43"/>
      <c r="Q230" s="43"/>
      <c r="R230" s="43"/>
      <c r="X230">
        <f t="shared" si="235"/>
        <v>0</v>
      </c>
      <c r="Y230">
        <f t="shared" si="236"/>
        <v>0</v>
      </c>
    </row>
    <row r="231" spans="1:25" ht="23.25">
      <c r="A231" s="17" t="s">
        <v>26</v>
      </c>
      <c r="B231" s="30" t="s">
        <v>271</v>
      </c>
      <c r="C231" s="17" t="s">
        <v>74</v>
      </c>
      <c r="D231" s="18">
        <v>10</v>
      </c>
      <c r="E231" s="46">
        <f>SUM(Q231)</f>
        <v>310.14854838709675</v>
      </c>
      <c r="F231" s="46">
        <f>D231*E231</f>
        <v>3101.4854838709675</v>
      </c>
      <c r="G231" s="47"/>
      <c r="H231" s="46">
        <f>SUM(V231)</f>
        <v>334.95</v>
      </c>
      <c r="I231" s="46">
        <f>D231*H231</f>
        <v>3349.5</v>
      </c>
      <c r="J231" s="18">
        <f>E231+H231</f>
        <v>645.0985483870968</v>
      </c>
      <c r="K231" s="18">
        <f>F231+I231</f>
        <v>6450.9854838709671</v>
      </c>
      <c r="L231" s="50"/>
      <c r="M231" s="3"/>
      <c r="O231" s="40">
        <v>268.52688172043008</v>
      </c>
      <c r="P231" s="41">
        <f>$P$1</f>
        <v>1.155</v>
      </c>
      <c r="Q231" s="42">
        <f>SUM(P231*O231)</f>
        <v>310.14854838709675</v>
      </c>
      <c r="R231" s="43"/>
      <c r="S231" s="43"/>
      <c r="T231" s="44">
        <v>290</v>
      </c>
      <c r="U231" s="45">
        <f>$U$1</f>
        <v>1.155</v>
      </c>
      <c r="V231" s="44">
        <f>SUM(U231*T231)</f>
        <v>334.95</v>
      </c>
      <c r="X231">
        <f t="shared" si="235"/>
        <v>2685.2688172043008</v>
      </c>
      <c r="Y231">
        <f t="shared" si="236"/>
        <v>2900</v>
      </c>
    </row>
    <row r="232" spans="1:25">
      <c r="A232" s="19" t="s">
        <v>26</v>
      </c>
      <c r="B232" s="31" t="s">
        <v>272</v>
      </c>
      <c r="C232" s="19" t="s">
        <v>26</v>
      </c>
      <c r="D232" s="20"/>
      <c r="E232" s="20"/>
      <c r="F232" s="20"/>
      <c r="G232" s="19"/>
      <c r="H232" s="20"/>
      <c r="I232" s="20"/>
      <c r="J232" s="20"/>
      <c r="K232" s="20"/>
      <c r="L232" s="50"/>
      <c r="M232" s="3"/>
      <c r="O232" s="43"/>
      <c r="P232" s="43"/>
      <c r="Q232" s="43"/>
      <c r="R232" s="43"/>
      <c r="X232">
        <f t="shared" si="235"/>
        <v>0</v>
      </c>
      <c r="Y232">
        <f t="shared" si="236"/>
        <v>0</v>
      </c>
    </row>
    <row r="233" spans="1:25">
      <c r="A233" s="19" t="s">
        <v>26</v>
      </c>
      <c r="B233" s="31" t="s">
        <v>273</v>
      </c>
      <c r="C233" s="19" t="s">
        <v>26</v>
      </c>
      <c r="D233" s="20"/>
      <c r="E233" s="20"/>
      <c r="F233" s="20"/>
      <c r="G233" s="19"/>
      <c r="H233" s="20"/>
      <c r="I233" s="20"/>
      <c r="J233" s="20"/>
      <c r="K233" s="20"/>
      <c r="L233" s="50"/>
      <c r="M233" s="3"/>
      <c r="O233" s="43"/>
      <c r="P233" s="43"/>
      <c r="Q233" s="43"/>
      <c r="R233" s="43"/>
      <c r="X233">
        <f t="shared" si="235"/>
        <v>0</v>
      </c>
      <c r="Y233">
        <f t="shared" si="236"/>
        <v>0</v>
      </c>
    </row>
    <row r="234" spans="1:25">
      <c r="A234" s="19" t="s">
        <v>26</v>
      </c>
      <c r="B234" s="31" t="s">
        <v>274</v>
      </c>
      <c r="C234" s="19" t="s">
        <v>26</v>
      </c>
      <c r="D234" s="20"/>
      <c r="E234" s="20"/>
      <c r="F234" s="20"/>
      <c r="G234" s="19"/>
      <c r="H234" s="20"/>
      <c r="I234" s="20"/>
      <c r="J234" s="20"/>
      <c r="K234" s="20"/>
      <c r="L234" s="50"/>
      <c r="M234" s="3"/>
      <c r="O234" s="43"/>
      <c r="P234" s="43"/>
      <c r="Q234" s="43"/>
      <c r="R234" s="43"/>
      <c r="X234">
        <f t="shared" si="235"/>
        <v>0</v>
      </c>
      <c r="Y234">
        <f t="shared" si="236"/>
        <v>0</v>
      </c>
    </row>
    <row r="235" spans="1:25">
      <c r="A235" s="8" t="s">
        <v>26</v>
      </c>
      <c r="B235" s="27" t="s">
        <v>275</v>
      </c>
      <c r="C235" s="8" t="s">
        <v>74</v>
      </c>
      <c r="D235" s="13">
        <v>290</v>
      </c>
      <c r="E235" s="46">
        <f>SUM(Q235)</f>
        <v>121.72150706896552</v>
      </c>
      <c r="F235" s="46">
        <f>D235*E235</f>
        <v>35299.237050000003</v>
      </c>
      <c r="G235" s="47"/>
      <c r="H235" s="46">
        <f>SUM(V235)</f>
        <v>127.05</v>
      </c>
      <c r="I235" s="46">
        <f>D235*H235</f>
        <v>36844.5</v>
      </c>
      <c r="J235" s="13">
        <f>E235+H235</f>
        <v>248.77150706896552</v>
      </c>
      <c r="K235" s="13">
        <f>F235+I235</f>
        <v>72143.737049999996</v>
      </c>
      <c r="L235" s="50"/>
      <c r="M235" s="3"/>
      <c r="O235" s="40">
        <f>SUM([2]List1!$G$125)</f>
        <v>105.38658620689655</v>
      </c>
      <c r="P235" s="41">
        <f>$P$1</f>
        <v>1.155</v>
      </c>
      <c r="Q235" s="42">
        <f>SUM(P235*O235)</f>
        <v>121.72150706896552</v>
      </c>
      <c r="R235" s="43"/>
      <c r="S235" s="43"/>
      <c r="T235" s="44">
        <v>110</v>
      </c>
      <c r="U235" s="45">
        <f>$U$1</f>
        <v>1.155</v>
      </c>
      <c r="V235" s="44">
        <f>SUM(U235*T235)</f>
        <v>127.05</v>
      </c>
      <c r="X235">
        <f t="shared" si="235"/>
        <v>30562.11</v>
      </c>
      <c r="Y235">
        <f t="shared" si="236"/>
        <v>31900</v>
      </c>
    </row>
    <row r="236" spans="1:25">
      <c r="A236" s="19" t="s">
        <v>26</v>
      </c>
      <c r="B236" s="31" t="s">
        <v>272</v>
      </c>
      <c r="C236" s="19" t="s">
        <v>26</v>
      </c>
      <c r="D236" s="20"/>
      <c r="E236" s="20"/>
      <c r="F236" s="20"/>
      <c r="G236" s="19"/>
      <c r="H236" s="20"/>
      <c r="I236" s="20"/>
      <c r="J236" s="20"/>
      <c r="K236" s="20"/>
      <c r="L236" s="50"/>
      <c r="M236" s="3"/>
      <c r="O236" s="43"/>
      <c r="P236" s="43"/>
      <c r="Q236" s="43"/>
      <c r="R236" s="43"/>
      <c r="X236">
        <f t="shared" si="235"/>
        <v>0</v>
      </c>
      <c r="Y236">
        <f t="shared" si="236"/>
        <v>0</v>
      </c>
    </row>
    <row r="237" spans="1:25">
      <c r="A237" s="19" t="s">
        <v>26</v>
      </c>
      <c r="B237" s="31" t="s">
        <v>276</v>
      </c>
      <c r="C237" s="19" t="s">
        <v>26</v>
      </c>
      <c r="D237" s="20"/>
      <c r="E237" s="20"/>
      <c r="F237" s="20"/>
      <c r="G237" s="19"/>
      <c r="H237" s="20"/>
      <c r="I237" s="20"/>
      <c r="J237" s="20"/>
      <c r="K237" s="20"/>
      <c r="L237" s="50"/>
      <c r="M237" s="3"/>
      <c r="O237" s="43"/>
      <c r="P237" s="43"/>
      <c r="Q237" s="43"/>
      <c r="R237" s="43"/>
      <c r="X237">
        <f t="shared" si="235"/>
        <v>0</v>
      </c>
      <c r="Y237">
        <f t="shared" si="236"/>
        <v>0</v>
      </c>
    </row>
    <row r="238" spans="1:25">
      <c r="A238" s="19" t="s">
        <v>26</v>
      </c>
      <c r="B238" s="31" t="s">
        <v>274</v>
      </c>
      <c r="C238" s="19" t="s">
        <v>26</v>
      </c>
      <c r="D238" s="20"/>
      <c r="E238" s="20"/>
      <c r="F238" s="20"/>
      <c r="G238" s="19"/>
      <c r="H238" s="20"/>
      <c r="I238" s="20"/>
      <c r="J238" s="20"/>
      <c r="K238" s="20"/>
      <c r="L238" s="50"/>
      <c r="M238" s="3"/>
      <c r="O238" s="43"/>
      <c r="P238" s="43"/>
      <c r="Q238" s="43"/>
      <c r="R238" s="43"/>
      <c r="X238">
        <f t="shared" si="235"/>
        <v>0</v>
      </c>
      <c r="Y238">
        <f t="shared" si="236"/>
        <v>0</v>
      </c>
    </row>
    <row r="239" spans="1:25">
      <c r="A239" s="8" t="s">
        <v>26</v>
      </c>
      <c r="B239" s="27" t="s">
        <v>277</v>
      </c>
      <c r="C239" s="8" t="s">
        <v>74</v>
      </c>
      <c r="D239" s="13">
        <v>225</v>
      </c>
      <c r="E239" s="46">
        <f t="shared" ref="E239:E241" si="273">SUM(Q239)</f>
        <v>193.2813360865741</v>
      </c>
      <c r="F239" s="46">
        <f t="shared" ref="F239:F241" si="274">D239*E239</f>
        <v>43488.300619479174</v>
      </c>
      <c r="G239" s="47"/>
      <c r="H239" s="46">
        <f t="shared" ref="H239:H241" si="275">SUM(V239)</f>
        <v>127.05</v>
      </c>
      <c r="I239" s="46">
        <f t="shared" ref="I239:I241" si="276">D239*H239</f>
        <v>28586.25</v>
      </c>
      <c r="J239" s="13">
        <f t="shared" ref="J239:K241" si="277">E239+H239</f>
        <v>320.33133608657408</v>
      </c>
      <c r="K239" s="13">
        <f t="shared" si="277"/>
        <v>72074.550619479181</v>
      </c>
      <c r="L239" s="50"/>
      <c r="M239" s="3"/>
      <c r="O239" s="40">
        <f>SUM([3]Rozpočet!$Y$198)</f>
        <v>167.34314812690397</v>
      </c>
      <c r="P239" s="41">
        <f t="shared" ref="P239:P241" si="278">$P$1</f>
        <v>1.155</v>
      </c>
      <c r="Q239" s="42">
        <f t="shared" ref="Q239:Q241" si="279">SUM(P239*O239)</f>
        <v>193.2813360865741</v>
      </c>
      <c r="R239" s="43"/>
      <c r="S239" s="43"/>
      <c r="T239" s="44">
        <v>110</v>
      </c>
      <c r="U239" s="45">
        <f t="shared" ref="U239:U241" si="280">$U$1</f>
        <v>1.155</v>
      </c>
      <c r="V239" s="44">
        <f t="shared" ref="V239:V241" si="281">SUM(U239*T239)</f>
        <v>127.05</v>
      </c>
      <c r="X239">
        <f t="shared" si="235"/>
        <v>37652.208328553395</v>
      </c>
      <c r="Y239">
        <f t="shared" si="236"/>
        <v>24750</v>
      </c>
    </row>
    <row r="240" spans="1:25">
      <c r="A240" s="8" t="s">
        <v>26</v>
      </c>
      <c r="B240" s="27" t="s">
        <v>278</v>
      </c>
      <c r="C240" s="8" t="s">
        <v>74</v>
      </c>
      <c r="D240" s="13">
        <v>35</v>
      </c>
      <c r="E240" s="46">
        <f t="shared" si="273"/>
        <v>65.441019463882853</v>
      </c>
      <c r="F240" s="46">
        <f t="shared" si="274"/>
        <v>2290.4356812358997</v>
      </c>
      <c r="G240" s="47"/>
      <c r="H240" s="46">
        <f t="shared" si="275"/>
        <v>173.25</v>
      </c>
      <c r="I240" s="46">
        <f t="shared" si="276"/>
        <v>6063.75</v>
      </c>
      <c r="J240" s="13">
        <f t="shared" si="277"/>
        <v>238.69101946388287</v>
      </c>
      <c r="K240" s="13">
        <f t="shared" si="277"/>
        <v>8354.1856812359001</v>
      </c>
      <c r="L240" s="50"/>
      <c r="M240" s="3"/>
      <c r="O240" s="40">
        <f>SUM([3]Rozpočet!$Y$207)</f>
        <v>56.658891310721081</v>
      </c>
      <c r="P240" s="41">
        <f t="shared" si="278"/>
        <v>1.155</v>
      </c>
      <c r="Q240" s="42">
        <f t="shared" si="279"/>
        <v>65.441019463882853</v>
      </c>
      <c r="R240" s="43"/>
      <c r="S240" s="43"/>
      <c r="T240" s="44">
        <v>150</v>
      </c>
      <c r="U240" s="45">
        <f t="shared" si="280"/>
        <v>1.155</v>
      </c>
      <c r="V240" s="44">
        <f t="shared" si="281"/>
        <v>173.25</v>
      </c>
      <c r="X240">
        <f t="shared" si="235"/>
        <v>1983.0611958752379</v>
      </c>
      <c r="Y240">
        <f t="shared" si="236"/>
        <v>5250</v>
      </c>
    </row>
    <row r="241" spans="1:25">
      <c r="A241" s="8" t="s">
        <v>26</v>
      </c>
      <c r="B241" s="27" t="s">
        <v>279</v>
      </c>
      <c r="C241" s="8" t="s">
        <v>74</v>
      </c>
      <c r="D241" s="13">
        <v>10</v>
      </c>
      <c r="E241" s="46">
        <f t="shared" si="273"/>
        <v>684.33893541355962</v>
      </c>
      <c r="F241" s="46">
        <f t="shared" si="274"/>
        <v>6843.3893541355965</v>
      </c>
      <c r="G241" s="47"/>
      <c r="H241" s="46">
        <f t="shared" si="275"/>
        <v>254.1</v>
      </c>
      <c r="I241" s="46">
        <f t="shared" si="276"/>
        <v>2541</v>
      </c>
      <c r="J241" s="13">
        <f t="shared" si="277"/>
        <v>938.43893541355965</v>
      </c>
      <c r="K241" s="13">
        <f t="shared" si="277"/>
        <v>9384.3893541355974</v>
      </c>
      <c r="L241" s="50"/>
      <c r="M241" s="3"/>
      <c r="O241" s="40">
        <f>SUM([3]Rozpočet!$Y$216)</f>
        <v>592.50124278230271</v>
      </c>
      <c r="P241" s="41">
        <f t="shared" si="278"/>
        <v>1.155</v>
      </c>
      <c r="Q241" s="42">
        <f t="shared" si="279"/>
        <v>684.33893541355962</v>
      </c>
      <c r="R241" s="43"/>
      <c r="S241" s="43"/>
      <c r="T241" s="44">
        <v>220</v>
      </c>
      <c r="U241" s="45">
        <f t="shared" si="280"/>
        <v>1.155</v>
      </c>
      <c r="V241" s="44">
        <f t="shared" si="281"/>
        <v>254.1</v>
      </c>
      <c r="X241">
        <f t="shared" si="235"/>
        <v>5925.0124278230269</v>
      </c>
      <c r="Y241">
        <f t="shared" si="236"/>
        <v>2200</v>
      </c>
    </row>
    <row r="242" spans="1:25">
      <c r="A242" s="19" t="s">
        <v>26</v>
      </c>
      <c r="B242" s="31" t="s">
        <v>280</v>
      </c>
      <c r="C242" s="19" t="s">
        <v>26</v>
      </c>
      <c r="D242" s="20"/>
      <c r="E242" s="20"/>
      <c r="F242" s="20"/>
      <c r="G242" s="19"/>
      <c r="H242" s="20"/>
      <c r="I242" s="20"/>
      <c r="J242" s="20"/>
      <c r="K242" s="20"/>
      <c r="L242" s="50"/>
      <c r="M242" s="3"/>
      <c r="O242" s="43"/>
      <c r="P242" s="43"/>
      <c r="Q242" s="43"/>
      <c r="R242" s="43"/>
      <c r="X242">
        <f t="shared" si="235"/>
        <v>0</v>
      </c>
      <c r="Y242">
        <f t="shared" si="236"/>
        <v>0</v>
      </c>
    </row>
    <row r="243" spans="1:25">
      <c r="A243" s="19" t="s">
        <v>26</v>
      </c>
      <c r="B243" s="31" t="s">
        <v>281</v>
      </c>
      <c r="C243" s="19" t="s">
        <v>26</v>
      </c>
      <c r="D243" s="20"/>
      <c r="E243" s="20"/>
      <c r="F243" s="20"/>
      <c r="G243" s="19"/>
      <c r="H243" s="20"/>
      <c r="I243" s="20"/>
      <c r="J243" s="20"/>
      <c r="K243" s="20"/>
      <c r="L243" s="50"/>
      <c r="M243" s="3"/>
      <c r="O243" s="43"/>
      <c r="P243" s="43"/>
      <c r="Q243" s="43"/>
      <c r="R243" s="43"/>
      <c r="X243">
        <f t="shared" si="235"/>
        <v>0</v>
      </c>
      <c r="Y243">
        <f t="shared" si="236"/>
        <v>0</v>
      </c>
    </row>
    <row r="244" spans="1:25">
      <c r="A244" s="8" t="s">
        <v>26</v>
      </c>
      <c r="B244" s="27" t="s">
        <v>282</v>
      </c>
      <c r="C244" s="8" t="s">
        <v>64</v>
      </c>
      <c r="D244" s="13">
        <v>290</v>
      </c>
      <c r="E244" s="46">
        <f t="shared" ref="E244:E251" si="282">SUM(Q244)</f>
        <v>49.554892738327403</v>
      </c>
      <c r="F244" s="46">
        <f t="shared" ref="F244:F251" si="283">D244*E244</f>
        <v>14370.918894114948</v>
      </c>
      <c r="G244" s="47"/>
      <c r="H244" s="46">
        <f t="shared" ref="H244:H251" si="284">SUM(V244)</f>
        <v>69.3</v>
      </c>
      <c r="I244" s="46">
        <f t="shared" ref="I244:I251" si="285">D244*H244</f>
        <v>20097</v>
      </c>
      <c r="J244" s="13">
        <f t="shared" ref="J244:K251" si="286">E244+H244</f>
        <v>118.85489273832741</v>
      </c>
      <c r="K244" s="13">
        <f t="shared" si="286"/>
        <v>34467.918894114948</v>
      </c>
      <c r="L244" s="50"/>
      <c r="M244" s="3"/>
      <c r="O244" s="40">
        <v>42.904669037512903</v>
      </c>
      <c r="P244" s="41">
        <f t="shared" ref="P244:P251" si="287">$P$1</f>
        <v>1.155</v>
      </c>
      <c r="Q244" s="42">
        <f t="shared" ref="Q244:Q251" si="288">SUM(P244*O244)</f>
        <v>49.554892738327403</v>
      </c>
      <c r="R244" s="43"/>
      <c r="S244" s="43"/>
      <c r="T244" s="44">
        <v>60</v>
      </c>
      <c r="U244" s="45">
        <f t="shared" ref="U244:U251" si="289">$U$1</f>
        <v>1.155</v>
      </c>
      <c r="V244" s="44">
        <f t="shared" ref="V244:V251" si="290">SUM(U244*T244)</f>
        <v>69.3</v>
      </c>
      <c r="X244">
        <f t="shared" si="235"/>
        <v>12442.354020878742</v>
      </c>
      <c r="Y244">
        <f t="shared" si="236"/>
        <v>17400</v>
      </c>
    </row>
    <row r="245" spans="1:25">
      <c r="A245" s="8" t="s">
        <v>26</v>
      </c>
      <c r="B245" s="27" t="s">
        <v>283</v>
      </c>
      <c r="C245" s="8" t="s">
        <v>64</v>
      </c>
      <c r="D245" s="13">
        <v>225</v>
      </c>
      <c r="E245" s="46">
        <f t="shared" si="282"/>
        <v>49.554892738327403</v>
      </c>
      <c r="F245" s="46">
        <f t="shared" si="283"/>
        <v>11149.850866123666</v>
      </c>
      <c r="G245" s="47"/>
      <c r="H245" s="46">
        <f t="shared" si="284"/>
        <v>69.3</v>
      </c>
      <c r="I245" s="46">
        <f t="shared" si="285"/>
        <v>15592.5</v>
      </c>
      <c r="J245" s="13">
        <f t="shared" si="286"/>
        <v>118.85489273832741</v>
      </c>
      <c r="K245" s="13">
        <f t="shared" si="286"/>
        <v>26742.350866123666</v>
      </c>
      <c r="L245" s="50"/>
      <c r="M245" s="3"/>
      <c r="O245" s="40">
        <v>42.904669037512903</v>
      </c>
      <c r="P245" s="41">
        <f t="shared" si="287"/>
        <v>1.155</v>
      </c>
      <c r="Q245" s="42">
        <f t="shared" si="288"/>
        <v>49.554892738327403</v>
      </c>
      <c r="R245" s="43"/>
      <c r="S245" s="43"/>
      <c r="T245" s="44">
        <v>60</v>
      </c>
      <c r="U245" s="45">
        <f t="shared" si="289"/>
        <v>1.155</v>
      </c>
      <c r="V245" s="44">
        <f t="shared" si="290"/>
        <v>69.3</v>
      </c>
      <c r="X245">
        <f t="shared" si="235"/>
        <v>9653.5505334404024</v>
      </c>
      <c r="Y245">
        <f t="shared" si="236"/>
        <v>13500</v>
      </c>
    </row>
    <row r="246" spans="1:25">
      <c r="A246" s="8" t="s">
        <v>26</v>
      </c>
      <c r="B246" s="27" t="s">
        <v>284</v>
      </c>
      <c r="C246" s="8" t="s">
        <v>64</v>
      </c>
      <c r="D246" s="13">
        <v>35</v>
      </c>
      <c r="E246" s="46">
        <f t="shared" si="282"/>
        <v>110.87576000917748</v>
      </c>
      <c r="F246" s="46">
        <f t="shared" si="283"/>
        <v>3880.6516003212118</v>
      </c>
      <c r="G246" s="47"/>
      <c r="H246" s="46">
        <f t="shared" si="284"/>
        <v>69.3</v>
      </c>
      <c r="I246" s="46">
        <f t="shared" si="285"/>
        <v>2425.5</v>
      </c>
      <c r="J246" s="13">
        <f t="shared" si="286"/>
        <v>180.17576000917748</v>
      </c>
      <c r="K246" s="13">
        <f t="shared" si="286"/>
        <v>6306.1516003212118</v>
      </c>
      <c r="L246" s="50"/>
      <c r="M246" s="3"/>
      <c r="O246" s="40">
        <v>95.99632901227487</v>
      </c>
      <c r="P246" s="41">
        <f t="shared" si="287"/>
        <v>1.155</v>
      </c>
      <c r="Q246" s="42">
        <f t="shared" si="288"/>
        <v>110.87576000917748</v>
      </c>
      <c r="R246" s="43"/>
      <c r="S246" s="43"/>
      <c r="T246" s="44">
        <v>60</v>
      </c>
      <c r="U246" s="45">
        <f t="shared" si="289"/>
        <v>1.155</v>
      </c>
      <c r="V246" s="44">
        <f t="shared" si="290"/>
        <v>69.3</v>
      </c>
      <c r="X246">
        <f t="shared" si="235"/>
        <v>3359.8715154296206</v>
      </c>
      <c r="Y246">
        <f t="shared" si="236"/>
        <v>2100</v>
      </c>
    </row>
    <row r="247" spans="1:25">
      <c r="A247" s="8" t="s">
        <v>26</v>
      </c>
      <c r="B247" s="27" t="s">
        <v>285</v>
      </c>
      <c r="C247" s="8" t="s">
        <v>64</v>
      </c>
      <c r="D247" s="13">
        <v>10</v>
      </c>
      <c r="E247" s="46">
        <f t="shared" si="282"/>
        <v>206.27555351611795</v>
      </c>
      <c r="F247" s="46">
        <f t="shared" si="283"/>
        <v>2062.7555351611795</v>
      </c>
      <c r="G247" s="47"/>
      <c r="H247" s="46">
        <f t="shared" si="284"/>
        <v>69.3</v>
      </c>
      <c r="I247" s="46">
        <f t="shared" si="285"/>
        <v>693</v>
      </c>
      <c r="J247" s="13">
        <f t="shared" si="286"/>
        <v>275.57555351611796</v>
      </c>
      <c r="K247" s="13">
        <f t="shared" si="286"/>
        <v>2755.7555351611795</v>
      </c>
      <c r="L247" s="50"/>
      <c r="M247" s="3"/>
      <c r="O247" s="40">
        <v>178.59355282780774</v>
      </c>
      <c r="P247" s="41">
        <f t="shared" si="287"/>
        <v>1.155</v>
      </c>
      <c r="Q247" s="42">
        <f t="shared" si="288"/>
        <v>206.27555351611795</v>
      </c>
      <c r="R247" s="43"/>
      <c r="S247" s="43"/>
      <c r="T247" s="44">
        <v>60</v>
      </c>
      <c r="U247" s="45">
        <f t="shared" si="289"/>
        <v>1.155</v>
      </c>
      <c r="V247" s="44">
        <f t="shared" si="290"/>
        <v>69.3</v>
      </c>
      <c r="X247">
        <f t="shared" si="235"/>
        <v>1785.9355282780775</v>
      </c>
      <c r="Y247">
        <f t="shared" si="236"/>
        <v>600</v>
      </c>
    </row>
    <row r="248" spans="1:25">
      <c r="A248" s="17" t="s">
        <v>26</v>
      </c>
      <c r="B248" s="30" t="s">
        <v>286</v>
      </c>
      <c r="C248" s="17" t="s">
        <v>74</v>
      </c>
      <c r="D248" s="18">
        <v>510</v>
      </c>
      <c r="E248" s="46">
        <f t="shared" si="282"/>
        <v>18.653870967741934</v>
      </c>
      <c r="F248" s="46">
        <f t="shared" si="283"/>
        <v>9513.4741935483871</v>
      </c>
      <c r="G248" s="47"/>
      <c r="H248" s="46">
        <f t="shared" si="284"/>
        <v>25.41</v>
      </c>
      <c r="I248" s="46">
        <f t="shared" si="285"/>
        <v>12959.1</v>
      </c>
      <c r="J248" s="18">
        <f t="shared" si="286"/>
        <v>44.063870967741934</v>
      </c>
      <c r="K248" s="18">
        <f t="shared" si="286"/>
        <v>22472.574193548389</v>
      </c>
      <c r="L248" s="50"/>
      <c r="M248" s="3"/>
      <c r="O248" s="40">
        <v>16.1505376344086</v>
      </c>
      <c r="P248" s="41">
        <f t="shared" si="287"/>
        <v>1.155</v>
      </c>
      <c r="Q248" s="42">
        <f t="shared" si="288"/>
        <v>18.653870967741934</v>
      </c>
      <c r="R248" s="43"/>
      <c r="S248" s="43"/>
      <c r="T248" s="44">
        <v>22</v>
      </c>
      <c r="U248" s="45">
        <f t="shared" si="289"/>
        <v>1.155</v>
      </c>
      <c r="V248" s="44">
        <f t="shared" si="290"/>
        <v>25.41</v>
      </c>
      <c r="X248">
        <f t="shared" si="235"/>
        <v>8236.7741935483864</v>
      </c>
      <c r="Y248">
        <f t="shared" si="236"/>
        <v>11220</v>
      </c>
    </row>
    <row r="249" spans="1:25" ht="23.25">
      <c r="A249" s="17" t="s">
        <v>26</v>
      </c>
      <c r="B249" s="30" t="s">
        <v>287</v>
      </c>
      <c r="C249" s="17" t="s">
        <v>74</v>
      </c>
      <c r="D249" s="18">
        <v>750</v>
      </c>
      <c r="E249" s="46">
        <f t="shared" si="282"/>
        <v>10.394999999999998</v>
      </c>
      <c r="F249" s="46">
        <f t="shared" si="283"/>
        <v>7796.2499999999982</v>
      </c>
      <c r="G249" s="47"/>
      <c r="H249" s="46">
        <f t="shared" si="284"/>
        <v>33.494999999999997</v>
      </c>
      <c r="I249" s="46">
        <f t="shared" si="285"/>
        <v>25121.249999999996</v>
      </c>
      <c r="J249" s="18">
        <f t="shared" si="286"/>
        <v>43.889999999999993</v>
      </c>
      <c r="K249" s="18">
        <f t="shared" si="286"/>
        <v>32917.499999999993</v>
      </c>
      <c r="L249" s="50"/>
      <c r="M249" s="3"/>
      <c r="O249" s="40">
        <v>8.9999999999999982</v>
      </c>
      <c r="P249" s="41">
        <f t="shared" si="287"/>
        <v>1.155</v>
      </c>
      <c r="Q249" s="42">
        <f t="shared" si="288"/>
        <v>10.394999999999998</v>
      </c>
      <c r="R249" s="43"/>
      <c r="S249" s="43"/>
      <c r="T249" s="44">
        <v>29</v>
      </c>
      <c r="U249" s="45">
        <f t="shared" si="289"/>
        <v>1.155</v>
      </c>
      <c r="V249" s="44">
        <f t="shared" si="290"/>
        <v>33.494999999999997</v>
      </c>
      <c r="X249">
        <f t="shared" si="235"/>
        <v>6749.9999999999991</v>
      </c>
      <c r="Y249">
        <f t="shared" si="236"/>
        <v>21750</v>
      </c>
    </row>
    <row r="250" spans="1:25">
      <c r="A250" s="8" t="s">
        <v>26</v>
      </c>
      <c r="B250" s="27" t="s">
        <v>288</v>
      </c>
      <c r="C250" s="8" t="s">
        <v>74</v>
      </c>
      <c r="D250" s="13">
        <v>60</v>
      </c>
      <c r="E250" s="46">
        <f t="shared" si="282"/>
        <v>14.381612903225806</v>
      </c>
      <c r="F250" s="46">
        <f t="shared" si="283"/>
        <v>862.89677419354837</v>
      </c>
      <c r="G250" s="47"/>
      <c r="H250" s="46">
        <f t="shared" si="284"/>
        <v>33.494999999999997</v>
      </c>
      <c r="I250" s="46">
        <f t="shared" si="285"/>
        <v>2009.6999999999998</v>
      </c>
      <c r="J250" s="13">
        <f t="shared" si="286"/>
        <v>47.876612903225805</v>
      </c>
      <c r="K250" s="13">
        <f t="shared" si="286"/>
        <v>2872.5967741935483</v>
      </c>
      <c r="L250" s="50"/>
      <c r="M250" s="3"/>
      <c r="O250" s="40">
        <v>12.451612903225806</v>
      </c>
      <c r="P250" s="41">
        <f t="shared" si="287"/>
        <v>1.155</v>
      </c>
      <c r="Q250" s="42">
        <f t="shared" si="288"/>
        <v>14.381612903225806</v>
      </c>
      <c r="R250" s="43"/>
      <c r="S250" s="43"/>
      <c r="T250" s="44">
        <v>29</v>
      </c>
      <c r="U250" s="45">
        <f t="shared" si="289"/>
        <v>1.155</v>
      </c>
      <c r="V250" s="44">
        <f t="shared" si="290"/>
        <v>33.494999999999997</v>
      </c>
      <c r="X250">
        <f t="shared" si="235"/>
        <v>747.09677419354841</v>
      </c>
      <c r="Y250">
        <f t="shared" si="236"/>
        <v>1740</v>
      </c>
    </row>
    <row r="251" spans="1:25">
      <c r="A251" s="8" t="s">
        <v>26</v>
      </c>
      <c r="B251" s="27" t="s">
        <v>289</v>
      </c>
      <c r="C251" s="8" t="s">
        <v>74</v>
      </c>
      <c r="D251" s="13">
        <v>20</v>
      </c>
      <c r="E251" s="46">
        <f t="shared" si="282"/>
        <v>22.565967741935484</v>
      </c>
      <c r="F251" s="46">
        <f t="shared" si="283"/>
        <v>451.31935483870967</v>
      </c>
      <c r="G251" s="47"/>
      <c r="H251" s="46">
        <f t="shared" si="284"/>
        <v>33.494999999999997</v>
      </c>
      <c r="I251" s="46">
        <f t="shared" si="285"/>
        <v>669.9</v>
      </c>
      <c r="J251" s="13">
        <f t="shared" si="286"/>
        <v>56.060967741935485</v>
      </c>
      <c r="K251" s="13">
        <f t="shared" si="286"/>
        <v>1121.2193548387097</v>
      </c>
      <c r="L251" s="50"/>
      <c r="M251" s="3"/>
      <c r="O251" s="40">
        <v>19.537634408602152</v>
      </c>
      <c r="P251" s="41">
        <f t="shared" si="287"/>
        <v>1.155</v>
      </c>
      <c r="Q251" s="42">
        <f t="shared" si="288"/>
        <v>22.565967741935484</v>
      </c>
      <c r="R251" s="43"/>
      <c r="S251" s="43"/>
      <c r="T251" s="44">
        <v>29</v>
      </c>
      <c r="U251" s="45">
        <f t="shared" si="289"/>
        <v>1.155</v>
      </c>
      <c r="V251" s="44">
        <f t="shared" si="290"/>
        <v>33.494999999999997</v>
      </c>
      <c r="X251">
        <f t="shared" si="235"/>
        <v>390.75268817204301</v>
      </c>
      <c r="Y251">
        <f t="shared" si="236"/>
        <v>580</v>
      </c>
    </row>
    <row r="252" spans="1:25">
      <c r="A252" s="19" t="s">
        <v>26</v>
      </c>
      <c r="B252" s="31" t="s">
        <v>290</v>
      </c>
      <c r="C252" s="19" t="s">
        <v>26</v>
      </c>
      <c r="D252" s="20"/>
      <c r="E252" s="20"/>
      <c r="F252" s="20"/>
      <c r="G252" s="19"/>
      <c r="H252" s="20"/>
      <c r="I252" s="20"/>
      <c r="J252" s="20"/>
      <c r="K252" s="20"/>
      <c r="L252" s="50"/>
      <c r="M252" s="3"/>
      <c r="O252" s="43"/>
      <c r="P252" s="43"/>
      <c r="Q252" s="43"/>
      <c r="R252" s="43"/>
      <c r="X252">
        <f t="shared" si="235"/>
        <v>0</v>
      </c>
      <c r="Y252">
        <f t="shared" si="236"/>
        <v>0</v>
      </c>
    </row>
    <row r="253" spans="1:25">
      <c r="A253" s="8" t="s">
        <v>26</v>
      </c>
      <c r="B253" s="27" t="s">
        <v>291</v>
      </c>
      <c r="C253" s="8" t="s">
        <v>74</v>
      </c>
      <c r="D253" s="13">
        <v>100</v>
      </c>
      <c r="E253" s="46">
        <f>SUM(Q253)</f>
        <v>360.19830000000002</v>
      </c>
      <c r="F253" s="46">
        <f>D253*E253</f>
        <v>36019.83</v>
      </c>
      <c r="G253" s="47"/>
      <c r="H253" s="46">
        <f>SUM(V253)</f>
        <v>46.2</v>
      </c>
      <c r="I253" s="46">
        <f>D253*H253</f>
        <v>4620</v>
      </c>
      <c r="J253" s="13">
        <f>E253+H253</f>
        <v>406.39830000000001</v>
      </c>
      <c r="K253" s="13">
        <f>F253+I253</f>
        <v>40639.83</v>
      </c>
      <c r="L253" s="50"/>
      <c r="M253" s="3"/>
      <c r="O253" s="40">
        <f>SUM([2]List1!$E$146)</f>
        <v>311.86</v>
      </c>
      <c r="P253" s="41">
        <f>$P$1</f>
        <v>1.155</v>
      </c>
      <c r="Q253" s="42">
        <f>SUM(P253*O253)</f>
        <v>360.19830000000002</v>
      </c>
      <c r="R253" s="43"/>
      <c r="S253" s="43"/>
      <c r="T253" s="44">
        <v>40</v>
      </c>
      <c r="U253" s="45">
        <f>$U$1</f>
        <v>1.155</v>
      </c>
      <c r="V253" s="44">
        <f>SUM(U253*T253)</f>
        <v>46.2</v>
      </c>
      <c r="X253">
        <f t="shared" si="235"/>
        <v>31186</v>
      </c>
      <c r="Y253">
        <f t="shared" si="236"/>
        <v>4000</v>
      </c>
    </row>
    <row r="254" spans="1:25">
      <c r="A254" s="19" t="s">
        <v>26</v>
      </c>
      <c r="B254" s="31" t="s">
        <v>292</v>
      </c>
      <c r="C254" s="19" t="s">
        <v>26</v>
      </c>
      <c r="D254" s="20"/>
      <c r="E254" s="20"/>
      <c r="F254" s="20"/>
      <c r="G254" s="19"/>
      <c r="H254" s="20"/>
      <c r="I254" s="20"/>
      <c r="J254" s="20"/>
      <c r="K254" s="20"/>
      <c r="L254" s="50"/>
      <c r="M254" s="3"/>
      <c r="O254" s="43"/>
      <c r="P254" s="43"/>
      <c r="Q254" s="43"/>
      <c r="R254" s="43"/>
      <c r="X254">
        <f t="shared" si="235"/>
        <v>0</v>
      </c>
      <c r="Y254">
        <f t="shared" si="236"/>
        <v>0</v>
      </c>
    </row>
    <row r="255" spans="1:25">
      <c r="A255" s="8" t="s">
        <v>26</v>
      </c>
      <c r="B255" s="27" t="s">
        <v>293</v>
      </c>
      <c r="C255" s="8" t="s">
        <v>74</v>
      </c>
      <c r="D255" s="13">
        <v>10</v>
      </c>
      <c r="E255" s="46">
        <f t="shared" ref="E255:E259" si="291">SUM(Q255)</f>
        <v>86.43870967741934</v>
      </c>
      <c r="F255" s="46">
        <f t="shared" ref="F255:F259" si="292">D255*E255</f>
        <v>864.38709677419342</v>
      </c>
      <c r="G255" s="47"/>
      <c r="H255" s="46">
        <f t="shared" ref="H255:H259" si="293">SUM(V255)</f>
        <v>33.494999999999997</v>
      </c>
      <c r="I255" s="46">
        <f t="shared" ref="I255:I259" si="294">D255*H255</f>
        <v>334.95</v>
      </c>
      <c r="J255" s="13">
        <f t="shared" ref="J255:K259" si="295">E255+H255</f>
        <v>119.93370967741933</v>
      </c>
      <c r="K255" s="13">
        <f t="shared" si="295"/>
        <v>1199.3370967741935</v>
      </c>
      <c r="L255" s="50"/>
      <c r="M255" s="3"/>
      <c r="O255" s="40">
        <v>74.838709677419345</v>
      </c>
      <c r="P255" s="41">
        <f t="shared" ref="P255:P259" si="296">$P$1</f>
        <v>1.155</v>
      </c>
      <c r="Q255" s="42">
        <f t="shared" ref="Q255:Q259" si="297">SUM(P255*O255)</f>
        <v>86.43870967741934</v>
      </c>
      <c r="R255" s="43"/>
      <c r="S255" s="43"/>
      <c r="T255" s="44">
        <v>29</v>
      </c>
      <c r="U255" s="45">
        <f t="shared" ref="U255:U259" si="298">$U$1</f>
        <v>1.155</v>
      </c>
      <c r="V255" s="44">
        <f t="shared" ref="V255:V259" si="299">SUM(U255*T255)</f>
        <v>33.494999999999997</v>
      </c>
      <c r="X255">
        <f t="shared" si="235"/>
        <v>748.38709677419342</v>
      </c>
      <c r="Y255">
        <f t="shared" si="236"/>
        <v>290</v>
      </c>
    </row>
    <row r="256" spans="1:25">
      <c r="A256" s="8" t="s">
        <v>26</v>
      </c>
      <c r="B256" s="27" t="s">
        <v>294</v>
      </c>
      <c r="C256" s="8" t="s">
        <v>74</v>
      </c>
      <c r="D256" s="13">
        <v>10</v>
      </c>
      <c r="E256" s="46">
        <f t="shared" si="291"/>
        <v>42.523870967741942</v>
      </c>
      <c r="F256" s="46">
        <f t="shared" si="292"/>
        <v>425.23870967741942</v>
      </c>
      <c r="G256" s="47"/>
      <c r="H256" s="46">
        <f t="shared" si="293"/>
        <v>40.425000000000004</v>
      </c>
      <c r="I256" s="46">
        <f t="shared" si="294"/>
        <v>404.25000000000006</v>
      </c>
      <c r="J256" s="13">
        <f t="shared" si="295"/>
        <v>82.948870967741954</v>
      </c>
      <c r="K256" s="13">
        <f t="shared" si="295"/>
        <v>829.48870967741948</v>
      </c>
      <c r="L256" s="50"/>
      <c r="M256" s="3"/>
      <c r="O256" s="40">
        <v>36.817204301075272</v>
      </c>
      <c r="P256" s="41">
        <f t="shared" si="296"/>
        <v>1.155</v>
      </c>
      <c r="Q256" s="42">
        <f t="shared" si="297"/>
        <v>42.523870967741942</v>
      </c>
      <c r="R256" s="43"/>
      <c r="S256" s="43"/>
      <c r="T256" s="44">
        <v>35</v>
      </c>
      <c r="U256" s="45">
        <f t="shared" si="298"/>
        <v>1.155</v>
      </c>
      <c r="V256" s="44">
        <f t="shared" si="299"/>
        <v>40.425000000000004</v>
      </c>
      <c r="X256">
        <f t="shared" si="235"/>
        <v>368.1720430107527</v>
      </c>
      <c r="Y256">
        <f t="shared" si="236"/>
        <v>350</v>
      </c>
    </row>
    <row r="257" spans="1:25">
      <c r="A257" s="8" t="s">
        <v>26</v>
      </c>
      <c r="B257" s="27" t="s">
        <v>295</v>
      </c>
      <c r="C257" s="8" t="s">
        <v>64</v>
      </c>
      <c r="D257" s="13">
        <v>40</v>
      </c>
      <c r="E257" s="46">
        <f t="shared" si="291"/>
        <v>7.0045161290322575</v>
      </c>
      <c r="F257" s="46">
        <f t="shared" si="292"/>
        <v>280.18064516129027</v>
      </c>
      <c r="G257" s="47"/>
      <c r="H257" s="46">
        <f t="shared" si="293"/>
        <v>17.324999999999999</v>
      </c>
      <c r="I257" s="46">
        <f t="shared" si="294"/>
        <v>693</v>
      </c>
      <c r="J257" s="13">
        <f t="shared" si="295"/>
        <v>24.329516129032257</v>
      </c>
      <c r="K257" s="13">
        <f t="shared" si="295"/>
        <v>973.18064516129027</v>
      </c>
      <c r="L257" s="50"/>
      <c r="M257" s="3"/>
      <c r="O257" s="40">
        <v>6.0645161290322571</v>
      </c>
      <c r="P257" s="41">
        <f t="shared" si="296"/>
        <v>1.155</v>
      </c>
      <c r="Q257" s="42">
        <f t="shared" si="297"/>
        <v>7.0045161290322575</v>
      </c>
      <c r="R257" s="43"/>
      <c r="S257" s="43"/>
      <c r="T257" s="44">
        <v>15</v>
      </c>
      <c r="U257" s="45">
        <f t="shared" si="298"/>
        <v>1.155</v>
      </c>
      <c r="V257" s="44">
        <f t="shared" si="299"/>
        <v>17.324999999999999</v>
      </c>
      <c r="X257">
        <f t="shared" si="235"/>
        <v>242.58064516129028</v>
      </c>
      <c r="Y257">
        <f t="shared" si="236"/>
        <v>600</v>
      </c>
    </row>
    <row r="258" spans="1:25">
      <c r="A258" s="8"/>
      <c r="B258" s="27" t="s">
        <v>296</v>
      </c>
      <c r="C258" s="8" t="s">
        <v>64</v>
      </c>
      <c r="D258" s="13">
        <v>40</v>
      </c>
      <c r="E258" s="46">
        <f t="shared" si="291"/>
        <v>48.944677419354832</v>
      </c>
      <c r="F258" s="46">
        <f t="shared" si="292"/>
        <v>1957.7870967741933</v>
      </c>
      <c r="G258" s="47"/>
      <c r="H258" s="46">
        <f t="shared" si="293"/>
        <v>28.875</v>
      </c>
      <c r="I258" s="46">
        <f t="shared" si="294"/>
        <v>1155</v>
      </c>
      <c r="J258" s="13">
        <f t="shared" si="295"/>
        <v>77.819677419354832</v>
      </c>
      <c r="K258" s="13">
        <f t="shared" si="295"/>
        <v>3112.7870967741933</v>
      </c>
      <c r="L258" s="50"/>
      <c r="M258" s="3"/>
      <c r="O258" s="40">
        <v>42.376344086021497</v>
      </c>
      <c r="P258" s="41">
        <f t="shared" si="296"/>
        <v>1.155</v>
      </c>
      <c r="Q258" s="42">
        <f t="shared" si="297"/>
        <v>48.944677419354832</v>
      </c>
      <c r="R258" s="43"/>
      <c r="S258" s="43"/>
      <c r="T258" s="44">
        <v>25</v>
      </c>
      <c r="U258" s="45">
        <f t="shared" si="298"/>
        <v>1.155</v>
      </c>
      <c r="V258" s="44">
        <f t="shared" si="299"/>
        <v>28.875</v>
      </c>
      <c r="X258">
        <f t="shared" si="235"/>
        <v>1695.0537634408599</v>
      </c>
      <c r="Y258">
        <f t="shared" si="236"/>
        <v>1000</v>
      </c>
    </row>
    <row r="259" spans="1:25">
      <c r="A259" s="8"/>
      <c r="B259" s="27" t="s">
        <v>297</v>
      </c>
      <c r="C259" s="8" t="s">
        <v>64</v>
      </c>
      <c r="D259" s="13">
        <v>10</v>
      </c>
      <c r="E259" s="46">
        <f t="shared" si="291"/>
        <v>750.75</v>
      </c>
      <c r="F259" s="46">
        <f t="shared" si="292"/>
        <v>7507.5</v>
      </c>
      <c r="G259" s="47"/>
      <c r="H259" s="46">
        <f t="shared" si="293"/>
        <v>288.75</v>
      </c>
      <c r="I259" s="46">
        <f t="shared" si="294"/>
        <v>2887.5</v>
      </c>
      <c r="J259" s="13">
        <f t="shared" si="295"/>
        <v>1039.5</v>
      </c>
      <c r="K259" s="13">
        <f t="shared" si="295"/>
        <v>10395</v>
      </c>
      <c r="L259" s="50"/>
      <c r="M259" s="3"/>
      <c r="O259" s="40">
        <v>650</v>
      </c>
      <c r="P259" s="41">
        <f t="shared" si="296"/>
        <v>1.155</v>
      </c>
      <c r="Q259" s="42">
        <f t="shared" si="297"/>
        <v>750.75</v>
      </c>
      <c r="R259" s="43"/>
      <c r="S259" s="43"/>
      <c r="T259" s="44">
        <v>250</v>
      </c>
      <c r="U259" s="45">
        <f t="shared" si="298"/>
        <v>1.155</v>
      </c>
      <c r="V259" s="44">
        <f t="shared" si="299"/>
        <v>288.75</v>
      </c>
      <c r="X259">
        <f t="shared" si="235"/>
        <v>6500</v>
      </c>
      <c r="Y259">
        <f t="shared" si="236"/>
        <v>2500</v>
      </c>
    </row>
    <row r="260" spans="1:25">
      <c r="A260" s="19"/>
      <c r="B260" s="31" t="s">
        <v>298</v>
      </c>
      <c r="C260" s="19" t="s">
        <v>26</v>
      </c>
      <c r="D260" s="20"/>
      <c r="E260" s="20"/>
      <c r="F260" s="20"/>
      <c r="G260" s="19"/>
      <c r="H260" s="20"/>
      <c r="I260" s="20"/>
      <c r="J260" s="20"/>
      <c r="K260" s="20"/>
      <c r="L260" s="50"/>
      <c r="M260" s="3"/>
      <c r="O260" s="43"/>
      <c r="P260" s="43"/>
      <c r="Q260" s="43"/>
      <c r="R260" s="43"/>
      <c r="X260">
        <f t="shared" si="235"/>
        <v>0</v>
      </c>
      <c r="Y260">
        <f t="shared" si="236"/>
        <v>0</v>
      </c>
    </row>
    <row r="261" spans="1:25">
      <c r="A261" s="8"/>
      <c r="B261" s="27" t="s">
        <v>299</v>
      </c>
      <c r="C261" s="8" t="s">
        <v>74</v>
      </c>
      <c r="D261" s="13">
        <v>950</v>
      </c>
      <c r="E261" s="46">
        <f t="shared" ref="E261:E262" si="300">SUM(Q261)</f>
        <v>4.9803600000000001</v>
      </c>
      <c r="F261" s="46">
        <f t="shared" ref="F261:F262" si="301">D261*E261</f>
        <v>4731.3420000000006</v>
      </c>
      <c r="G261" s="47"/>
      <c r="H261" s="46">
        <f t="shared" ref="H261:H262" si="302">SUM(V261)</f>
        <v>6.93</v>
      </c>
      <c r="I261" s="46">
        <f t="shared" ref="I261:I262" si="303">D261*H261</f>
        <v>6583.5</v>
      </c>
      <c r="J261" s="13">
        <f>E261+H261</f>
        <v>11.910360000000001</v>
      </c>
      <c r="K261" s="13">
        <f>F261+I261</f>
        <v>11314.842000000001</v>
      </c>
      <c r="L261" s="50"/>
      <c r="M261" s="3"/>
      <c r="O261" s="40">
        <v>4.3120000000000003</v>
      </c>
      <c r="P261" s="41">
        <f>$P$1</f>
        <v>1.155</v>
      </c>
      <c r="Q261" s="42">
        <f t="shared" ref="Q261:Q262" si="304">SUM(P261*O261)</f>
        <v>4.9803600000000001</v>
      </c>
      <c r="R261" s="43"/>
      <c r="S261" s="43"/>
      <c r="T261" s="44">
        <v>6</v>
      </c>
      <c r="U261" s="45">
        <f t="shared" ref="U261:U262" si="305">$U$1</f>
        <v>1.155</v>
      </c>
      <c r="V261" s="44">
        <f t="shared" ref="V261:V262" si="306">SUM(U261*T261)</f>
        <v>6.93</v>
      </c>
      <c r="X261">
        <f t="shared" si="235"/>
        <v>4096.4000000000005</v>
      </c>
      <c r="Y261">
        <f t="shared" si="236"/>
        <v>5700</v>
      </c>
    </row>
    <row r="262" spans="1:25">
      <c r="A262" s="8"/>
      <c r="B262" s="27" t="s">
        <v>300</v>
      </c>
      <c r="C262" s="8" t="s">
        <v>64</v>
      </c>
      <c r="D262" s="13">
        <v>160</v>
      </c>
      <c r="E262" s="46">
        <f t="shared" si="300"/>
        <v>1.3773374999999999</v>
      </c>
      <c r="F262" s="46">
        <f t="shared" si="301"/>
        <v>220.37399999999997</v>
      </c>
      <c r="G262" s="47"/>
      <c r="H262" s="46">
        <f t="shared" si="302"/>
        <v>69.3</v>
      </c>
      <c r="I262" s="46">
        <f t="shared" si="303"/>
        <v>11088</v>
      </c>
      <c r="J262" s="13">
        <f>E262+H262</f>
        <v>70.677337499999993</v>
      </c>
      <c r="K262" s="13">
        <f>F262+I262</f>
        <v>11308.374</v>
      </c>
      <c r="L262" s="50"/>
      <c r="M262" s="3"/>
      <c r="O262" s="40">
        <v>1.1924999999999999</v>
      </c>
      <c r="P262" s="41">
        <f>$P$1</f>
        <v>1.155</v>
      </c>
      <c r="Q262" s="42">
        <f t="shared" si="304"/>
        <v>1.3773374999999999</v>
      </c>
      <c r="R262" s="43"/>
      <c r="S262" s="43"/>
      <c r="T262" s="44">
        <v>60</v>
      </c>
      <c r="U262" s="45">
        <f t="shared" si="305"/>
        <v>1.155</v>
      </c>
      <c r="V262" s="44">
        <f t="shared" si="306"/>
        <v>69.3</v>
      </c>
      <c r="X262">
        <f t="shared" si="235"/>
        <v>190.79999999999998</v>
      </c>
      <c r="Y262">
        <f t="shared" si="236"/>
        <v>9600</v>
      </c>
    </row>
    <row r="263" spans="1:25">
      <c r="A263" s="19"/>
      <c r="B263" s="31" t="s">
        <v>301</v>
      </c>
      <c r="C263" s="19" t="s">
        <v>26</v>
      </c>
      <c r="D263" s="20"/>
      <c r="E263" s="20"/>
      <c r="F263" s="20"/>
      <c r="G263" s="19"/>
      <c r="H263" s="20"/>
      <c r="I263" s="20"/>
      <c r="J263" s="20"/>
      <c r="K263" s="20"/>
      <c r="L263" s="50"/>
      <c r="M263" s="3"/>
      <c r="O263" s="43"/>
      <c r="P263" s="43"/>
      <c r="Q263" s="43"/>
      <c r="R263" s="43"/>
      <c r="X263">
        <f t="shared" si="235"/>
        <v>0</v>
      </c>
      <c r="Y263">
        <f t="shared" si="236"/>
        <v>0</v>
      </c>
    </row>
    <row r="264" spans="1:25">
      <c r="A264" s="8"/>
      <c r="B264" s="27" t="s">
        <v>302</v>
      </c>
      <c r="C264" s="8" t="s">
        <v>64</v>
      </c>
      <c r="D264" s="13">
        <v>25</v>
      </c>
      <c r="E264" s="46">
        <f t="shared" ref="E264:E265" si="307">SUM(Q264)</f>
        <v>0</v>
      </c>
      <c r="F264" s="46">
        <f t="shared" ref="F264:F265" si="308">D264*E264</f>
        <v>0</v>
      </c>
      <c r="G264" s="47"/>
      <c r="H264" s="46">
        <f t="shared" ref="H264:H265" si="309">SUM(V264)</f>
        <v>173.25</v>
      </c>
      <c r="I264" s="46">
        <f t="shared" ref="I264:I265" si="310">D264*H264</f>
        <v>4331.25</v>
      </c>
      <c r="J264" s="13">
        <f>E264+H264</f>
        <v>173.25</v>
      </c>
      <c r="K264" s="13">
        <f>F264+I264</f>
        <v>4331.25</v>
      </c>
      <c r="L264" s="50"/>
      <c r="M264" s="3"/>
      <c r="O264" s="40"/>
      <c r="P264" s="41">
        <f>$P$1</f>
        <v>1.155</v>
      </c>
      <c r="Q264" s="42">
        <f t="shared" ref="Q264:Q265" si="311">SUM(P264*O264)</f>
        <v>0</v>
      </c>
      <c r="R264" s="43"/>
      <c r="S264" s="43"/>
      <c r="T264" s="44">
        <v>150</v>
      </c>
      <c r="U264" s="45">
        <f t="shared" ref="U264:U265" si="312">$U$1</f>
        <v>1.155</v>
      </c>
      <c r="V264" s="44">
        <f t="shared" ref="V264:V265" si="313">SUM(U264*T264)</f>
        <v>173.25</v>
      </c>
      <c r="X264">
        <f t="shared" si="235"/>
        <v>0</v>
      </c>
      <c r="Y264">
        <f t="shared" si="236"/>
        <v>3750</v>
      </c>
    </row>
    <row r="265" spans="1:25">
      <c r="A265" s="8" t="s">
        <v>26</v>
      </c>
      <c r="B265" s="27" t="s">
        <v>303</v>
      </c>
      <c r="C265" s="8" t="s">
        <v>64</v>
      </c>
      <c r="D265" s="13">
        <v>15</v>
      </c>
      <c r="E265" s="46">
        <f t="shared" si="307"/>
        <v>0</v>
      </c>
      <c r="F265" s="46">
        <f t="shared" si="308"/>
        <v>0</v>
      </c>
      <c r="G265" s="47"/>
      <c r="H265" s="46">
        <f t="shared" si="309"/>
        <v>231</v>
      </c>
      <c r="I265" s="46">
        <f t="shared" si="310"/>
        <v>3465</v>
      </c>
      <c r="J265" s="13">
        <f>E265+H265</f>
        <v>231</v>
      </c>
      <c r="K265" s="13">
        <f>F265+I265</f>
        <v>3465</v>
      </c>
      <c r="L265" s="50"/>
      <c r="M265" s="3"/>
      <c r="O265" s="40"/>
      <c r="P265" s="41">
        <f>$P$1</f>
        <v>1.155</v>
      </c>
      <c r="Q265" s="42">
        <f t="shared" si="311"/>
        <v>0</v>
      </c>
      <c r="R265" s="43"/>
      <c r="S265" s="43"/>
      <c r="T265" s="44">
        <v>200</v>
      </c>
      <c r="U265" s="45">
        <f t="shared" si="312"/>
        <v>1.155</v>
      </c>
      <c r="V265" s="44">
        <f t="shared" si="313"/>
        <v>231</v>
      </c>
      <c r="X265">
        <f t="shared" si="235"/>
        <v>0</v>
      </c>
      <c r="Y265">
        <f t="shared" si="236"/>
        <v>3000</v>
      </c>
    </row>
    <row r="266" spans="1:25">
      <c r="A266" s="19" t="s">
        <v>26</v>
      </c>
      <c r="B266" s="31" t="s">
        <v>304</v>
      </c>
      <c r="C266" s="19" t="s">
        <v>26</v>
      </c>
      <c r="D266" s="20"/>
      <c r="E266" s="20"/>
      <c r="F266" s="20"/>
      <c r="G266" s="19"/>
      <c r="H266" s="20"/>
      <c r="I266" s="20"/>
      <c r="J266" s="20"/>
      <c r="K266" s="20"/>
      <c r="L266" s="50"/>
      <c r="M266" s="3"/>
      <c r="O266" s="43"/>
      <c r="P266" s="43"/>
      <c r="Q266" s="43"/>
      <c r="R266" s="43"/>
      <c r="X266">
        <f t="shared" ref="X266:X329" si="314">SUM(O266*D266)</f>
        <v>0</v>
      </c>
      <c r="Y266">
        <f t="shared" ref="Y266:Y329" si="315">SUM(T266*D266)</f>
        <v>0</v>
      </c>
    </row>
    <row r="267" spans="1:25">
      <c r="A267" s="8" t="s">
        <v>26</v>
      </c>
      <c r="B267" s="27" t="s">
        <v>303</v>
      </c>
      <c r="C267" s="8" t="s">
        <v>64</v>
      </c>
      <c r="D267" s="13">
        <v>10</v>
      </c>
      <c r="E267" s="46">
        <f t="shared" ref="E267:E268" si="316">SUM(Q267)</f>
        <v>0</v>
      </c>
      <c r="F267" s="46">
        <f t="shared" ref="F267:F268" si="317">D267*E267</f>
        <v>0</v>
      </c>
      <c r="G267" s="47"/>
      <c r="H267" s="46">
        <f t="shared" ref="H267:H268" si="318">SUM(V267)</f>
        <v>288.75</v>
      </c>
      <c r="I267" s="46">
        <f t="shared" ref="I267:I268" si="319">D267*H267</f>
        <v>2887.5</v>
      </c>
      <c r="J267" s="13">
        <f t="shared" ref="J267:K269" si="320">E267+H267</f>
        <v>288.75</v>
      </c>
      <c r="K267" s="13">
        <f t="shared" si="320"/>
        <v>2887.5</v>
      </c>
      <c r="L267" s="50"/>
      <c r="M267" s="3"/>
      <c r="O267" s="40"/>
      <c r="P267" s="41">
        <f>$P$1</f>
        <v>1.155</v>
      </c>
      <c r="Q267" s="42">
        <f t="shared" ref="Q267:Q268" si="321">SUM(P267*O267)</f>
        <v>0</v>
      </c>
      <c r="R267" s="43"/>
      <c r="S267" s="43"/>
      <c r="T267" s="44">
        <v>250</v>
      </c>
      <c r="U267" s="45">
        <f t="shared" ref="U267:U268" si="322">$U$1</f>
        <v>1.155</v>
      </c>
      <c r="V267" s="44">
        <f t="shared" ref="V267:V268" si="323">SUM(U267*T267)</f>
        <v>288.75</v>
      </c>
      <c r="X267">
        <f t="shared" si="314"/>
        <v>0</v>
      </c>
      <c r="Y267">
        <f t="shared" si="315"/>
        <v>2500</v>
      </c>
    </row>
    <row r="268" spans="1:25">
      <c r="A268" s="8" t="s">
        <v>26</v>
      </c>
      <c r="B268" s="27" t="s">
        <v>305</v>
      </c>
      <c r="C268" s="8" t="s">
        <v>64</v>
      </c>
      <c r="D268" s="13">
        <v>5</v>
      </c>
      <c r="E268" s="46">
        <f t="shared" si="316"/>
        <v>0</v>
      </c>
      <c r="F268" s="46">
        <f t="shared" si="317"/>
        <v>0</v>
      </c>
      <c r="G268" s="47"/>
      <c r="H268" s="46">
        <f t="shared" si="318"/>
        <v>346.5</v>
      </c>
      <c r="I268" s="46">
        <f t="shared" si="319"/>
        <v>1732.5</v>
      </c>
      <c r="J268" s="13">
        <f t="shared" si="320"/>
        <v>346.5</v>
      </c>
      <c r="K268" s="13">
        <f t="shared" si="320"/>
        <v>1732.5</v>
      </c>
      <c r="L268" s="50"/>
      <c r="M268" s="3"/>
      <c r="O268" s="40"/>
      <c r="P268" s="41">
        <f>$P$1</f>
        <v>1.155</v>
      </c>
      <c r="Q268" s="42">
        <f t="shared" si="321"/>
        <v>0</v>
      </c>
      <c r="R268" s="43"/>
      <c r="S268" s="43"/>
      <c r="T268" s="44">
        <v>300</v>
      </c>
      <c r="U268" s="45">
        <f t="shared" si="322"/>
        <v>1.155</v>
      </c>
      <c r="V268" s="44">
        <f t="shared" si="323"/>
        <v>346.5</v>
      </c>
      <c r="X268">
        <f t="shared" si="314"/>
        <v>0</v>
      </c>
      <c r="Y268">
        <f t="shared" si="315"/>
        <v>1500</v>
      </c>
    </row>
    <row r="269" spans="1:25">
      <c r="A269" s="8" t="s">
        <v>26</v>
      </c>
      <c r="B269" s="27" t="s">
        <v>26</v>
      </c>
      <c r="C269" s="8" t="s">
        <v>26</v>
      </c>
      <c r="D269" s="13"/>
      <c r="E269" s="13"/>
      <c r="F269" s="13"/>
      <c r="G269" s="8"/>
      <c r="H269" s="13"/>
      <c r="I269" s="13"/>
      <c r="J269" s="13">
        <f t="shared" si="320"/>
        <v>0</v>
      </c>
      <c r="K269" s="13">
        <f t="shared" si="320"/>
        <v>0</v>
      </c>
      <c r="L269" s="50"/>
      <c r="M269" s="3"/>
      <c r="O269" s="43"/>
      <c r="P269" s="43"/>
      <c r="Q269" s="43"/>
      <c r="R269" s="43"/>
      <c r="X269">
        <f t="shared" si="314"/>
        <v>0</v>
      </c>
      <c r="Y269">
        <f t="shared" si="315"/>
        <v>0</v>
      </c>
    </row>
    <row r="270" spans="1:25">
      <c r="A270" s="9" t="s">
        <v>26</v>
      </c>
      <c r="B270" s="29" t="s">
        <v>306</v>
      </c>
      <c r="C270" s="9" t="s">
        <v>26</v>
      </c>
      <c r="D270" s="16"/>
      <c r="E270" s="16"/>
      <c r="F270" s="16">
        <f>SUM(F231:F269)</f>
        <v>193117.60495541038</v>
      </c>
      <c r="G270" s="9"/>
      <c r="H270" s="16"/>
      <c r="I270" s="16">
        <f>SUM(I231:I269)</f>
        <v>197135.40000000002</v>
      </c>
      <c r="J270" s="16"/>
      <c r="K270" s="16">
        <f>SUM(K231:K269)</f>
        <v>390253.00495541043</v>
      </c>
      <c r="L270" s="50"/>
      <c r="M270" s="3"/>
      <c r="O270" s="43"/>
      <c r="P270" s="43"/>
      <c r="Q270" s="43"/>
      <c r="R270" s="43"/>
      <c r="X270">
        <f t="shared" si="314"/>
        <v>0</v>
      </c>
      <c r="Y270">
        <f t="shared" si="315"/>
        <v>0</v>
      </c>
    </row>
    <row r="271" spans="1:25">
      <c r="A271" s="8" t="s">
        <v>26</v>
      </c>
      <c r="B271" s="27" t="s">
        <v>26</v>
      </c>
      <c r="C271" s="8" t="s">
        <v>26</v>
      </c>
      <c r="D271" s="13"/>
      <c r="E271" s="13"/>
      <c r="F271" s="13"/>
      <c r="G271" s="8"/>
      <c r="H271" s="13"/>
      <c r="I271" s="13"/>
      <c r="J271" s="13">
        <f>E271+H271</f>
        <v>0</v>
      </c>
      <c r="K271" s="13">
        <f>F271+I271</f>
        <v>0</v>
      </c>
      <c r="L271" s="50"/>
      <c r="M271" s="3"/>
      <c r="O271" s="43"/>
      <c r="P271" s="43"/>
      <c r="Q271" s="43"/>
      <c r="R271" s="43"/>
      <c r="X271">
        <f t="shared" si="314"/>
        <v>0</v>
      </c>
      <c r="Y271">
        <f t="shared" si="315"/>
        <v>0</v>
      </c>
    </row>
    <row r="272" spans="1:25">
      <c r="A272" s="9" t="s">
        <v>26</v>
      </c>
      <c r="B272" s="29" t="s">
        <v>307</v>
      </c>
      <c r="C272" s="9" t="s">
        <v>26</v>
      </c>
      <c r="D272" s="16"/>
      <c r="E272" s="16"/>
      <c r="F272" s="16"/>
      <c r="G272" s="9"/>
      <c r="H272" s="16"/>
      <c r="I272" s="16"/>
      <c r="J272" s="16"/>
      <c r="K272" s="16"/>
      <c r="L272" s="50"/>
      <c r="M272" s="3"/>
      <c r="O272" s="43"/>
      <c r="P272" s="43"/>
      <c r="Q272" s="43"/>
      <c r="R272" s="43"/>
      <c r="X272">
        <f t="shared" si="314"/>
        <v>0</v>
      </c>
      <c r="Y272">
        <f t="shared" si="315"/>
        <v>0</v>
      </c>
    </row>
    <row r="273" spans="1:25">
      <c r="A273" s="8" t="s">
        <v>26</v>
      </c>
      <c r="B273" s="27" t="s">
        <v>26</v>
      </c>
      <c r="C273" s="8" t="s">
        <v>26</v>
      </c>
      <c r="D273" s="13"/>
      <c r="E273" s="13"/>
      <c r="F273" s="13"/>
      <c r="G273" s="8"/>
      <c r="H273" s="13"/>
      <c r="I273" s="13"/>
      <c r="J273" s="13">
        <f>E273+H273</f>
        <v>0</v>
      </c>
      <c r="K273" s="13">
        <f>F273+I273</f>
        <v>0</v>
      </c>
      <c r="L273" s="50"/>
      <c r="M273" s="3"/>
      <c r="O273" s="43"/>
      <c r="P273" s="43"/>
      <c r="Q273" s="43"/>
      <c r="R273" s="43"/>
      <c r="X273">
        <f t="shared" si="314"/>
        <v>0</v>
      </c>
      <c r="Y273">
        <f t="shared" si="315"/>
        <v>0</v>
      </c>
    </row>
    <row r="274" spans="1:25">
      <c r="A274" s="19" t="s">
        <v>26</v>
      </c>
      <c r="B274" s="31" t="s">
        <v>308</v>
      </c>
      <c r="C274" s="19" t="s">
        <v>26</v>
      </c>
      <c r="D274" s="20"/>
      <c r="E274" s="20"/>
      <c r="F274" s="20"/>
      <c r="G274" s="19"/>
      <c r="H274" s="20"/>
      <c r="I274" s="20"/>
      <c r="J274" s="20"/>
      <c r="K274" s="20"/>
      <c r="L274" s="50"/>
      <c r="M274" s="3"/>
      <c r="O274" s="43"/>
      <c r="P274" s="43"/>
      <c r="Q274" s="43"/>
      <c r="R274" s="43"/>
      <c r="X274">
        <f t="shared" si="314"/>
        <v>0</v>
      </c>
      <c r="Y274">
        <f t="shared" si="315"/>
        <v>0</v>
      </c>
    </row>
    <row r="275" spans="1:25">
      <c r="A275" s="8" t="s">
        <v>26</v>
      </c>
      <c r="B275" s="27" t="s">
        <v>309</v>
      </c>
      <c r="C275" s="8" t="s">
        <v>310</v>
      </c>
      <c r="D275" s="13">
        <v>0.15</v>
      </c>
      <c r="E275" s="46">
        <f t="shared" ref="E275:E280" si="324">SUM(Q275)</f>
        <v>0</v>
      </c>
      <c r="F275" s="46">
        <f t="shared" ref="F275:F280" si="325">D275*E275</f>
        <v>0</v>
      </c>
      <c r="G275" s="47"/>
      <c r="H275" s="46">
        <f t="shared" ref="H275:H280" si="326">SUM(V275)</f>
        <v>0</v>
      </c>
      <c r="I275" s="46">
        <f t="shared" ref="I275:I280" si="327">D275*H275</f>
        <v>0</v>
      </c>
      <c r="J275" s="13">
        <f t="shared" ref="J275:K281" si="328">E275+H275</f>
        <v>0</v>
      </c>
      <c r="K275" s="13">
        <f t="shared" si="328"/>
        <v>0</v>
      </c>
      <c r="L275" s="61" t="s">
        <v>424</v>
      </c>
      <c r="M275" s="3"/>
      <c r="O275" s="40"/>
      <c r="P275" s="41">
        <f t="shared" ref="P275:P280" si="329">$P$1</f>
        <v>1.155</v>
      </c>
      <c r="Q275" s="42">
        <f t="shared" ref="Q275:Q280" si="330">SUM(P275*O275)</f>
        <v>0</v>
      </c>
      <c r="R275" s="43"/>
      <c r="S275" s="43"/>
      <c r="T275" s="44"/>
      <c r="U275" s="45">
        <f t="shared" ref="U275:U280" si="331">$U$1</f>
        <v>1.155</v>
      </c>
      <c r="V275" s="44">
        <f t="shared" ref="V275:V280" si="332">SUM(U275*T275)</f>
        <v>0</v>
      </c>
      <c r="X275">
        <f t="shared" si="314"/>
        <v>0</v>
      </c>
      <c r="Y275">
        <f t="shared" si="315"/>
        <v>0</v>
      </c>
    </row>
    <row r="276" spans="1:25">
      <c r="A276" s="8" t="s">
        <v>26</v>
      </c>
      <c r="B276" s="27" t="s">
        <v>311</v>
      </c>
      <c r="C276" s="8" t="s">
        <v>310</v>
      </c>
      <c r="D276" s="13">
        <v>0.2</v>
      </c>
      <c r="E276" s="46">
        <f t="shared" si="324"/>
        <v>0</v>
      </c>
      <c r="F276" s="46">
        <f t="shared" si="325"/>
        <v>0</v>
      </c>
      <c r="G276" s="47"/>
      <c r="H276" s="46">
        <f t="shared" si="326"/>
        <v>0</v>
      </c>
      <c r="I276" s="46">
        <f t="shared" si="327"/>
        <v>0</v>
      </c>
      <c r="J276" s="13">
        <f t="shared" si="328"/>
        <v>0</v>
      </c>
      <c r="K276" s="13">
        <f t="shared" si="328"/>
        <v>0</v>
      </c>
      <c r="L276" s="62"/>
      <c r="M276" s="3"/>
      <c r="O276" s="40"/>
      <c r="P276" s="41">
        <f t="shared" si="329"/>
        <v>1.155</v>
      </c>
      <c r="Q276" s="42">
        <f t="shared" si="330"/>
        <v>0</v>
      </c>
      <c r="R276" s="43"/>
      <c r="S276" s="43"/>
      <c r="T276" s="44"/>
      <c r="U276" s="45">
        <f t="shared" si="331"/>
        <v>1.155</v>
      </c>
      <c r="V276" s="44">
        <f t="shared" si="332"/>
        <v>0</v>
      </c>
      <c r="X276">
        <f t="shared" si="314"/>
        <v>0</v>
      </c>
      <c r="Y276">
        <f t="shared" si="315"/>
        <v>0</v>
      </c>
    </row>
    <row r="277" spans="1:25">
      <c r="A277" s="8" t="s">
        <v>26</v>
      </c>
      <c r="B277" s="27" t="s">
        <v>312</v>
      </c>
      <c r="C277" s="8" t="s">
        <v>310</v>
      </c>
      <c r="D277" s="13">
        <v>0.1</v>
      </c>
      <c r="E277" s="46">
        <f t="shared" si="324"/>
        <v>0</v>
      </c>
      <c r="F277" s="46">
        <f t="shared" si="325"/>
        <v>0</v>
      </c>
      <c r="G277" s="47"/>
      <c r="H277" s="46">
        <f t="shared" si="326"/>
        <v>0</v>
      </c>
      <c r="I277" s="46">
        <f t="shared" si="327"/>
        <v>0</v>
      </c>
      <c r="J277" s="13">
        <f t="shared" si="328"/>
        <v>0</v>
      </c>
      <c r="K277" s="13">
        <f t="shared" si="328"/>
        <v>0</v>
      </c>
      <c r="L277" s="62"/>
      <c r="M277" s="3"/>
      <c r="O277" s="40"/>
      <c r="P277" s="41">
        <f t="shared" si="329"/>
        <v>1.155</v>
      </c>
      <c r="Q277" s="42">
        <f t="shared" si="330"/>
        <v>0</v>
      </c>
      <c r="R277" s="43"/>
      <c r="S277" s="43"/>
      <c r="T277" s="44"/>
      <c r="U277" s="45">
        <f t="shared" si="331"/>
        <v>1.155</v>
      </c>
      <c r="V277" s="44">
        <f t="shared" si="332"/>
        <v>0</v>
      </c>
      <c r="X277">
        <f t="shared" si="314"/>
        <v>0</v>
      </c>
      <c r="Y277">
        <f t="shared" si="315"/>
        <v>0</v>
      </c>
    </row>
    <row r="278" spans="1:25">
      <c r="A278" s="8" t="s">
        <v>26</v>
      </c>
      <c r="B278" s="27" t="s">
        <v>313</v>
      </c>
      <c r="C278" s="8" t="s">
        <v>64</v>
      </c>
      <c r="D278" s="13">
        <v>1</v>
      </c>
      <c r="E278" s="46">
        <f t="shared" si="324"/>
        <v>0</v>
      </c>
      <c r="F278" s="46">
        <f t="shared" si="325"/>
        <v>0</v>
      </c>
      <c r="G278" s="47"/>
      <c r="H278" s="46">
        <f t="shared" si="326"/>
        <v>0</v>
      </c>
      <c r="I278" s="46">
        <f t="shared" si="327"/>
        <v>0</v>
      </c>
      <c r="J278" s="13">
        <f t="shared" si="328"/>
        <v>0</v>
      </c>
      <c r="K278" s="13">
        <f t="shared" si="328"/>
        <v>0</v>
      </c>
      <c r="L278" s="62"/>
      <c r="M278" s="3"/>
      <c r="O278" s="40"/>
      <c r="P278" s="41">
        <f t="shared" si="329"/>
        <v>1.155</v>
      </c>
      <c r="Q278" s="42">
        <f t="shared" si="330"/>
        <v>0</v>
      </c>
      <c r="R278" s="43"/>
      <c r="S278" s="43"/>
      <c r="T278" s="44"/>
      <c r="U278" s="45">
        <f t="shared" si="331"/>
        <v>1.155</v>
      </c>
      <c r="V278" s="44">
        <f t="shared" si="332"/>
        <v>0</v>
      </c>
      <c r="X278">
        <f t="shared" si="314"/>
        <v>0</v>
      </c>
      <c r="Y278">
        <f t="shared" si="315"/>
        <v>0</v>
      </c>
    </row>
    <row r="279" spans="1:25">
      <c r="A279" s="8" t="s">
        <v>26</v>
      </c>
      <c r="B279" s="27" t="s">
        <v>314</v>
      </c>
      <c r="C279" s="8" t="s">
        <v>310</v>
      </c>
      <c r="D279" s="13">
        <v>5</v>
      </c>
      <c r="E279" s="46">
        <f t="shared" si="324"/>
        <v>0</v>
      </c>
      <c r="F279" s="46">
        <f t="shared" si="325"/>
        <v>0</v>
      </c>
      <c r="G279" s="47"/>
      <c r="H279" s="46">
        <f t="shared" si="326"/>
        <v>0</v>
      </c>
      <c r="I279" s="46">
        <f t="shared" si="327"/>
        <v>0</v>
      </c>
      <c r="J279" s="13">
        <f t="shared" si="328"/>
        <v>0</v>
      </c>
      <c r="K279" s="13">
        <f t="shared" si="328"/>
        <v>0</v>
      </c>
      <c r="L279" s="62"/>
      <c r="M279" s="3"/>
      <c r="O279" s="40"/>
      <c r="P279" s="41">
        <f t="shared" si="329"/>
        <v>1.155</v>
      </c>
      <c r="Q279" s="42">
        <f t="shared" si="330"/>
        <v>0</v>
      </c>
      <c r="R279" s="43"/>
      <c r="S279" s="43"/>
      <c r="T279" s="44"/>
      <c r="U279" s="45">
        <f t="shared" si="331"/>
        <v>1.155</v>
      </c>
      <c r="V279" s="44">
        <f t="shared" si="332"/>
        <v>0</v>
      </c>
      <c r="X279">
        <f t="shared" si="314"/>
        <v>0</v>
      </c>
      <c r="Y279">
        <f t="shared" si="315"/>
        <v>0</v>
      </c>
    </row>
    <row r="280" spans="1:25">
      <c r="A280" s="8" t="s">
        <v>26</v>
      </c>
      <c r="B280" s="27" t="s">
        <v>315</v>
      </c>
      <c r="C280" s="8" t="s">
        <v>64</v>
      </c>
      <c r="D280" s="13">
        <v>5</v>
      </c>
      <c r="E280" s="46">
        <f t="shared" si="324"/>
        <v>0</v>
      </c>
      <c r="F280" s="46">
        <f t="shared" si="325"/>
        <v>0</v>
      </c>
      <c r="G280" s="47"/>
      <c r="H280" s="46">
        <f t="shared" si="326"/>
        <v>0</v>
      </c>
      <c r="I280" s="46">
        <f t="shared" si="327"/>
        <v>0</v>
      </c>
      <c r="J280" s="13">
        <f t="shared" si="328"/>
        <v>0</v>
      </c>
      <c r="K280" s="13">
        <f t="shared" si="328"/>
        <v>0</v>
      </c>
      <c r="L280" s="63"/>
      <c r="M280" s="3"/>
      <c r="O280" s="40"/>
      <c r="P280" s="41">
        <f t="shared" si="329"/>
        <v>1.155</v>
      </c>
      <c r="Q280" s="42">
        <f t="shared" si="330"/>
        <v>0</v>
      </c>
      <c r="R280" s="43"/>
      <c r="S280" s="43"/>
      <c r="T280" s="44"/>
      <c r="U280" s="45">
        <f t="shared" si="331"/>
        <v>1.155</v>
      </c>
      <c r="V280" s="44">
        <f t="shared" si="332"/>
        <v>0</v>
      </c>
      <c r="X280">
        <f t="shared" si="314"/>
        <v>0</v>
      </c>
      <c r="Y280">
        <f t="shared" si="315"/>
        <v>0</v>
      </c>
    </row>
    <row r="281" spans="1:25">
      <c r="A281" s="8" t="s">
        <v>26</v>
      </c>
      <c r="B281" s="27" t="s">
        <v>26</v>
      </c>
      <c r="C281" s="8" t="s">
        <v>26</v>
      </c>
      <c r="D281" s="13"/>
      <c r="E281" s="13"/>
      <c r="F281" s="13"/>
      <c r="G281" s="8"/>
      <c r="H281" s="13"/>
      <c r="I281" s="13"/>
      <c r="J281" s="13">
        <f t="shared" si="328"/>
        <v>0</v>
      </c>
      <c r="K281" s="13">
        <f t="shared" si="328"/>
        <v>0</v>
      </c>
      <c r="L281" s="50"/>
      <c r="M281" s="3"/>
      <c r="O281" s="43"/>
      <c r="P281" s="43"/>
      <c r="Q281" s="43"/>
      <c r="R281" s="43"/>
      <c r="X281">
        <f t="shared" si="314"/>
        <v>0</v>
      </c>
      <c r="Y281">
        <f t="shared" si="315"/>
        <v>0</v>
      </c>
    </row>
    <row r="282" spans="1:25">
      <c r="A282" s="9" t="s">
        <v>26</v>
      </c>
      <c r="B282" s="29" t="s">
        <v>316</v>
      </c>
      <c r="C282" s="9" t="s">
        <v>26</v>
      </c>
      <c r="D282" s="16"/>
      <c r="E282" s="16"/>
      <c r="F282" s="16">
        <f>SUM(F273:F281)</f>
        <v>0</v>
      </c>
      <c r="G282" s="9"/>
      <c r="H282" s="16"/>
      <c r="I282" s="16">
        <f>SUM(I273:I281)</f>
        <v>0</v>
      </c>
      <c r="J282" s="16"/>
      <c r="K282" s="16">
        <f>SUM(K273:K281)</f>
        <v>0</v>
      </c>
      <c r="L282" s="50"/>
      <c r="M282" s="3"/>
      <c r="O282" s="43"/>
      <c r="P282" s="43"/>
      <c r="Q282" s="43"/>
      <c r="R282" s="43"/>
      <c r="X282">
        <f t="shared" si="314"/>
        <v>0</v>
      </c>
      <c r="Y282">
        <f t="shared" si="315"/>
        <v>0</v>
      </c>
    </row>
    <row r="283" spans="1:25">
      <c r="A283" s="8" t="s">
        <v>26</v>
      </c>
      <c r="B283" s="27" t="s">
        <v>26</v>
      </c>
      <c r="C283" s="8" t="s">
        <v>26</v>
      </c>
      <c r="D283" s="13"/>
      <c r="E283" s="13"/>
      <c r="F283" s="13"/>
      <c r="G283" s="8"/>
      <c r="H283" s="13"/>
      <c r="I283" s="13"/>
      <c r="J283" s="13">
        <f>E283+H283</f>
        <v>0</v>
      </c>
      <c r="K283" s="13">
        <f>F283+I283</f>
        <v>0</v>
      </c>
      <c r="L283" s="50"/>
      <c r="M283" s="3"/>
      <c r="O283" s="43"/>
      <c r="P283" s="43"/>
      <c r="Q283" s="43"/>
      <c r="R283" s="43"/>
      <c r="X283">
        <f t="shared" si="314"/>
        <v>0</v>
      </c>
      <c r="Y283">
        <f t="shared" si="315"/>
        <v>0</v>
      </c>
    </row>
    <row r="284" spans="1:25">
      <c r="A284" s="9" t="s">
        <v>26</v>
      </c>
      <c r="B284" s="29" t="s">
        <v>317</v>
      </c>
      <c r="C284" s="9" t="s">
        <v>26</v>
      </c>
      <c r="D284" s="16"/>
      <c r="E284" s="16"/>
      <c r="F284" s="16"/>
      <c r="G284" s="9"/>
      <c r="H284" s="16"/>
      <c r="I284" s="16"/>
      <c r="J284" s="16"/>
      <c r="K284" s="16"/>
      <c r="L284" s="50"/>
      <c r="M284" s="3"/>
      <c r="O284" s="43"/>
      <c r="P284" s="43"/>
      <c r="Q284" s="43"/>
      <c r="R284" s="43"/>
      <c r="X284">
        <f t="shared" si="314"/>
        <v>0</v>
      </c>
      <c r="Y284">
        <f t="shared" si="315"/>
        <v>0</v>
      </c>
    </row>
    <row r="285" spans="1:25">
      <c r="A285" s="8" t="s">
        <v>26</v>
      </c>
      <c r="B285" s="27" t="s">
        <v>26</v>
      </c>
      <c r="C285" s="8" t="s">
        <v>26</v>
      </c>
      <c r="D285" s="13"/>
      <c r="E285" s="13"/>
      <c r="F285" s="13"/>
      <c r="G285" s="8"/>
      <c r="H285" s="13"/>
      <c r="I285" s="13"/>
      <c r="J285" s="13">
        <f t="shared" ref="J285:K290" si="333">E285+H285</f>
        <v>0</v>
      </c>
      <c r="K285" s="13">
        <f t="shared" si="333"/>
        <v>0</v>
      </c>
      <c r="L285" s="50"/>
      <c r="M285" s="3"/>
      <c r="O285" s="43"/>
      <c r="P285" s="43"/>
      <c r="Q285" s="43"/>
      <c r="R285" s="43"/>
      <c r="X285">
        <f t="shared" si="314"/>
        <v>0</v>
      </c>
      <c r="Y285">
        <f t="shared" si="315"/>
        <v>0</v>
      </c>
    </row>
    <row r="286" spans="1:25">
      <c r="A286" s="8" t="s">
        <v>26</v>
      </c>
      <c r="B286" s="27" t="s">
        <v>318</v>
      </c>
      <c r="C286" s="8" t="s">
        <v>64</v>
      </c>
      <c r="D286" s="13">
        <v>40</v>
      </c>
      <c r="E286" s="46">
        <f t="shared" ref="E286:E290" si="334">SUM(Q286)</f>
        <v>519.75</v>
      </c>
      <c r="F286" s="46">
        <f t="shared" ref="F286:F290" si="335">D286*E286</f>
        <v>20790</v>
      </c>
      <c r="G286" s="47"/>
      <c r="H286" s="46">
        <f t="shared" ref="H286:H290" si="336">SUM(V286)</f>
        <v>288.75</v>
      </c>
      <c r="I286" s="46">
        <f t="shared" ref="I286:I290" si="337">D286*H286</f>
        <v>11550</v>
      </c>
      <c r="J286" s="13">
        <f t="shared" si="333"/>
        <v>808.5</v>
      </c>
      <c r="K286" s="13">
        <f t="shared" si="333"/>
        <v>32340</v>
      </c>
      <c r="L286" s="50"/>
      <c r="M286" s="3"/>
      <c r="O286" s="56">
        <v>450</v>
      </c>
      <c r="P286" s="41">
        <f t="shared" ref="P286:P290" si="338">$P$1</f>
        <v>1.155</v>
      </c>
      <c r="Q286" s="42">
        <f t="shared" ref="Q286:Q290" si="339">SUM(P286*O286)</f>
        <v>519.75</v>
      </c>
      <c r="R286" s="43" t="s">
        <v>425</v>
      </c>
      <c r="S286" s="43"/>
      <c r="T286" s="44">
        <v>250</v>
      </c>
      <c r="U286" s="45">
        <f t="shared" ref="U286:U290" si="340">$U$1</f>
        <v>1.155</v>
      </c>
      <c r="V286" s="44">
        <f t="shared" ref="V286:V290" si="341">SUM(U286*T286)</f>
        <v>288.75</v>
      </c>
      <c r="X286">
        <f t="shared" si="314"/>
        <v>18000</v>
      </c>
      <c r="Y286">
        <f t="shared" si="315"/>
        <v>10000</v>
      </c>
    </row>
    <row r="287" spans="1:25">
      <c r="A287" s="8" t="s">
        <v>26</v>
      </c>
      <c r="B287" s="27" t="s">
        <v>319</v>
      </c>
      <c r="C287" s="8" t="s">
        <v>74</v>
      </c>
      <c r="D287" s="13">
        <v>30</v>
      </c>
      <c r="E287" s="46">
        <f t="shared" si="334"/>
        <v>245.42595000000003</v>
      </c>
      <c r="F287" s="46">
        <f t="shared" si="335"/>
        <v>7362.7785000000013</v>
      </c>
      <c r="G287" s="47"/>
      <c r="H287" s="46">
        <f t="shared" si="336"/>
        <v>80.850000000000009</v>
      </c>
      <c r="I287" s="46">
        <f t="shared" si="337"/>
        <v>2425.5000000000005</v>
      </c>
      <c r="J287" s="13">
        <f t="shared" si="333"/>
        <v>326.27595000000002</v>
      </c>
      <c r="K287" s="13">
        <f t="shared" si="333"/>
        <v>9788.2785000000022</v>
      </c>
      <c r="L287" s="50"/>
      <c r="M287" s="3"/>
      <c r="O287" s="40">
        <v>212.49</v>
      </c>
      <c r="P287" s="41">
        <f t="shared" si="338"/>
        <v>1.155</v>
      </c>
      <c r="Q287" s="42">
        <f t="shared" si="339"/>
        <v>245.42595000000003</v>
      </c>
      <c r="R287" s="43"/>
      <c r="S287" s="43"/>
      <c r="T287" s="44">
        <v>70</v>
      </c>
      <c r="U287" s="45">
        <f t="shared" si="340"/>
        <v>1.155</v>
      </c>
      <c r="V287" s="44">
        <f t="shared" si="341"/>
        <v>80.850000000000009</v>
      </c>
      <c r="X287">
        <f t="shared" si="314"/>
        <v>6374.7000000000007</v>
      </c>
      <c r="Y287">
        <f t="shared" si="315"/>
        <v>2100</v>
      </c>
    </row>
    <row r="288" spans="1:25">
      <c r="A288" s="8" t="s">
        <v>26</v>
      </c>
      <c r="B288" s="27" t="s">
        <v>320</v>
      </c>
      <c r="C288" s="8" t="s">
        <v>74</v>
      </c>
      <c r="D288" s="13">
        <v>240</v>
      </c>
      <c r="E288" s="46">
        <f t="shared" si="334"/>
        <v>143.21353200000001</v>
      </c>
      <c r="F288" s="46">
        <f t="shared" si="335"/>
        <v>34371.24768</v>
      </c>
      <c r="G288" s="47"/>
      <c r="H288" s="46">
        <f t="shared" si="336"/>
        <v>69.3</v>
      </c>
      <c r="I288" s="46">
        <f t="shared" si="337"/>
        <v>16632</v>
      </c>
      <c r="J288" s="13">
        <f t="shared" si="333"/>
        <v>212.513532</v>
      </c>
      <c r="K288" s="13">
        <f t="shared" si="333"/>
        <v>51003.24768</v>
      </c>
      <c r="L288" s="50"/>
      <c r="M288" s="3"/>
      <c r="O288" s="40">
        <v>123.9944</v>
      </c>
      <c r="P288" s="41">
        <f t="shared" si="338"/>
        <v>1.155</v>
      </c>
      <c r="Q288" s="42">
        <f t="shared" si="339"/>
        <v>143.21353200000001</v>
      </c>
      <c r="R288" s="43"/>
      <c r="S288" s="43"/>
      <c r="T288" s="44">
        <v>60</v>
      </c>
      <c r="U288" s="45">
        <f t="shared" si="340"/>
        <v>1.155</v>
      </c>
      <c r="V288" s="44">
        <f t="shared" si="341"/>
        <v>69.3</v>
      </c>
      <c r="X288">
        <f t="shared" si="314"/>
        <v>29758.655999999999</v>
      </c>
      <c r="Y288">
        <f t="shared" si="315"/>
        <v>14400</v>
      </c>
    </row>
    <row r="289" spans="1:25">
      <c r="A289" s="8" t="s">
        <v>26</v>
      </c>
      <c r="B289" s="27" t="s">
        <v>321</v>
      </c>
      <c r="C289" s="8" t="s">
        <v>74</v>
      </c>
      <c r="D289" s="13">
        <v>60</v>
      </c>
      <c r="E289" s="46">
        <f t="shared" si="334"/>
        <v>200.673396</v>
      </c>
      <c r="F289" s="46">
        <f t="shared" si="335"/>
        <v>12040.403759999999</v>
      </c>
      <c r="G289" s="47"/>
      <c r="H289" s="46">
        <f t="shared" si="336"/>
        <v>92.4</v>
      </c>
      <c r="I289" s="46">
        <f t="shared" si="337"/>
        <v>5544</v>
      </c>
      <c r="J289" s="13">
        <f t="shared" si="333"/>
        <v>293.073396</v>
      </c>
      <c r="K289" s="13">
        <f t="shared" si="333"/>
        <v>17584.403760000001</v>
      </c>
      <c r="L289" s="50"/>
      <c r="M289" s="3"/>
      <c r="O289" s="40">
        <v>173.7432</v>
      </c>
      <c r="P289" s="41">
        <f t="shared" si="338"/>
        <v>1.155</v>
      </c>
      <c r="Q289" s="42">
        <f t="shared" si="339"/>
        <v>200.673396</v>
      </c>
      <c r="R289" s="43"/>
      <c r="S289" s="43"/>
      <c r="T289" s="44">
        <v>80</v>
      </c>
      <c r="U289" s="45">
        <f t="shared" si="340"/>
        <v>1.155</v>
      </c>
      <c r="V289" s="44">
        <f t="shared" si="341"/>
        <v>92.4</v>
      </c>
      <c r="X289">
        <f t="shared" si="314"/>
        <v>10424.592000000001</v>
      </c>
      <c r="Y289">
        <f t="shared" si="315"/>
        <v>4800</v>
      </c>
    </row>
    <row r="290" spans="1:25">
      <c r="A290" s="8" t="s">
        <v>26</v>
      </c>
      <c r="B290" s="27" t="s">
        <v>322</v>
      </c>
      <c r="C290" s="8" t="s">
        <v>74</v>
      </c>
      <c r="D290" s="13">
        <v>720</v>
      </c>
      <c r="E290" s="46">
        <f t="shared" si="334"/>
        <v>155.20601250000001</v>
      </c>
      <c r="F290" s="46">
        <f t="shared" si="335"/>
        <v>111748.32900000001</v>
      </c>
      <c r="G290" s="47"/>
      <c r="H290" s="46">
        <f t="shared" si="336"/>
        <v>63.524999999999999</v>
      </c>
      <c r="I290" s="46">
        <f t="shared" si="337"/>
        <v>45738</v>
      </c>
      <c r="J290" s="13">
        <f t="shared" si="333"/>
        <v>218.73101250000002</v>
      </c>
      <c r="K290" s="13">
        <f t="shared" si="333"/>
        <v>157486.32900000003</v>
      </c>
      <c r="L290" s="50"/>
      <c r="M290" s="3"/>
      <c r="O290" s="40">
        <v>134.3775</v>
      </c>
      <c r="P290" s="41">
        <f t="shared" si="338"/>
        <v>1.155</v>
      </c>
      <c r="Q290" s="42">
        <f t="shared" si="339"/>
        <v>155.20601250000001</v>
      </c>
      <c r="R290" s="43"/>
      <c r="S290" s="43"/>
      <c r="T290" s="44">
        <v>55</v>
      </c>
      <c r="U290" s="45">
        <f t="shared" si="340"/>
        <v>1.155</v>
      </c>
      <c r="V290" s="44">
        <f t="shared" si="341"/>
        <v>63.524999999999999</v>
      </c>
      <c r="X290">
        <f t="shared" si="314"/>
        <v>96751.8</v>
      </c>
      <c r="Y290">
        <f t="shared" si="315"/>
        <v>39600</v>
      </c>
    </row>
    <row r="291" spans="1:25" ht="24.75">
      <c r="A291" s="19" t="s">
        <v>26</v>
      </c>
      <c r="B291" s="31" t="s">
        <v>323</v>
      </c>
      <c r="C291" s="19" t="s">
        <v>26</v>
      </c>
      <c r="D291" s="20"/>
      <c r="E291" s="20"/>
      <c r="F291" s="20"/>
      <c r="G291" s="19"/>
      <c r="H291" s="20"/>
      <c r="I291" s="20"/>
      <c r="J291" s="20"/>
      <c r="K291" s="20"/>
      <c r="L291" s="50"/>
      <c r="M291" s="3"/>
      <c r="O291" s="43"/>
      <c r="P291" s="43"/>
      <c r="Q291" s="43"/>
      <c r="R291" s="43"/>
      <c r="X291">
        <f t="shared" si="314"/>
        <v>0</v>
      </c>
      <c r="Y291">
        <f t="shared" si="315"/>
        <v>0</v>
      </c>
    </row>
    <row r="292" spans="1:25">
      <c r="A292" s="8" t="s">
        <v>26</v>
      </c>
      <c r="B292" s="27" t="s">
        <v>324</v>
      </c>
      <c r="C292" s="8" t="s">
        <v>64</v>
      </c>
      <c r="D292" s="13">
        <v>12</v>
      </c>
      <c r="E292" s="46">
        <f t="shared" ref="E292:E293" si="342">SUM(Q292)</f>
        <v>143.09842105263161</v>
      </c>
      <c r="F292" s="46">
        <f t="shared" ref="F292:F293" si="343">D292*E292</f>
        <v>1717.1810526315794</v>
      </c>
      <c r="G292" s="47"/>
      <c r="H292" s="46">
        <f t="shared" ref="H292:H293" si="344">SUM(V292)</f>
        <v>207.9</v>
      </c>
      <c r="I292" s="46">
        <f t="shared" ref="I292:I293" si="345">D292*H292</f>
        <v>2494.8000000000002</v>
      </c>
      <c r="J292" s="13">
        <f>E292+H292</f>
        <v>350.99842105263161</v>
      </c>
      <c r="K292" s="13">
        <f>F292+I292</f>
        <v>4211.9810526315796</v>
      </c>
      <c r="L292" s="50"/>
      <c r="M292" s="3"/>
      <c r="O292" s="40">
        <v>123.89473684210527</v>
      </c>
      <c r="P292" s="41">
        <f t="shared" ref="P292:P293" si="346">$P$1</f>
        <v>1.155</v>
      </c>
      <c r="Q292" s="42">
        <f t="shared" ref="Q292:Q293" si="347">SUM(P292*O292)</f>
        <v>143.09842105263161</v>
      </c>
      <c r="R292" s="43"/>
      <c r="S292" s="43"/>
      <c r="T292" s="44">
        <v>180</v>
      </c>
      <c r="U292" s="45">
        <f t="shared" ref="U292:U293" si="348">$U$1</f>
        <v>1.155</v>
      </c>
      <c r="V292" s="44">
        <f t="shared" ref="V292:V293" si="349">SUM(U292*T292)</f>
        <v>207.9</v>
      </c>
      <c r="X292">
        <f t="shared" si="314"/>
        <v>1486.7368421052633</v>
      </c>
      <c r="Y292">
        <f t="shared" si="315"/>
        <v>2160</v>
      </c>
    </row>
    <row r="293" spans="1:25">
      <c r="A293" s="8" t="s">
        <v>26</v>
      </c>
      <c r="B293" s="27" t="s">
        <v>325</v>
      </c>
      <c r="C293" s="8" t="s">
        <v>64</v>
      </c>
      <c r="D293" s="13">
        <v>1</v>
      </c>
      <c r="E293" s="46">
        <f t="shared" si="342"/>
        <v>284.19078947368422</v>
      </c>
      <c r="F293" s="46">
        <f t="shared" si="343"/>
        <v>284.19078947368422</v>
      </c>
      <c r="G293" s="47"/>
      <c r="H293" s="46">
        <f t="shared" si="344"/>
        <v>254.1</v>
      </c>
      <c r="I293" s="46">
        <f t="shared" si="345"/>
        <v>254.1</v>
      </c>
      <c r="J293" s="13">
        <f>E293+H293</f>
        <v>538.29078947368419</v>
      </c>
      <c r="K293" s="13">
        <f>F293+I293</f>
        <v>538.29078947368419</v>
      </c>
      <c r="L293" s="50"/>
      <c r="M293" s="3"/>
      <c r="O293" s="40">
        <v>246.05263157894737</v>
      </c>
      <c r="P293" s="41">
        <f t="shared" si="346"/>
        <v>1.155</v>
      </c>
      <c r="Q293" s="42">
        <f t="shared" si="347"/>
        <v>284.19078947368422</v>
      </c>
      <c r="R293" s="43"/>
      <c r="S293" s="43"/>
      <c r="T293" s="44">
        <v>220</v>
      </c>
      <c r="U293" s="45">
        <f t="shared" si="348"/>
        <v>1.155</v>
      </c>
      <c r="V293" s="44">
        <f t="shared" si="349"/>
        <v>254.1</v>
      </c>
      <c r="X293">
        <f t="shared" si="314"/>
        <v>246.05263157894737</v>
      </c>
      <c r="Y293">
        <f t="shared" si="315"/>
        <v>220</v>
      </c>
    </row>
    <row r="294" spans="1:25">
      <c r="A294" s="19" t="s">
        <v>26</v>
      </c>
      <c r="B294" s="31" t="s">
        <v>326</v>
      </c>
      <c r="C294" s="19" t="s">
        <v>26</v>
      </c>
      <c r="D294" s="20"/>
      <c r="E294" s="20"/>
      <c r="F294" s="20"/>
      <c r="G294" s="19"/>
      <c r="H294" s="20"/>
      <c r="I294" s="20"/>
      <c r="J294" s="20"/>
      <c r="K294" s="20"/>
      <c r="L294" s="50"/>
      <c r="M294" s="3"/>
      <c r="O294" s="43"/>
      <c r="P294" s="43"/>
      <c r="Q294" s="43"/>
      <c r="R294" s="43"/>
      <c r="X294">
        <f t="shared" si="314"/>
        <v>0</v>
      </c>
      <c r="Y294">
        <f t="shared" si="315"/>
        <v>0</v>
      </c>
    </row>
    <row r="295" spans="1:25">
      <c r="A295" s="8" t="s">
        <v>26</v>
      </c>
      <c r="B295" s="27" t="s">
        <v>327</v>
      </c>
      <c r="C295" s="8" t="s">
        <v>64</v>
      </c>
      <c r="D295" s="13">
        <v>8</v>
      </c>
      <c r="E295" s="46">
        <f t="shared" ref="E295:E296" si="350">SUM(Q295)</f>
        <v>310.93815789473683</v>
      </c>
      <c r="F295" s="46">
        <f t="shared" ref="F295:F296" si="351">D295*E295</f>
        <v>2487.5052631578947</v>
      </c>
      <c r="G295" s="47"/>
      <c r="H295" s="46">
        <f t="shared" ref="H295:H296" si="352">SUM(V295)</f>
        <v>138.6</v>
      </c>
      <c r="I295" s="46">
        <f t="shared" ref="I295:I296" si="353">D295*H295</f>
        <v>1108.8</v>
      </c>
      <c r="J295" s="13">
        <f>E295+H295</f>
        <v>449.53815789473686</v>
      </c>
      <c r="K295" s="13">
        <f>F295+I295</f>
        <v>3596.3052631578948</v>
      </c>
      <c r="L295" s="50"/>
      <c r="M295" s="3"/>
      <c r="O295" s="40">
        <v>269.21052631578948</v>
      </c>
      <c r="P295" s="41">
        <f t="shared" ref="P295:P296" si="354">$P$1</f>
        <v>1.155</v>
      </c>
      <c r="Q295" s="42">
        <f t="shared" ref="Q295:Q296" si="355">SUM(P295*O295)</f>
        <v>310.93815789473683</v>
      </c>
      <c r="R295" s="43"/>
      <c r="S295" s="43"/>
      <c r="T295" s="44">
        <v>120</v>
      </c>
      <c r="U295" s="45">
        <f t="shared" ref="U295:U296" si="356">$U$1</f>
        <v>1.155</v>
      </c>
      <c r="V295" s="44">
        <f t="shared" ref="V295:V296" si="357">SUM(U295*T295)</f>
        <v>138.6</v>
      </c>
      <c r="X295">
        <f t="shared" si="314"/>
        <v>2153.6842105263158</v>
      </c>
      <c r="Y295">
        <f t="shared" si="315"/>
        <v>960</v>
      </c>
    </row>
    <row r="296" spans="1:25">
      <c r="A296" s="8" t="s">
        <v>26</v>
      </c>
      <c r="B296" s="27" t="s">
        <v>328</v>
      </c>
      <c r="C296" s="8" t="s">
        <v>64</v>
      </c>
      <c r="D296" s="13">
        <v>8</v>
      </c>
      <c r="E296" s="46">
        <f t="shared" si="350"/>
        <v>0</v>
      </c>
      <c r="F296" s="46">
        <f t="shared" si="351"/>
        <v>0</v>
      </c>
      <c r="G296" s="47"/>
      <c r="H296" s="46">
        <f t="shared" si="352"/>
        <v>23.1</v>
      </c>
      <c r="I296" s="46">
        <f t="shared" si="353"/>
        <v>184.8</v>
      </c>
      <c r="J296" s="13">
        <f>E296+H296</f>
        <v>23.1</v>
      </c>
      <c r="K296" s="13">
        <f>F296+I296</f>
        <v>184.8</v>
      </c>
      <c r="L296" s="43" t="s">
        <v>426</v>
      </c>
      <c r="M296" s="3"/>
      <c r="O296" s="40"/>
      <c r="P296" s="41">
        <f t="shared" si="354"/>
        <v>1.155</v>
      </c>
      <c r="Q296" s="42">
        <f t="shared" si="355"/>
        <v>0</v>
      </c>
      <c r="R296" s="43"/>
      <c r="S296" s="43"/>
      <c r="T296" s="44">
        <v>20</v>
      </c>
      <c r="U296" s="45">
        <f t="shared" si="356"/>
        <v>1.155</v>
      </c>
      <c r="V296" s="44">
        <f t="shared" si="357"/>
        <v>23.1</v>
      </c>
      <c r="X296">
        <f t="shared" si="314"/>
        <v>0</v>
      </c>
      <c r="Y296">
        <f t="shared" si="315"/>
        <v>160</v>
      </c>
    </row>
    <row r="297" spans="1:25">
      <c r="A297" s="19" t="s">
        <v>26</v>
      </c>
      <c r="B297" s="31" t="s">
        <v>326</v>
      </c>
      <c r="C297" s="19" t="s">
        <v>26</v>
      </c>
      <c r="D297" s="20"/>
      <c r="E297" s="20"/>
      <c r="F297" s="20"/>
      <c r="G297" s="19"/>
      <c r="H297" s="20"/>
      <c r="I297" s="20"/>
      <c r="J297" s="20"/>
      <c r="K297" s="20"/>
      <c r="L297" s="50"/>
      <c r="M297" s="3"/>
      <c r="O297" s="43"/>
      <c r="P297" s="43"/>
      <c r="Q297" s="43"/>
      <c r="R297" s="43"/>
      <c r="X297">
        <f t="shared" si="314"/>
        <v>0</v>
      </c>
      <c r="Y297">
        <f t="shared" si="315"/>
        <v>0</v>
      </c>
    </row>
    <row r="298" spans="1:25">
      <c r="A298" s="8" t="s">
        <v>26</v>
      </c>
      <c r="B298" s="27" t="s">
        <v>329</v>
      </c>
      <c r="C298" s="8" t="s">
        <v>64</v>
      </c>
      <c r="D298" s="13">
        <v>4</v>
      </c>
      <c r="E298" s="46">
        <f t="shared" ref="E298:E299" si="358">SUM(Q298)</f>
        <v>114.345</v>
      </c>
      <c r="F298" s="46">
        <f t="shared" ref="F298:F299" si="359">D298*E298</f>
        <v>457.38</v>
      </c>
      <c r="G298" s="47"/>
      <c r="H298" s="46">
        <f t="shared" ref="H298:H299" si="360">SUM(V298)</f>
        <v>51.975000000000001</v>
      </c>
      <c r="I298" s="46">
        <f t="shared" ref="I298:I299" si="361">D298*H298</f>
        <v>207.9</v>
      </c>
      <c r="J298" s="13">
        <f>E298+H298</f>
        <v>166.32</v>
      </c>
      <c r="K298" s="13">
        <f>F298+I298</f>
        <v>665.28</v>
      </c>
      <c r="L298" s="50"/>
      <c r="M298" s="3"/>
      <c r="O298" s="40">
        <v>99</v>
      </c>
      <c r="P298" s="41">
        <f t="shared" ref="P298:P299" si="362">$P$1</f>
        <v>1.155</v>
      </c>
      <c r="Q298" s="42">
        <f t="shared" ref="Q298:Q299" si="363">SUM(P298*O298)</f>
        <v>114.345</v>
      </c>
      <c r="R298" s="43"/>
      <c r="S298" s="43"/>
      <c r="T298" s="44">
        <v>45</v>
      </c>
      <c r="U298" s="45">
        <f t="shared" ref="U298:U299" si="364">$U$1</f>
        <v>1.155</v>
      </c>
      <c r="V298" s="44">
        <f t="shared" ref="V298:V299" si="365">SUM(U298*T298)</f>
        <v>51.975000000000001</v>
      </c>
      <c r="X298">
        <f t="shared" si="314"/>
        <v>396</v>
      </c>
      <c r="Y298">
        <f t="shared" si="315"/>
        <v>180</v>
      </c>
    </row>
    <row r="299" spans="1:25">
      <c r="A299" s="8" t="s">
        <v>26</v>
      </c>
      <c r="B299" s="27" t="s">
        <v>330</v>
      </c>
      <c r="C299" s="8" t="s">
        <v>64</v>
      </c>
      <c r="D299" s="13">
        <v>4</v>
      </c>
      <c r="E299" s="46">
        <f t="shared" si="358"/>
        <v>29.665263157894735</v>
      </c>
      <c r="F299" s="46">
        <f t="shared" si="359"/>
        <v>118.66105263157894</v>
      </c>
      <c r="G299" s="47"/>
      <c r="H299" s="46">
        <f t="shared" si="360"/>
        <v>103.95</v>
      </c>
      <c r="I299" s="46">
        <f t="shared" si="361"/>
        <v>415.8</v>
      </c>
      <c r="J299" s="13">
        <f>E299+H299</f>
        <v>133.61526315789473</v>
      </c>
      <c r="K299" s="13">
        <f>F299+I299</f>
        <v>534.46105263157892</v>
      </c>
      <c r="L299" s="50"/>
      <c r="M299" s="3"/>
      <c r="O299" s="40">
        <v>25.684210526315788</v>
      </c>
      <c r="P299" s="41">
        <f t="shared" si="362"/>
        <v>1.155</v>
      </c>
      <c r="Q299" s="42">
        <f t="shared" si="363"/>
        <v>29.665263157894735</v>
      </c>
      <c r="R299" s="43"/>
      <c r="S299" s="43"/>
      <c r="T299" s="44">
        <v>90</v>
      </c>
      <c r="U299" s="45">
        <f t="shared" si="364"/>
        <v>1.155</v>
      </c>
      <c r="V299" s="44">
        <f t="shared" si="365"/>
        <v>103.95</v>
      </c>
      <c r="X299">
        <f t="shared" si="314"/>
        <v>102.73684210526315</v>
      </c>
      <c r="Y299">
        <f t="shared" si="315"/>
        <v>360</v>
      </c>
    </row>
    <row r="300" spans="1:25">
      <c r="A300" s="19" t="s">
        <v>26</v>
      </c>
      <c r="B300" s="31" t="s">
        <v>331</v>
      </c>
      <c r="C300" s="19" t="s">
        <v>26</v>
      </c>
      <c r="D300" s="20"/>
      <c r="E300" s="20"/>
      <c r="F300" s="20"/>
      <c r="G300" s="19"/>
      <c r="H300" s="20"/>
      <c r="I300" s="20"/>
      <c r="J300" s="20"/>
      <c r="K300" s="20"/>
      <c r="L300" s="50"/>
      <c r="M300" s="3"/>
      <c r="O300" s="43"/>
      <c r="P300" s="43"/>
      <c r="Q300" s="43"/>
      <c r="R300" s="43"/>
      <c r="X300">
        <f t="shared" si="314"/>
        <v>0</v>
      </c>
      <c r="Y300">
        <f t="shared" si="315"/>
        <v>0</v>
      </c>
    </row>
    <row r="301" spans="1:25">
      <c r="A301" s="8" t="s">
        <v>26</v>
      </c>
      <c r="B301" s="27" t="s">
        <v>332</v>
      </c>
      <c r="C301" s="8" t="s">
        <v>64</v>
      </c>
      <c r="D301" s="13">
        <v>250</v>
      </c>
      <c r="E301" s="46">
        <f t="shared" ref="E301:E302" si="366">SUM(Q301)</f>
        <v>16.802210526315793</v>
      </c>
      <c r="F301" s="46">
        <f t="shared" ref="F301:F302" si="367">D301*E301</f>
        <v>4200.5526315789484</v>
      </c>
      <c r="G301" s="47"/>
      <c r="H301" s="46">
        <f t="shared" ref="H301:H302" si="368">SUM(V301)</f>
        <v>40.425000000000004</v>
      </c>
      <c r="I301" s="46">
        <f t="shared" ref="I301:I302" si="369">D301*H301</f>
        <v>10106.250000000002</v>
      </c>
      <c r="J301" s="13">
        <f>E301+H301</f>
        <v>57.227210526315801</v>
      </c>
      <c r="K301" s="13">
        <f>F301+I301</f>
        <v>14306.80263157895</v>
      </c>
      <c r="L301" s="50"/>
      <c r="M301" s="3"/>
      <c r="O301" s="40">
        <v>14.547368421052633</v>
      </c>
      <c r="P301" s="41">
        <f t="shared" ref="P301:P302" si="370">$P$1</f>
        <v>1.155</v>
      </c>
      <c r="Q301" s="42">
        <f t="shared" ref="Q301:Q302" si="371">SUM(P301*O301)</f>
        <v>16.802210526315793</v>
      </c>
      <c r="R301" s="43"/>
      <c r="S301" s="43"/>
      <c r="T301" s="44">
        <v>35</v>
      </c>
      <c r="U301" s="45">
        <f t="shared" ref="U301:U302" si="372">$U$1</f>
        <v>1.155</v>
      </c>
      <c r="V301" s="44">
        <f t="shared" ref="V301:V302" si="373">SUM(U301*T301)</f>
        <v>40.425000000000004</v>
      </c>
      <c r="X301">
        <f t="shared" si="314"/>
        <v>3636.8421052631584</v>
      </c>
      <c r="Y301">
        <f t="shared" si="315"/>
        <v>8750</v>
      </c>
    </row>
    <row r="302" spans="1:25">
      <c r="A302" s="8" t="s">
        <v>26</v>
      </c>
      <c r="B302" s="27" t="s">
        <v>333</v>
      </c>
      <c r="C302" s="8" t="s">
        <v>64</v>
      </c>
      <c r="D302" s="13">
        <v>370</v>
      </c>
      <c r="E302" s="46">
        <f t="shared" si="366"/>
        <v>52.157368421052638</v>
      </c>
      <c r="F302" s="46">
        <f t="shared" si="367"/>
        <v>19298.226315789478</v>
      </c>
      <c r="G302" s="47"/>
      <c r="H302" s="46">
        <f t="shared" si="368"/>
        <v>63.524999999999999</v>
      </c>
      <c r="I302" s="46">
        <f t="shared" si="369"/>
        <v>23504.25</v>
      </c>
      <c r="J302" s="13">
        <f>E302+H302</f>
        <v>115.68236842105264</v>
      </c>
      <c r="K302" s="13">
        <f>F302+I302</f>
        <v>42802.476315789478</v>
      </c>
      <c r="L302" s="50"/>
      <c r="M302" s="3"/>
      <c r="O302" s="40">
        <f>SUM([3]Rozpočet!$V$269:$V$270)</f>
        <v>45.15789473684211</v>
      </c>
      <c r="P302" s="41">
        <f t="shared" si="370"/>
        <v>1.155</v>
      </c>
      <c r="Q302" s="42">
        <f t="shared" si="371"/>
        <v>52.157368421052638</v>
      </c>
      <c r="R302" s="43"/>
      <c r="S302" s="43"/>
      <c r="T302" s="44">
        <v>55</v>
      </c>
      <c r="U302" s="45">
        <f t="shared" si="372"/>
        <v>1.155</v>
      </c>
      <c r="V302" s="44">
        <f t="shared" si="373"/>
        <v>63.524999999999999</v>
      </c>
      <c r="X302">
        <f t="shared" si="314"/>
        <v>16708.42105263158</v>
      </c>
      <c r="Y302">
        <f t="shared" si="315"/>
        <v>20350</v>
      </c>
    </row>
    <row r="303" spans="1:25">
      <c r="A303" s="19" t="s">
        <v>26</v>
      </c>
      <c r="B303" s="31" t="s">
        <v>334</v>
      </c>
      <c r="C303" s="19" t="s">
        <v>26</v>
      </c>
      <c r="D303" s="20"/>
      <c r="E303" s="20"/>
      <c r="F303" s="20"/>
      <c r="G303" s="19"/>
      <c r="H303" s="20"/>
      <c r="I303" s="20"/>
      <c r="J303" s="20"/>
      <c r="K303" s="20"/>
      <c r="L303" s="50"/>
      <c r="M303" s="3"/>
      <c r="O303" s="43"/>
      <c r="P303" s="43"/>
      <c r="Q303" s="43"/>
      <c r="R303" s="43"/>
      <c r="X303">
        <f t="shared" si="314"/>
        <v>0</v>
      </c>
      <c r="Y303">
        <f t="shared" si="315"/>
        <v>0</v>
      </c>
    </row>
    <row r="304" spans="1:25">
      <c r="A304" s="8" t="s">
        <v>26</v>
      </c>
      <c r="B304" s="27" t="s">
        <v>335</v>
      </c>
      <c r="C304" s="8" t="s">
        <v>64</v>
      </c>
      <c r="D304" s="13">
        <v>20</v>
      </c>
      <c r="E304" s="46">
        <f t="shared" ref="E304:E316" si="374">SUM(Q304)</f>
        <v>40.121052631578948</v>
      </c>
      <c r="F304" s="46">
        <f t="shared" ref="F304:F316" si="375">D304*E304</f>
        <v>802.42105263157896</v>
      </c>
      <c r="G304" s="47"/>
      <c r="H304" s="46">
        <f t="shared" ref="H304:H316" si="376">SUM(V304)</f>
        <v>63.524999999999999</v>
      </c>
      <c r="I304" s="46">
        <f t="shared" ref="I304:I316" si="377">D304*H304</f>
        <v>1270.5</v>
      </c>
      <c r="J304" s="13">
        <f t="shared" ref="J304:J316" si="378">E304+H304</f>
        <v>103.64605263157895</v>
      </c>
      <c r="K304" s="13">
        <f t="shared" ref="K304:K316" si="379">F304+I304</f>
        <v>2072.9210526315792</v>
      </c>
      <c r="L304" s="50"/>
      <c r="M304" s="3"/>
      <c r="O304" s="40">
        <v>34.736842105263158</v>
      </c>
      <c r="P304" s="41">
        <f t="shared" ref="P304:P316" si="380">$P$1</f>
        <v>1.155</v>
      </c>
      <c r="Q304" s="42">
        <f t="shared" ref="Q304:Q316" si="381">SUM(P304*O304)</f>
        <v>40.121052631578948</v>
      </c>
      <c r="R304" s="43"/>
      <c r="S304" s="43"/>
      <c r="T304" s="44">
        <v>55</v>
      </c>
      <c r="U304" s="45">
        <f t="shared" ref="U304:U316" si="382">$U$1</f>
        <v>1.155</v>
      </c>
      <c r="V304" s="44">
        <f t="shared" ref="V304:V316" si="383">SUM(U304*T304)</f>
        <v>63.524999999999999</v>
      </c>
      <c r="X304">
        <f t="shared" si="314"/>
        <v>694.73684210526312</v>
      </c>
      <c r="Y304">
        <f t="shared" si="315"/>
        <v>1100</v>
      </c>
    </row>
    <row r="305" spans="1:25">
      <c r="A305" s="8" t="s">
        <v>26</v>
      </c>
      <c r="B305" s="27" t="s">
        <v>336</v>
      </c>
      <c r="C305" s="8" t="s">
        <v>64</v>
      </c>
      <c r="D305" s="13">
        <v>8</v>
      </c>
      <c r="E305" s="46">
        <f t="shared" si="374"/>
        <v>36.242684210526313</v>
      </c>
      <c r="F305" s="46">
        <f t="shared" si="375"/>
        <v>289.94147368421051</v>
      </c>
      <c r="G305" s="47"/>
      <c r="H305" s="46">
        <f t="shared" si="376"/>
        <v>63.524999999999999</v>
      </c>
      <c r="I305" s="46">
        <f t="shared" si="377"/>
        <v>508.2</v>
      </c>
      <c r="J305" s="13">
        <f t="shared" si="378"/>
        <v>99.767684210526312</v>
      </c>
      <c r="K305" s="13">
        <f t="shared" si="379"/>
        <v>798.1414736842105</v>
      </c>
      <c r="L305" s="50"/>
      <c r="M305" s="3"/>
      <c r="O305" s="40">
        <v>31.378947368421052</v>
      </c>
      <c r="P305" s="41">
        <f t="shared" si="380"/>
        <v>1.155</v>
      </c>
      <c r="Q305" s="42">
        <f t="shared" si="381"/>
        <v>36.242684210526313</v>
      </c>
      <c r="R305" s="43"/>
      <c r="S305" s="43"/>
      <c r="T305" s="44">
        <v>55</v>
      </c>
      <c r="U305" s="45">
        <f t="shared" si="382"/>
        <v>1.155</v>
      </c>
      <c r="V305" s="44">
        <f t="shared" si="383"/>
        <v>63.524999999999999</v>
      </c>
      <c r="X305">
        <f t="shared" si="314"/>
        <v>251.03157894736842</v>
      </c>
      <c r="Y305">
        <f t="shared" si="315"/>
        <v>440</v>
      </c>
    </row>
    <row r="306" spans="1:25">
      <c r="A306" s="8" t="s">
        <v>26</v>
      </c>
      <c r="B306" s="27" t="s">
        <v>337</v>
      </c>
      <c r="C306" s="8" t="s">
        <v>64</v>
      </c>
      <c r="D306" s="13">
        <v>175</v>
      </c>
      <c r="E306" s="46">
        <f t="shared" si="374"/>
        <v>11.975526315789473</v>
      </c>
      <c r="F306" s="46">
        <f t="shared" si="375"/>
        <v>2095.7171052631579</v>
      </c>
      <c r="G306" s="47"/>
      <c r="H306" s="46">
        <f t="shared" si="376"/>
        <v>63.524999999999999</v>
      </c>
      <c r="I306" s="46">
        <f t="shared" si="377"/>
        <v>11116.875</v>
      </c>
      <c r="J306" s="13">
        <f t="shared" si="378"/>
        <v>75.500526315789472</v>
      </c>
      <c r="K306" s="13">
        <f t="shared" si="379"/>
        <v>13212.592105263158</v>
      </c>
      <c r="L306" s="50"/>
      <c r="M306" s="3"/>
      <c r="O306" s="40">
        <v>10.368421052631579</v>
      </c>
      <c r="P306" s="41">
        <f t="shared" si="380"/>
        <v>1.155</v>
      </c>
      <c r="Q306" s="42">
        <f t="shared" si="381"/>
        <v>11.975526315789473</v>
      </c>
      <c r="R306" s="43"/>
      <c r="S306" s="43"/>
      <c r="T306" s="44">
        <v>55</v>
      </c>
      <c r="U306" s="45">
        <f t="shared" si="382"/>
        <v>1.155</v>
      </c>
      <c r="V306" s="44">
        <f t="shared" si="383"/>
        <v>63.524999999999999</v>
      </c>
      <c r="X306">
        <f t="shared" si="314"/>
        <v>1814.4736842105262</v>
      </c>
      <c r="Y306">
        <f t="shared" si="315"/>
        <v>9625</v>
      </c>
    </row>
    <row r="307" spans="1:25">
      <c r="A307" s="8" t="s">
        <v>26</v>
      </c>
      <c r="B307" s="27" t="s">
        <v>338</v>
      </c>
      <c r="C307" s="8" t="s">
        <v>64</v>
      </c>
      <c r="D307" s="13">
        <v>20</v>
      </c>
      <c r="E307" s="46">
        <f t="shared" si="374"/>
        <v>14.917736842105263</v>
      </c>
      <c r="F307" s="46">
        <f t="shared" si="375"/>
        <v>298.35473684210524</v>
      </c>
      <c r="G307" s="47"/>
      <c r="H307" s="46">
        <f t="shared" si="376"/>
        <v>63.524999999999999</v>
      </c>
      <c r="I307" s="46">
        <f t="shared" si="377"/>
        <v>1270.5</v>
      </c>
      <c r="J307" s="13">
        <f t="shared" si="378"/>
        <v>78.442736842105262</v>
      </c>
      <c r="K307" s="13">
        <f t="shared" si="379"/>
        <v>1568.8547368421052</v>
      </c>
      <c r="L307" s="50"/>
      <c r="M307" s="3"/>
      <c r="O307" s="40">
        <v>12.91578947368421</v>
      </c>
      <c r="P307" s="41">
        <f t="shared" si="380"/>
        <v>1.155</v>
      </c>
      <c r="Q307" s="42">
        <f t="shared" si="381"/>
        <v>14.917736842105263</v>
      </c>
      <c r="R307" s="43"/>
      <c r="S307" s="43"/>
      <c r="T307" s="44">
        <v>55</v>
      </c>
      <c r="U307" s="45">
        <f t="shared" si="382"/>
        <v>1.155</v>
      </c>
      <c r="V307" s="44">
        <f t="shared" si="383"/>
        <v>63.524999999999999</v>
      </c>
      <c r="X307">
        <f t="shared" si="314"/>
        <v>258.31578947368422</v>
      </c>
      <c r="Y307">
        <f t="shared" si="315"/>
        <v>1100</v>
      </c>
    </row>
    <row r="308" spans="1:25">
      <c r="A308" s="8" t="s">
        <v>26</v>
      </c>
      <c r="B308" s="27" t="s">
        <v>339</v>
      </c>
      <c r="C308" s="8" t="s">
        <v>64</v>
      </c>
      <c r="D308" s="13">
        <v>10</v>
      </c>
      <c r="E308" s="46">
        <f t="shared" si="374"/>
        <v>24.875052631578949</v>
      </c>
      <c r="F308" s="46">
        <f t="shared" si="375"/>
        <v>248.7505263157895</v>
      </c>
      <c r="G308" s="47"/>
      <c r="H308" s="46">
        <f t="shared" si="376"/>
        <v>63.524999999999999</v>
      </c>
      <c r="I308" s="46">
        <f t="shared" si="377"/>
        <v>635.25</v>
      </c>
      <c r="J308" s="13">
        <f t="shared" si="378"/>
        <v>88.400052631578944</v>
      </c>
      <c r="K308" s="13">
        <f t="shared" si="379"/>
        <v>884.00052631578956</v>
      </c>
      <c r="L308" s="50"/>
      <c r="M308" s="3"/>
      <c r="O308" s="40">
        <v>21.536842105263158</v>
      </c>
      <c r="P308" s="41">
        <f t="shared" si="380"/>
        <v>1.155</v>
      </c>
      <c r="Q308" s="42">
        <f t="shared" si="381"/>
        <v>24.875052631578949</v>
      </c>
      <c r="R308" s="43"/>
      <c r="S308" s="43"/>
      <c r="T308" s="44">
        <v>55</v>
      </c>
      <c r="U308" s="45">
        <f t="shared" si="382"/>
        <v>1.155</v>
      </c>
      <c r="V308" s="44">
        <f t="shared" si="383"/>
        <v>63.524999999999999</v>
      </c>
      <c r="X308">
        <f t="shared" si="314"/>
        <v>215.36842105263159</v>
      </c>
      <c r="Y308">
        <f t="shared" si="315"/>
        <v>550</v>
      </c>
    </row>
    <row r="309" spans="1:25">
      <c r="A309" s="8" t="s">
        <v>26</v>
      </c>
      <c r="B309" s="27" t="s">
        <v>340</v>
      </c>
      <c r="C309" s="8" t="s">
        <v>64</v>
      </c>
      <c r="D309" s="13">
        <v>5</v>
      </c>
      <c r="E309" s="46">
        <f t="shared" si="374"/>
        <v>24.473842105263159</v>
      </c>
      <c r="F309" s="46">
        <f t="shared" si="375"/>
        <v>122.3692105263158</v>
      </c>
      <c r="G309" s="47"/>
      <c r="H309" s="46">
        <f t="shared" si="376"/>
        <v>63.524999999999999</v>
      </c>
      <c r="I309" s="46">
        <f t="shared" si="377"/>
        <v>317.625</v>
      </c>
      <c r="J309" s="13">
        <f t="shared" si="378"/>
        <v>87.998842105263151</v>
      </c>
      <c r="K309" s="13">
        <f t="shared" si="379"/>
        <v>439.99421052631578</v>
      </c>
      <c r="L309" s="50"/>
      <c r="M309" s="3"/>
      <c r="O309" s="40">
        <v>21.189473684210526</v>
      </c>
      <c r="P309" s="41">
        <f t="shared" si="380"/>
        <v>1.155</v>
      </c>
      <c r="Q309" s="42">
        <f t="shared" si="381"/>
        <v>24.473842105263159</v>
      </c>
      <c r="R309" s="43"/>
      <c r="S309" s="43"/>
      <c r="T309" s="44">
        <v>55</v>
      </c>
      <c r="U309" s="45">
        <f t="shared" si="382"/>
        <v>1.155</v>
      </c>
      <c r="V309" s="44">
        <f t="shared" si="383"/>
        <v>63.524999999999999</v>
      </c>
      <c r="X309">
        <f t="shared" si="314"/>
        <v>105.94736842105263</v>
      </c>
      <c r="Y309">
        <f t="shared" si="315"/>
        <v>275</v>
      </c>
    </row>
    <row r="310" spans="1:25">
      <c r="A310" s="8" t="s">
        <v>26</v>
      </c>
      <c r="B310" s="27" t="s">
        <v>341</v>
      </c>
      <c r="C310" s="8" t="s">
        <v>64</v>
      </c>
      <c r="D310" s="13">
        <v>6</v>
      </c>
      <c r="E310" s="46">
        <f t="shared" si="374"/>
        <v>11.732368421052634</v>
      </c>
      <c r="F310" s="46">
        <f t="shared" si="375"/>
        <v>70.394210526315803</v>
      </c>
      <c r="G310" s="47"/>
      <c r="H310" s="46">
        <f t="shared" si="376"/>
        <v>63.524999999999999</v>
      </c>
      <c r="I310" s="46">
        <f t="shared" si="377"/>
        <v>381.15</v>
      </c>
      <c r="J310" s="13">
        <f t="shared" si="378"/>
        <v>75.257368421052632</v>
      </c>
      <c r="K310" s="13">
        <f t="shared" si="379"/>
        <v>451.54421052631579</v>
      </c>
      <c r="L310" s="50"/>
      <c r="M310" s="3"/>
      <c r="O310" s="40">
        <v>10.157894736842106</v>
      </c>
      <c r="P310" s="41">
        <f t="shared" si="380"/>
        <v>1.155</v>
      </c>
      <c r="Q310" s="42">
        <f t="shared" si="381"/>
        <v>11.732368421052634</v>
      </c>
      <c r="R310" s="43"/>
      <c r="S310" s="43"/>
      <c r="T310" s="44">
        <v>55</v>
      </c>
      <c r="U310" s="45">
        <f t="shared" si="382"/>
        <v>1.155</v>
      </c>
      <c r="V310" s="44">
        <f t="shared" si="383"/>
        <v>63.524999999999999</v>
      </c>
      <c r="X310">
        <f t="shared" si="314"/>
        <v>60.947368421052637</v>
      </c>
      <c r="Y310">
        <f t="shared" si="315"/>
        <v>330</v>
      </c>
    </row>
    <row r="311" spans="1:25">
      <c r="A311" s="8" t="s">
        <v>26</v>
      </c>
      <c r="B311" s="27" t="s">
        <v>342</v>
      </c>
      <c r="C311" s="8" t="s">
        <v>64</v>
      </c>
      <c r="D311" s="13">
        <v>6</v>
      </c>
      <c r="E311" s="46">
        <f t="shared" si="374"/>
        <v>16.559052631578947</v>
      </c>
      <c r="F311" s="46">
        <f t="shared" si="375"/>
        <v>99.354315789473674</v>
      </c>
      <c r="G311" s="47"/>
      <c r="H311" s="46">
        <f t="shared" si="376"/>
        <v>103.95</v>
      </c>
      <c r="I311" s="46">
        <f t="shared" si="377"/>
        <v>623.70000000000005</v>
      </c>
      <c r="J311" s="13">
        <f t="shared" si="378"/>
        <v>120.50905263157895</v>
      </c>
      <c r="K311" s="13">
        <f t="shared" si="379"/>
        <v>723.05431578947378</v>
      </c>
      <c r="L311" s="50"/>
      <c r="M311" s="3"/>
      <c r="O311" s="40">
        <v>14.336842105263157</v>
      </c>
      <c r="P311" s="41">
        <f t="shared" si="380"/>
        <v>1.155</v>
      </c>
      <c r="Q311" s="42">
        <f t="shared" si="381"/>
        <v>16.559052631578947</v>
      </c>
      <c r="R311" s="43"/>
      <c r="S311" s="43"/>
      <c r="T311" s="44">
        <v>90</v>
      </c>
      <c r="U311" s="45">
        <f t="shared" si="382"/>
        <v>1.155</v>
      </c>
      <c r="V311" s="44">
        <f t="shared" si="383"/>
        <v>103.95</v>
      </c>
      <c r="X311">
        <f t="shared" si="314"/>
        <v>86.021052631578939</v>
      </c>
      <c r="Y311">
        <f t="shared" si="315"/>
        <v>540</v>
      </c>
    </row>
    <row r="312" spans="1:25">
      <c r="A312" s="8" t="s">
        <v>26</v>
      </c>
      <c r="B312" s="27" t="s">
        <v>343</v>
      </c>
      <c r="C312" s="8" t="s">
        <v>64</v>
      </c>
      <c r="D312" s="13">
        <v>20</v>
      </c>
      <c r="E312" s="46">
        <f t="shared" si="374"/>
        <v>12.705</v>
      </c>
      <c r="F312" s="46">
        <f t="shared" si="375"/>
        <v>254.1</v>
      </c>
      <c r="G312" s="47"/>
      <c r="H312" s="46">
        <f t="shared" si="376"/>
        <v>23.1</v>
      </c>
      <c r="I312" s="46">
        <f t="shared" si="377"/>
        <v>462</v>
      </c>
      <c r="J312" s="13">
        <f t="shared" si="378"/>
        <v>35.805</v>
      </c>
      <c r="K312" s="13">
        <f t="shared" si="379"/>
        <v>716.1</v>
      </c>
      <c r="L312" s="50"/>
      <c r="M312" s="3"/>
      <c r="O312" s="40">
        <v>11</v>
      </c>
      <c r="P312" s="41">
        <f t="shared" si="380"/>
        <v>1.155</v>
      </c>
      <c r="Q312" s="42">
        <f t="shared" si="381"/>
        <v>12.705</v>
      </c>
      <c r="R312" s="43"/>
      <c r="S312" s="43"/>
      <c r="T312" s="44">
        <v>20</v>
      </c>
      <c r="U312" s="45">
        <f t="shared" si="382"/>
        <v>1.155</v>
      </c>
      <c r="V312" s="44">
        <f t="shared" si="383"/>
        <v>23.1</v>
      </c>
      <c r="X312">
        <f t="shared" si="314"/>
        <v>220</v>
      </c>
      <c r="Y312">
        <f t="shared" si="315"/>
        <v>400</v>
      </c>
    </row>
    <row r="313" spans="1:25">
      <c r="A313" s="8" t="s">
        <v>26</v>
      </c>
      <c r="B313" s="27" t="s">
        <v>344</v>
      </c>
      <c r="C313" s="8" t="s">
        <v>64</v>
      </c>
      <c r="D313" s="13">
        <v>70</v>
      </c>
      <c r="E313" s="46">
        <f t="shared" si="374"/>
        <v>31.829368421052632</v>
      </c>
      <c r="F313" s="46">
        <f t="shared" si="375"/>
        <v>2228.0557894736844</v>
      </c>
      <c r="G313" s="47"/>
      <c r="H313" s="46">
        <f t="shared" si="376"/>
        <v>63.524999999999999</v>
      </c>
      <c r="I313" s="46">
        <f t="shared" si="377"/>
        <v>4446.75</v>
      </c>
      <c r="J313" s="13">
        <f t="shared" si="378"/>
        <v>95.354368421052627</v>
      </c>
      <c r="K313" s="13">
        <f t="shared" si="379"/>
        <v>6674.8057894736849</v>
      </c>
      <c r="L313" s="50"/>
      <c r="M313" s="3"/>
      <c r="O313" s="40">
        <v>27.557894736842105</v>
      </c>
      <c r="P313" s="41">
        <f t="shared" si="380"/>
        <v>1.155</v>
      </c>
      <c r="Q313" s="42">
        <f t="shared" si="381"/>
        <v>31.829368421052632</v>
      </c>
      <c r="R313" s="43"/>
      <c r="S313" s="43"/>
      <c r="T313" s="44">
        <v>55</v>
      </c>
      <c r="U313" s="45">
        <f t="shared" si="382"/>
        <v>1.155</v>
      </c>
      <c r="V313" s="44">
        <f t="shared" si="383"/>
        <v>63.524999999999999</v>
      </c>
      <c r="X313">
        <f t="shared" si="314"/>
        <v>1929.0526315789473</v>
      </c>
      <c r="Y313">
        <f t="shared" si="315"/>
        <v>3850</v>
      </c>
    </row>
    <row r="314" spans="1:25">
      <c r="A314" s="8" t="s">
        <v>26</v>
      </c>
      <c r="B314" s="27" t="s">
        <v>345</v>
      </c>
      <c r="C314" s="8" t="s">
        <v>64</v>
      </c>
      <c r="D314" s="13">
        <v>2</v>
      </c>
      <c r="E314" s="46">
        <f t="shared" si="374"/>
        <v>38.382473684210531</v>
      </c>
      <c r="F314" s="46">
        <f t="shared" si="375"/>
        <v>76.764947368421062</v>
      </c>
      <c r="G314" s="47"/>
      <c r="H314" s="46">
        <f t="shared" si="376"/>
        <v>63.524999999999999</v>
      </c>
      <c r="I314" s="46">
        <f t="shared" si="377"/>
        <v>127.05</v>
      </c>
      <c r="J314" s="13">
        <f t="shared" si="378"/>
        <v>101.90747368421053</v>
      </c>
      <c r="K314" s="13">
        <f t="shared" si="379"/>
        <v>203.81494736842106</v>
      </c>
      <c r="L314" s="50"/>
      <c r="M314" s="3"/>
      <c r="O314" s="40">
        <v>33.231578947368426</v>
      </c>
      <c r="P314" s="41">
        <f t="shared" si="380"/>
        <v>1.155</v>
      </c>
      <c r="Q314" s="42">
        <f t="shared" si="381"/>
        <v>38.382473684210531</v>
      </c>
      <c r="R314" s="43"/>
      <c r="S314" s="43"/>
      <c r="T314" s="44">
        <v>55</v>
      </c>
      <c r="U314" s="45">
        <f t="shared" si="382"/>
        <v>1.155</v>
      </c>
      <c r="V314" s="44">
        <f t="shared" si="383"/>
        <v>63.524999999999999</v>
      </c>
      <c r="X314">
        <f t="shared" si="314"/>
        <v>66.463157894736852</v>
      </c>
      <c r="Y314">
        <f t="shared" si="315"/>
        <v>110</v>
      </c>
    </row>
    <row r="315" spans="1:25">
      <c r="A315" s="8" t="s">
        <v>26</v>
      </c>
      <c r="B315" s="27" t="s">
        <v>346</v>
      </c>
      <c r="C315" s="8" t="s">
        <v>64</v>
      </c>
      <c r="D315" s="13">
        <v>260</v>
      </c>
      <c r="E315" s="46">
        <f t="shared" si="374"/>
        <v>9.24</v>
      </c>
      <c r="F315" s="46">
        <f t="shared" si="375"/>
        <v>2402.4</v>
      </c>
      <c r="G315" s="47"/>
      <c r="H315" s="46">
        <f t="shared" si="376"/>
        <v>173.25</v>
      </c>
      <c r="I315" s="46">
        <f t="shared" si="377"/>
        <v>45045</v>
      </c>
      <c r="J315" s="13">
        <f t="shared" si="378"/>
        <v>182.49</v>
      </c>
      <c r="K315" s="13">
        <f t="shared" si="379"/>
        <v>47447.4</v>
      </c>
      <c r="L315" s="50"/>
      <c r="M315" s="3"/>
      <c r="O315" s="56">
        <v>8</v>
      </c>
      <c r="P315" s="41">
        <f t="shared" si="380"/>
        <v>1.155</v>
      </c>
      <c r="Q315" s="42">
        <f t="shared" si="381"/>
        <v>9.24</v>
      </c>
      <c r="R315" s="43"/>
      <c r="S315" s="43"/>
      <c r="T315" s="44">
        <v>150</v>
      </c>
      <c r="U315" s="45">
        <f t="shared" si="382"/>
        <v>1.155</v>
      </c>
      <c r="V315" s="44">
        <f t="shared" si="383"/>
        <v>173.25</v>
      </c>
      <c r="X315">
        <f t="shared" si="314"/>
        <v>2080</v>
      </c>
      <c r="Y315">
        <f t="shared" si="315"/>
        <v>39000</v>
      </c>
    </row>
    <row r="316" spans="1:25">
      <c r="A316" s="8"/>
      <c r="B316" s="27" t="s">
        <v>347</v>
      </c>
      <c r="C316" s="8" t="s">
        <v>74</v>
      </c>
      <c r="D316" s="13">
        <v>260</v>
      </c>
      <c r="E316" s="46">
        <f t="shared" si="374"/>
        <v>0</v>
      </c>
      <c r="F316" s="46">
        <f t="shared" si="375"/>
        <v>0</v>
      </c>
      <c r="G316" s="47"/>
      <c r="H316" s="46">
        <f t="shared" si="376"/>
        <v>34.65</v>
      </c>
      <c r="I316" s="46">
        <f t="shared" si="377"/>
        <v>9009</v>
      </c>
      <c r="J316" s="13">
        <f t="shared" si="378"/>
        <v>34.65</v>
      </c>
      <c r="K316" s="13">
        <f t="shared" si="379"/>
        <v>9009</v>
      </c>
      <c r="L316" s="50" t="s">
        <v>427</v>
      </c>
      <c r="M316" s="3"/>
      <c r="O316" s="56"/>
      <c r="P316" s="41">
        <f t="shared" si="380"/>
        <v>1.155</v>
      </c>
      <c r="Q316" s="42">
        <f t="shared" si="381"/>
        <v>0</v>
      </c>
      <c r="R316" s="43"/>
      <c r="S316" s="43"/>
      <c r="T316" s="44">
        <v>30</v>
      </c>
      <c r="U316" s="45">
        <f t="shared" si="382"/>
        <v>1.155</v>
      </c>
      <c r="V316" s="44">
        <f t="shared" si="383"/>
        <v>34.65</v>
      </c>
      <c r="X316">
        <f t="shared" si="314"/>
        <v>0</v>
      </c>
      <c r="Y316">
        <f t="shared" si="315"/>
        <v>7800</v>
      </c>
    </row>
    <row r="317" spans="1:25">
      <c r="A317" s="19"/>
      <c r="B317" s="31" t="s">
        <v>348</v>
      </c>
      <c r="C317" s="19" t="s">
        <v>26</v>
      </c>
      <c r="D317" s="20"/>
      <c r="E317" s="20"/>
      <c r="F317" s="20"/>
      <c r="G317" s="19"/>
      <c r="H317" s="20"/>
      <c r="I317" s="20"/>
      <c r="J317" s="20"/>
      <c r="K317" s="20"/>
      <c r="L317" s="50"/>
      <c r="M317" s="3"/>
      <c r="O317" s="43"/>
      <c r="P317" s="43"/>
      <c r="Q317" s="43"/>
      <c r="R317" s="43"/>
      <c r="X317">
        <f t="shared" si="314"/>
        <v>0</v>
      </c>
      <c r="Y317">
        <f t="shared" si="315"/>
        <v>0</v>
      </c>
    </row>
    <row r="318" spans="1:25">
      <c r="A318" s="8"/>
      <c r="B318" s="27" t="s">
        <v>349</v>
      </c>
      <c r="C318" s="8" t="s">
        <v>64</v>
      </c>
      <c r="D318" s="13">
        <v>25</v>
      </c>
      <c r="E318" s="46">
        <f t="shared" ref="E318:E322" si="384">SUM(Q318)</f>
        <v>0</v>
      </c>
      <c r="F318" s="46">
        <f t="shared" ref="F318:F322" si="385">D318*E318</f>
        <v>0</v>
      </c>
      <c r="G318" s="47"/>
      <c r="H318" s="46">
        <f t="shared" ref="H318:H322" si="386">SUM(V318)</f>
        <v>63.524999999999999</v>
      </c>
      <c r="I318" s="46">
        <f t="shared" ref="I318:I322" si="387">D318*H318</f>
        <v>1588.125</v>
      </c>
      <c r="J318" s="13">
        <f t="shared" ref="J318:K323" si="388">E318+H318</f>
        <v>63.524999999999999</v>
      </c>
      <c r="K318" s="13">
        <f t="shared" si="388"/>
        <v>1588.125</v>
      </c>
      <c r="L318" s="50"/>
      <c r="M318" s="3"/>
      <c r="O318" s="40"/>
      <c r="P318" s="41">
        <f t="shared" ref="P318:P321" si="389">$P$1</f>
        <v>1.155</v>
      </c>
      <c r="Q318" s="42">
        <f t="shared" ref="Q318:Q322" si="390">SUM(P318*O318)</f>
        <v>0</v>
      </c>
      <c r="R318" s="43"/>
      <c r="S318" s="43"/>
      <c r="T318" s="44">
        <v>55</v>
      </c>
      <c r="U318" s="45">
        <f t="shared" ref="U318:U322" si="391">$U$1</f>
        <v>1.155</v>
      </c>
      <c r="V318" s="44">
        <f t="shared" ref="V318:V322" si="392">SUM(U318*T318)</f>
        <v>63.524999999999999</v>
      </c>
      <c r="X318">
        <f t="shared" si="314"/>
        <v>0</v>
      </c>
      <c r="Y318">
        <f t="shared" si="315"/>
        <v>1375</v>
      </c>
    </row>
    <row r="319" spans="1:25">
      <c r="A319" s="8"/>
      <c r="B319" s="27" t="s">
        <v>350</v>
      </c>
      <c r="C319" s="8" t="s">
        <v>64</v>
      </c>
      <c r="D319" s="13">
        <v>60</v>
      </c>
      <c r="E319" s="46">
        <f t="shared" si="384"/>
        <v>0</v>
      </c>
      <c r="F319" s="46">
        <f t="shared" si="385"/>
        <v>0</v>
      </c>
      <c r="G319" s="47"/>
      <c r="H319" s="46">
        <f t="shared" si="386"/>
        <v>138.6</v>
      </c>
      <c r="I319" s="46">
        <f t="shared" si="387"/>
        <v>8316</v>
      </c>
      <c r="J319" s="13">
        <f t="shared" si="388"/>
        <v>138.6</v>
      </c>
      <c r="K319" s="13">
        <f t="shared" si="388"/>
        <v>8316</v>
      </c>
      <c r="L319" s="50"/>
      <c r="M319" s="3"/>
      <c r="O319" s="40"/>
      <c r="P319" s="41">
        <f t="shared" si="389"/>
        <v>1.155</v>
      </c>
      <c r="Q319" s="42">
        <f t="shared" si="390"/>
        <v>0</v>
      </c>
      <c r="R319" s="43"/>
      <c r="S319" s="43"/>
      <c r="T319" s="44">
        <v>120</v>
      </c>
      <c r="U319" s="45">
        <f t="shared" si="391"/>
        <v>1.155</v>
      </c>
      <c r="V319" s="44">
        <f t="shared" si="392"/>
        <v>138.6</v>
      </c>
      <c r="X319">
        <f t="shared" si="314"/>
        <v>0</v>
      </c>
      <c r="Y319">
        <f t="shared" si="315"/>
        <v>7200</v>
      </c>
    </row>
    <row r="320" spans="1:25" ht="23.25">
      <c r="A320" s="8"/>
      <c r="B320" s="27" t="s">
        <v>351</v>
      </c>
      <c r="C320" s="8" t="s">
        <v>64</v>
      </c>
      <c r="D320" s="13">
        <v>1</v>
      </c>
      <c r="E320" s="46">
        <f t="shared" si="384"/>
        <v>0</v>
      </c>
      <c r="F320" s="46">
        <f t="shared" si="385"/>
        <v>0</v>
      </c>
      <c r="G320" s="47"/>
      <c r="H320" s="46">
        <f t="shared" si="386"/>
        <v>3060.75</v>
      </c>
      <c r="I320" s="46">
        <f t="shared" si="387"/>
        <v>3060.75</v>
      </c>
      <c r="J320" s="13">
        <f t="shared" si="388"/>
        <v>3060.75</v>
      </c>
      <c r="K320" s="13">
        <f t="shared" si="388"/>
        <v>3060.75</v>
      </c>
      <c r="L320" s="50"/>
      <c r="M320" s="3"/>
      <c r="O320" s="40"/>
      <c r="P320" s="41">
        <f t="shared" si="389"/>
        <v>1.155</v>
      </c>
      <c r="Q320" s="42">
        <f t="shared" si="390"/>
        <v>0</v>
      </c>
      <c r="R320" s="43"/>
      <c r="S320" s="43"/>
      <c r="T320" s="44">
        <v>2650</v>
      </c>
      <c r="U320" s="45">
        <f t="shared" si="391"/>
        <v>1.155</v>
      </c>
      <c r="V320" s="44">
        <f t="shared" si="392"/>
        <v>3060.75</v>
      </c>
      <c r="X320">
        <f t="shared" si="314"/>
        <v>0</v>
      </c>
      <c r="Y320">
        <f t="shared" si="315"/>
        <v>2650</v>
      </c>
    </row>
    <row r="321" spans="1:25">
      <c r="A321" s="8"/>
      <c r="B321" s="27" t="s">
        <v>352</v>
      </c>
      <c r="C321" s="8" t="s">
        <v>64</v>
      </c>
      <c r="D321" s="13">
        <v>20</v>
      </c>
      <c r="E321" s="46">
        <f t="shared" si="384"/>
        <v>0</v>
      </c>
      <c r="F321" s="46">
        <f t="shared" si="385"/>
        <v>0</v>
      </c>
      <c r="G321" s="47"/>
      <c r="H321" s="46">
        <f t="shared" si="386"/>
        <v>219.45000000000002</v>
      </c>
      <c r="I321" s="46">
        <f t="shared" si="387"/>
        <v>4389</v>
      </c>
      <c r="J321" s="13">
        <f t="shared" si="388"/>
        <v>219.45000000000002</v>
      </c>
      <c r="K321" s="13">
        <f t="shared" si="388"/>
        <v>4389</v>
      </c>
      <c r="L321" s="50"/>
      <c r="M321" s="3"/>
      <c r="O321" s="40"/>
      <c r="P321" s="41">
        <f t="shared" si="389"/>
        <v>1.155</v>
      </c>
      <c r="Q321" s="42">
        <f t="shared" si="390"/>
        <v>0</v>
      </c>
      <c r="R321" s="43"/>
      <c r="S321" s="43"/>
      <c r="T321" s="44">
        <v>190</v>
      </c>
      <c r="U321" s="45">
        <f t="shared" si="391"/>
        <v>1.155</v>
      </c>
      <c r="V321" s="44">
        <f t="shared" si="392"/>
        <v>219.45000000000002</v>
      </c>
      <c r="X321">
        <f t="shared" si="314"/>
        <v>0</v>
      </c>
      <c r="Y321">
        <f t="shared" si="315"/>
        <v>3800</v>
      </c>
    </row>
    <row r="322" spans="1:25">
      <c r="A322" s="8"/>
      <c r="B322" s="27" t="s">
        <v>353</v>
      </c>
      <c r="C322" s="8" t="s">
        <v>64</v>
      </c>
      <c r="D322" s="13">
        <v>2</v>
      </c>
      <c r="E322" s="46">
        <f t="shared" si="384"/>
        <v>0</v>
      </c>
      <c r="F322" s="46">
        <f t="shared" si="385"/>
        <v>0</v>
      </c>
      <c r="G322" s="47"/>
      <c r="H322" s="46">
        <f t="shared" si="386"/>
        <v>196.35</v>
      </c>
      <c r="I322" s="46">
        <f t="shared" si="387"/>
        <v>392.7</v>
      </c>
      <c r="J322" s="13">
        <f t="shared" si="388"/>
        <v>196.35</v>
      </c>
      <c r="K322" s="13">
        <f t="shared" si="388"/>
        <v>392.7</v>
      </c>
      <c r="L322" s="50"/>
      <c r="M322" s="3"/>
      <c r="O322" s="40"/>
      <c r="P322" s="41">
        <f>$P$1</f>
        <v>1.155</v>
      </c>
      <c r="Q322" s="42">
        <f t="shared" si="390"/>
        <v>0</v>
      </c>
      <c r="R322" s="43"/>
      <c r="S322" s="43"/>
      <c r="T322" s="44">
        <v>170</v>
      </c>
      <c r="U322" s="45">
        <f t="shared" si="391"/>
        <v>1.155</v>
      </c>
      <c r="V322" s="44">
        <f t="shared" si="392"/>
        <v>196.35</v>
      </c>
      <c r="X322">
        <f t="shared" si="314"/>
        <v>0</v>
      </c>
      <c r="Y322">
        <f t="shared" si="315"/>
        <v>340</v>
      </c>
    </row>
    <row r="323" spans="1:25">
      <c r="A323" s="8"/>
      <c r="B323" s="27" t="s">
        <v>26</v>
      </c>
      <c r="C323" s="8" t="s">
        <v>26</v>
      </c>
      <c r="D323" s="13"/>
      <c r="E323" s="13"/>
      <c r="F323" s="13"/>
      <c r="G323" s="8"/>
      <c r="H323" s="13"/>
      <c r="I323" s="13"/>
      <c r="J323" s="13">
        <f t="shared" si="388"/>
        <v>0</v>
      </c>
      <c r="K323" s="13">
        <f t="shared" si="388"/>
        <v>0</v>
      </c>
      <c r="L323" s="50"/>
      <c r="M323" s="3"/>
      <c r="O323" s="43"/>
      <c r="P323" s="43"/>
      <c r="Q323" s="43"/>
      <c r="R323" s="43"/>
      <c r="X323">
        <f t="shared" si="314"/>
        <v>0</v>
      </c>
      <c r="Y323">
        <f t="shared" si="315"/>
        <v>0</v>
      </c>
    </row>
    <row r="324" spans="1:25">
      <c r="A324" s="9"/>
      <c r="B324" s="29" t="s">
        <v>354</v>
      </c>
      <c r="C324" s="9" t="s">
        <v>26</v>
      </c>
      <c r="D324" s="16"/>
      <c r="E324" s="16"/>
      <c r="F324" s="16">
        <f>SUM(F285:F323)</f>
        <v>223865.07941368423</v>
      </c>
      <c r="G324" s="9"/>
      <c r="H324" s="16"/>
      <c r="I324" s="16">
        <f>SUM(I285:I323)</f>
        <v>213126.37500000003</v>
      </c>
      <c r="J324" s="16"/>
      <c r="K324" s="16">
        <f>SUM(K285:K323)</f>
        <v>436991.4544136842</v>
      </c>
      <c r="L324" s="50"/>
      <c r="M324" s="3"/>
      <c r="O324" s="43"/>
      <c r="P324" s="43"/>
      <c r="Q324" s="43"/>
      <c r="R324" s="43"/>
      <c r="X324">
        <f t="shared" si="314"/>
        <v>0</v>
      </c>
      <c r="Y324">
        <f t="shared" si="315"/>
        <v>0</v>
      </c>
    </row>
    <row r="325" spans="1:25">
      <c r="A325" s="8"/>
      <c r="B325" s="27" t="s">
        <v>26</v>
      </c>
      <c r="C325" s="8" t="s">
        <v>26</v>
      </c>
      <c r="D325" s="13"/>
      <c r="E325" s="13"/>
      <c r="F325" s="13"/>
      <c r="G325" s="8"/>
      <c r="H325" s="13"/>
      <c r="I325" s="13"/>
      <c r="J325" s="13">
        <f>E325+H325</f>
        <v>0</v>
      </c>
      <c r="K325" s="13">
        <f>F325+I325</f>
        <v>0</v>
      </c>
      <c r="L325" s="50"/>
      <c r="M325" s="3"/>
      <c r="O325" s="43"/>
      <c r="P325" s="43"/>
      <c r="Q325" s="43"/>
      <c r="R325" s="43"/>
      <c r="X325">
        <f t="shared" si="314"/>
        <v>0</v>
      </c>
      <c r="Y325">
        <f t="shared" si="315"/>
        <v>0</v>
      </c>
    </row>
    <row r="326" spans="1:25">
      <c r="A326" s="9"/>
      <c r="B326" s="29" t="s">
        <v>355</v>
      </c>
      <c r="C326" s="9" t="s">
        <v>26</v>
      </c>
      <c r="D326" s="16"/>
      <c r="E326" s="16"/>
      <c r="F326" s="16"/>
      <c r="G326" s="9"/>
      <c r="H326" s="16"/>
      <c r="I326" s="16"/>
      <c r="J326" s="16"/>
      <c r="K326" s="16"/>
      <c r="L326" s="50"/>
      <c r="M326" s="3"/>
      <c r="O326" s="43"/>
      <c r="P326" s="43"/>
      <c r="Q326" s="43"/>
      <c r="R326" s="43"/>
      <c r="X326">
        <f t="shared" si="314"/>
        <v>0</v>
      </c>
      <c r="Y326">
        <f t="shared" si="315"/>
        <v>0</v>
      </c>
    </row>
    <row r="327" spans="1:25">
      <c r="A327" s="8"/>
      <c r="B327" s="27" t="s">
        <v>26</v>
      </c>
      <c r="C327" s="8" t="s">
        <v>26</v>
      </c>
      <c r="D327" s="13"/>
      <c r="E327" s="13"/>
      <c r="F327" s="13"/>
      <c r="G327" s="8"/>
      <c r="H327" s="13"/>
      <c r="I327" s="13"/>
      <c r="J327" s="13">
        <f>E327+H327</f>
        <v>0</v>
      </c>
      <c r="K327" s="13">
        <f>F327+I327</f>
        <v>0</v>
      </c>
      <c r="L327" s="50"/>
      <c r="M327" s="3"/>
      <c r="O327" s="43"/>
      <c r="P327" s="43"/>
      <c r="Q327" s="43"/>
      <c r="R327" s="43"/>
      <c r="X327">
        <f t="shared" si="314"/>
        <v>0</v>
      </c>
      <c r="Y327">
        <f t="shared" si="315"/>
        <v>0</v>
      </c>
    </row>
    <row r="328" spans="1:25" ht="36.75">
      <c r="A328" s="19"/>
      <c r="B328" s="31" t="s">
        <v>356</v>
      </c>
      <c r="C328" s="19" t="s">
        <v>26</v>
      </c>
      <c r="D328" s="20"/>
      <c r="E328" s="20"/>
      <c r="F328" s="20"/>
      <c r="G328" s="19"/>
      <c r="H328" s="20"/>
      <c r="I328" s="20"/>
      <c r="J328" s="20"/>
      <c r="K328" s="20"/>
      <c r="L328" s="50"/>
      <c r="M328" s="3"/>
      <c r="O328" s="43"/>
      <c r="P328" s="43"/>
      <c r="Q328" s="43"/>
      <c r="R328" s="43"/>
      <c r="X328">
        <f t="shared" si="314"/>
        <v>0</v>
      </c>
      <c r="Y328">
        <f t="shared" si="315"/>
        <v>0</v>
      </c>
    </row>
    <row r="329" spans="1:25">
      <c r="A329" s="8"/>
      <c r="B329" s="27" t="s">
        <v>357</v>
      </c>
      <c r="C329" s="8" t="s">
        <v>64</v>
      </c>
      <c r="D329" s="13">
        <v>1</v>
      </c>
      <c r="E329" s="46">
        <f>SUM(Q329)</f>
        <v>0</v>
      </c>
      <c r="F329" s="46">
        <f>D329*E329</f>
        <v>0</v>
      </c>
      <c r="G329" s="47"/>
      <c r="H329" s="46">
        <f>SUM(V329)</f>
        <v>23100</v>
      </c>
      <c r="I329" s="46">
        <f>D329*H329</f>
        <v>23100</v>
      </c>
      <c r="J329" s="13">
        <f>E329+H329</f>
        <v>23100</v>
      </c>
      <c r="K329" s="13">
        <f>F329+I329</f>
        <v>23100</v>
      </c>
      <c r="L329" s="50"/>
      <c r="M329" s="3"/>
      <c r="O329" s="40"/>
      <c r="P329" s="41">
        <f>$P$1</f>
        <v>1.155</v>
      </c>
      <c r="Q329" s="42">
        <f>SUM(P329*O329)</f>
        <v>0</v>
      </c>
      <c r="R329" s="43"/>
      <c r="S329" s="43"/>
      <c r="T329" s="44">
        <v>20000</v>
      </c>
      <c r="U329" s="45">
        <f>$U$1</f>
        <v>1.155</v>
      </c>
      <c r="V329" s="44">
        <f>SUM(U329*T329)</f>
        <v>23100</v>
      </c>
      <c r="X329">
        <f t="shared" si="314"/>
        <v>0</v>
      </c>
      <c r="Y329">
        <f t="shared" si="315"/>
        <v>20000</v>
      </c>
    </row>
    <row r="330" spans="1:25" ht="36.75">
      <c r="A330" s="19"/>
      <c r="B330" s="31" t="s">
        <v>358</v>
      </c>
      <c r="C330" s="19" t="s">
        <v>26</v>
      </c>
      <c r="D330" s="20"/>
      <c r="E330" s="20"/>
      <c r="F330" s="20"/>
      <c r="G330" s="19"/>
      <c r="H330" s="20"/>
      <c r="I330" s="20"/>
      <c r="J330" s="20"/>
      <c r="K330" s="20"/>
      <c r="L330" s="50"/>
      <c r="M330" s="3"/>
      <c r="O330" s="43"/>
      <c r="P330" s="43"/>
      <c r="Q330" s="43"/>
      <c r="R330" s="43"/>
      <c r="X330">
        <f t="shared" ref="X330:X337" si="393">SUM(O330*D330)</f>
        <v>0</v>
      </c>
      <c r="Y330">
        <f t="shared" ref="Y330:Y337" si="394">SUM(T330*D330)</f>
        <v>0</v>
      </c>
    </row>
    <row r="331" spans="1:25">
      <c r="A331" s="8"/>
      <c r="B331" s="27" t="s">
        <v>359</v>
      </c>
      <c r="C331" s="8" t="s">
        <v>64</v>
      </c>
      <c r="D331" s="13">
        <v>3</v>
      </c>
      <c r="E331" s="46">
        <f>SUM(Q331)</f>
        <v>0</v>
      </c>
      <c r="F331" s="46">
        <f>D331*E331</f>
        <v>0</v>
      </c>
      <c r="G331" s="47"/>
      <c r="H331" s="46">
        <f>SUM(V331)</f>
        <v>4620</v>
      </c>
      <c r="I331" s="46">
        <f>D331*H331</f>
        <v>13860</v>
      </c>
      <c r="J331" s="13">
        <f>E331+H331</f>
        <v>4620</v>
      </c>
      <c r="K331" s="13">
        <f>F331+I331</f>
        <v>13860</v>
      </c>
      <c r="L331" s="50"/>
      <c r="M331" s="3"/>
      <c r="O331" s="40"/>
      <c r="P331" s="41">
        <f>$P$1</f>
        <v>1.155</v>
      </c>
      <c r="Q331" s="42">
        <f>SUM(P331*O331)</f>
        <v>0</v>
      </c>
      <c r="R331" s="43"/>
      <c r="S331" s="43"/>
      <c r="T331" s="44">
        <v>4000</v>
      </c>
      <c r="U331" s="45">
        <f>$U$1</f>
        <v>1.155</v>
      </c>
      <c r="V331" s="44">
        <f>SUM(U331*T331)</f>
        <v>4620</v>
      </c>
      <c r="X331">
        <f t="shared" si="393"/>
        <v>0</v>
      </c>
      <c r="Y331">
        <f t="shared" si="394"/>
        <v>12000</v>
      </c>
    </row>
    <row r="332" spans="1:25">
      <c r="A332" s="8"/>
      <c r="B332" s="27" t="s">
        <v>26</v>
      </c>
      <c r="C332" s="8" t="s">
        <v>26</v>
      </c>
      <c r="D332" s="13"/>
      <c r="E332" s="13"/>
      <c r="F332" s="13"/>
      <c r="G332" s="8"/>
      <c r="H332" s="13"/>
      <c r="I332" s="13"/>
      <c r="J332" s="13">
        <f>E332+H332</f>
        <v>0</v>
      </c>
      <c r="K332" s="13">
        <f>F332+I332</f>
        <v>0</v>
      </c>
      <c r="L332" s="50"/>
      <c r="M332" s="3"/>
      <c r="O332" s="43"/>
      <c r="P332" s="43"/>
      <c r="Q332" s="43"/>
      <c r="R332" s="43"/>
      <c r="X332">
        <f t="shared" si="393"/>
        <v>0</v>
      </c>
      <c r="Y332">
        <f t="shared" si="394"/>
        <v>0</v>
      </c>
    </row>
    <row r="333" spans="1:25">
      <c r="A333" s="9"/>
      <c r="B333" s="29" t="s">
        <v>360</v>
      </c>
      <c r="C333" s="9" t="s">
        <v>26</v>
      </c>
      <c r="D333" s="16"/>
      <c r="E333" s="16"/>
      <c r="F333" s="16">
        <f>SUM(F327:F332)</f>
        <v>0</v>
      </c>
      <c r="G333" s="9"/>
      <c r="H333" s="16"/>
      <c r="I333" s="16">
        <f>SUM(I327:I332)</f>
        <v>36960</v>
      </c>
      <c r="J333" s="16"/>
      <c r="K333" s="16">
        <f>SUM(K327:K332)</f>
        <v>36960</v>
      </c>
      <c r="L333" s="50"/>
      <c r="M333" s="3"/>
      <c r="O333" s="43"/>
      <c r="P333" s="43"/>
      <c r="Q333" s="43"/>
      <c r="R333" s="43"/>
      <c r="X333">
        <f t="shared" si="393"/>
        <v>0</v>
      </c>
      <c r="Y333">
        <f t="shared" si="394"/>
        <v>0</v>
      </c>
    </row>
    <row r="334" spans="1:25">
      <c r="A334" s="8"/>
      <c r="B334" s="27" t="s">
        <v>26</v>
      </c>
      <c r="C334" s="8" t="s">
        <v>26</v>
      </c>
      <c r="D334" s="13"/>
      <c r="E334" s="13"/>
      <c r="F334" s="13"/>
      <c r="G334" s="8"/>
      <c r="H334" s="13"/>
      <c r="I334" s="13"/>
      <c r="J334" s="13">
        <f>E334+H334</f>
        <v>0</v>
      </c>
      <c r="K334" s="13">
        <f>F334+I334</f>
        <v>0</v>
      </c>
      <c r="L334" s="50"/>
      <c r="M334" s="3"/>
      <c r="O334" s="43"/>
      <c r="P334" s="43"/>
      <c r="Q334" s="43"/>
      <c r="R334" s="43"/>
      <c r="X334">
        <f t="shared" si="393"/>
        <v>0</v>
      </c>
      <c r="Y334">
        <f t="shared" si="394"/>
        <v>0</v>
      </c>
    </row>
    <row r="335" spans="1:25" ht="24.75">
      <c r="A335" s="6"/>
      <c r="B335" s="5" t="s">
        <v>361</v>
      </c>
      <c r="C335" s="6" t="s">
        <v>26</v>
      </c>
      <c r="D335" s="15"/>
      <c r="E335" s="15"/>
      <c r="F335" s="15">
        <f>SUM(F6,F8:F15,F17,F19:F46,F48,F50:F61,F63,F65:F175,F177,F179:F181,F183,F185:F208,F210,F212:F227,F229,F231:F269,F271,F273:F281,F283,F285:F323,F325,F327:F332,F334:F334)</f>
        <v>1091542.7408395254</v>
      </c>
      <c r="G335" s="6"/>
      <c r="H335" s="15"/>
      <c r="I335" s="15">
        <f>SUM(I6,I8:I15,I17,I19:I46,I48,I50:I61,I63,I65:I175,I177,I179:I181,I183,I185:I208,I210,I212:I227,I229,I231:I269,I271,I273:I281,I283,I285:I323,I325,I327:I332,I334:I334)</f>
        <v>1107439.4099999997</v>
      </c>
      <c r="J335" s="15"/>
      <c r="K335" s="15">
        <f>SUM(K6,K8:K15,K17,K19:K46,K48,K50:K61,K63,K65:K175,K177,K179:K181,K183,K185:K208,K210,K212:K227,K229,K231:K269,K271,K273:K281,K283,K285:K323,K325,K327:K332,K334:K334)</f>
        <v>2198982.1508395253</v>
      </c>
      <c r="L335" s="50"/>
      <c r="M335" s="3"/>
      <c r="O335" s="43"/>
      <c r="P335" s="43"/>
      <c r="Q335" s="43"/>
      <c r="R335" s="43"/>
      <c r="X335">
        <f t="shared" si="393"/>
        <v>0</v>
      </c>
      <c r="Y335">
        <f t="shared" si="394"/>
        <v>0</v>
      </c>
    </row>
    <row r="336" spans="1:25">
      <c r="A336" s="8"/>
      <c r="B336" s="27" t="s">
        <v>26</v>
      </c>
      <c r="C336" s="8" t="s">
        <v>26</v>
      </c>
      <c r="D336" s="13"/>
      <c r="E336" s="13"/>
      <c r="F336" s="13"/>
      <c r="G336" s="8"/>
      <c r="H336" s="13"/>
      <c r="I336" s="13"/>
      <c r="J336" s="13">
        <f>E336+H336</f>
        <v>0</v>
      </c>
      <c r="K336" s="13">
        <f>F336+I336</f>
        <v>0</v>
      </c>
      <c r="L336" s="50"/>
      <c r="M336" s="3"/>
      <c r="O336" s="43"/>
      <c r="P336" s="43"/>
      <c r="Q336" s="43"/>
      <c r="R336" s="43"/>
      <c r="X336">
        <f t="shared" si="393"/>
        <v>0</v>
      </c>
      <c r="Y336">
        <f t="shared" si="394"/>
        <v>0</v>
      </c>
    </row>
    <row r="337" spans="1:25">
      <c r="A337" s="8"/>
      <c r="B337" s="27" t="s">
        <v>362</v>
      </c>
      <c r="C337" s="8" t="s">
        <v>26</v>
      </c>
      <c r="D337" s="13"/>
      <c r="E337" s="46">
        <f>SUM(Q337)</f>
        <v>0</v>
      </c>
      <c r="F337" s="46">
        <f>SUM(F335*0.02)</f>
        <v>21830.854816790506</v>
      </c>
      <c r="G337" s="47"/>
      <c r="H337" s="46">
        <f>SUM(V337)</f>
        <v>252.14637313393035</v>
      </c>
      <c r="I337" s="46">
        <f>D337*H337</f>
        <v>0</v>
      </c>
      <c r="J337" s="13">
        <f>E337+H337</f>
        <v>252.14637313393035</v>
      </c>
      <c r="K337" s="13">
        <f>F337+I337</f>
        <v>21830.854816790506</v>
      </c>
      <c r="L337" s="50"/>
      <c r="M337" s="3"/>
      <c r="O337" s="40"/>
      <c r="P337" s="41">
        <f>$P$1</f>
        <v>1.155</v>
      </c>
      <c r="Q337" s="42">
        <f>SUM(P337*O337)</f>
        <v>0</v>
      </c>
      <c r="R337" s="43"/>
      <c r="S337" s="43"/>
      <c r="T337" s="44">
        <f>SUM(F337*0.01)</f>
        <v>218.30854816790506</v>
      </c>
      <c r="U337" s="45">
        <f>$U$1</f>
        <v>1.155</v>
      </c>
      <c r="V337" s="44">
        <f>SUM(U337*T337)</f>
        <v>252.14637313393035</v>
      </c>
      <c r="X337">
        <f t="shared" si="393"/>
        <v>0</v>
      </c>
      <c r="Y337">
        <f t="shared" si="394"/>
        <v>0</v>
      </c>
    </row>
    <row r="338" spans="1:25">
      <c r="A338" s="4" t="s">
        <v>26</v>
      </c>
      <c r="B338" s="28" t="s">
        <v>363</v>
      </c>
      <c r="C338" s="4" t="s">
        <v>26</v>
      </c>
      <c r="D338" s="14"/>
      <c r="E338" s="14"/>
      <c r="F338" s="14">
        <f>SUM(F4,F6,F8:F15,F17,F19:F46,F48,F50:F61,F63,F65:F175,F177,F179:F181,F183,F185:F208,F210,F212:F227,F229,F231:F269,F271,F273:F281,F283,F285:F323,F325,F327:F332,F334,F336:F337)</f>
        <v>1113373.5956563158</v>
      </c>
      <c r="G338" s="4"/>
      <c r="H338" s="14"/>
      <c r="I338" s="14">
        <f>SUM(I4,I6,I8:I15,I17,I19:I46,I48,I50:I61,I63,I65:I175,I177,I179:I181,I183,I185:I208,I210,I212:I227,I229,I231:I269,I271,I273:I281,I283,I285:I323,I325,I327:I332,I334,I336:I337)</f>
        <v>1107439.4099999997</v>
      </c>
      <c r="J338" s="14"/>
      <c r="K338" s="14">
        <f>SUM(K4,K6,K8:K15,K17,K19:K46,K48,K50:K61,K63,K65:K175,K177,K179:K181,K183,K185:K208,K210,K212:K227,K229,K231:K269,K271,K273:K281,K283,K285:K323,K325,K327:K332,K334,K336:K337)</f>
        <v>2220813.0056563159</v>
      </c>
      <c r="L338" s="50"/>
      <c r="M338" s="3"/>
      <c r="O338" s="43"/>
      <c r="P338" s="43"/>
      <c r="Q338" s="43"/>
      <c r="R338" s="43"/>
    </row>
    <row r="339" spans="1:25">
      <c r="A339" s="8" t="s">
        <v>26</v>
      </c>
      <c r="B339" s="27" t="s">
        <v>26</v>
      </c>
      <c r="C339" s="8" t="s">
        <v>26</v>
      </c>
      <c r="D339" s="13"/>
      <c r="E339" s="13"/>
      <c r="F339" s="13"/>
      <c r="G339" s="8"/>
      <c r="H339" s="13"/>
      <c r="I339" s="13"/>
      <c r="J339" s="13">
        <f>E339+H339</f>
        <v>0</v>
      </c>
      <c r="K339" s="13">
        <f>F339+I339</f>
        <v>0</v>
      </c>
      <c r="L339" s="50"/>
      <c r="M339" s="3"/>
      <c r="O339" s="43"/>
      <c r="P339" s="43"/>
      <c r="Q339" s="43"/>
      <c r="R339" s="43"/>
    </row>
    <row r="340" spans="1:25">
      <c r="A340" s="4" t="s">
        <v>26</v>
      </c>
      <c r="B340" s="28" t="s">
        <v>364</v>
      </c>
      <c r="C340" s="4" t="s">
        <v>26</v>
      </c>
      <c r="D340" s="14"/>
      <c r="E340" s="14"/>
      <c r="F340" s="14"/>
      <c r="G340" s="4"/>
      <c r="H340" s="14"/>
      <c r="I340" s="14"/>
      <c r="J340" s="14"/>
      <c r="K340" s="14"/>
      <c r="L340" s="50"/>
      <c r="M340" s="3"/>
      <c r="O340" s="43"/>
      <c r="P340" s="43"/>
      <c r="Q340" s="43"/>
      <c r="R340" s="43"/>
      <c r="X340" s="57">
        <f>SUM(X8:X337)</f>
        <v>945058.65007751121</v>
      </c>
      <c r="Y340" s="57">
        <f>SUM(Y8:Y337)</f>
        <v>958822</v>
      </c>
    </row>
    <row r="341" spans="1:25">
      <c r="A341" s="8" t="s">
        <v>26</v>
      </c>
      <c r="B341" s="27" t="s">
        <v>26</v>
      </c>
      <c r="C341" s="8" t="s">
        <v>26</v>
      </c>
      <c r="D341" s="13"/>
      <c r="E341" s="13"/>
      <c r="F341" s="13"/>
      <c r="G341" s="8"/>
      <c r="H341" s="13"/>
      <c r="I341" s="13"/>
      <c r="J341" s="13">
        <f>E341+H341</f>
        <v>0</v>
      </c>
      <c r="K341" s="13">
        <f>F341+I341</f>
        <v>0</v>
      </c>
      <c r="L341" s="50"/>
      <c r="M341" s="3"/>
      <c r="O341" s="43"/>
      <c r="P341" s="43"/>
      <c r="Q341" s="43"/>
      <c r="R341" s="43"/>
      <c r="X341" s="64">
        <f>SUM(X340:Y340)</f>
        <v>1903880.6500775111</v>
      </c>
      <c r="Y341" s="64"/>
    </row>
    <row r="342" spans="1:25">
      <c r="A342" s="19" t="s">
        <v>26</v>
      </c>
      <c r="B342" s="31" t="s">
        <v>365</v>
      </c>
      <c r="C342" s="19" t="s">
        <v>26</v>
      </c>
      <c r="D342" s="20"/>
      <c r="E342" s="20"/>
      <c r="F342" s="20"/>
      <c r="G342" s="19"/>
      <c r="H342" s="20"/>
      <c r="I342" s="20"/>
      <c r="J342" s="20"/>
      <c r="K342" s="20"/>
      <c r="L342" s="50"/>
      <c r="M342" s="3"/>
      <c r="O342" s="43"/>
      <c r="P342" s="43"/>
      <c r="Q342" s="43"/>
      <c r="R342" s="43"/>
    </row>
    <row r="343" spans="1:25" ht="18">
      <c r="A343" s="35" t="s">
        <v>26</v>
      </c>
      <c r="B343" s="36" t="s">
        <v>366</v>
      </c>
      <c r="C343" s="35" t="s">
        <v>74</v>
      </c>
      <c r="D343" s="37">
        <v>360</v>
      </c>
      <c r="E343" s="37"/>
      <c r="F343" s="37">
        <f>D343*E343</f>
        <v>0</v>
      </c>
      <c r="G343" s="35"/>
      <c r="H343" s="37"/>
      <c r="I343" s="37">
        <f>D343*H343</f>
        <v>0</v>
      </c>
      <c r="J343" s="37">
        <f>E343+H343</f>
        <v>0</v>
      </c>
      <c r="K343" s="37">
        <f>F343+I343</f>
        <v>0</v>
      </c>
      <c r="L343" s="50"/>
      <c r="M343" s="3"/>
      <c r="O343" s="43"/>
      <c r="P343" s="43"/>
      <c r="Q343" s="43"/>
      <c r="R343" s="43"/>
      <c r="X343" s="58">
        <f>SUM(Rekapitulace!C24-Rozpočet!X341)</f>
        <v>339140.48563536769</v>
      </c>
      <c r="Y343" s="59">
        <f>(1-(Rozpočet!X341/Rekapitulace!C24))</f>
        <v>0.15119807844680955</v>
      </c>
    </row>
    <row r="344" spans="1:25">
      <c r="A344" s="19" t="s">
        <v>26</v>
      </c>
      <c r="B344" s="31" t="s">
        <v>367</v>
      </c>
      <c r="C344" s="19" t="s">
        <v>26</v>
      </c>
      <c r="D344" s="20"/>
      <c r="E344" s="20"/>
      <c r="F344" s="20"/>
      <c r="G344" s="19"/>
      <c r="H344" s="20"/>
      <c r="I344" s="20"/>
      <c r="J344" s="20"/>
      <c r="K344" s="20"/>
      <c r="L344" s="50"/>
      <c r="M344" s="3"/>
      <c r="O344" s="43"/>
      <c r="P344" s="43"/>
      <c r="Q344" s="43"/>
      <c r="R344" s="43"/>
    </row>
    <row r="345" spans="1:25">
      <c r="A345" s="35" t="s">
        <v>26</v>
      </c>
      <c r="B345" s="36" t="s">
        <v>366</v>
      </c>
      <c r="C345" s="35" t="s">
        <v>74</v>
      </c>
      <c r="D345" s="37">
        <v>360</v>
      </c>
      <c r="E345" s="37"/>
      <c r="F345" s="37">
        <f>D345*E345</f>
        <v>0</v>
      </c>
      <c r="G345" s="35"/>
      <c r="H345" s="37"/>
      <c r="I345" s="37">
        <f>D345*H345</f>
        <v>0</v>
      </c>
      <c r="J345" s="37">
        <f>E345+H345</f>
        <v>0</v>
      </c>
      <c r="K345" s="37">
        <f>F345+I345</f>
        <v>0</v>
      </c>
      <c r="L345" s="50"/>
      <c r="M345" s="3"/>
      <c r="O345" s="43"/>
      <c r="P345" s="43"/>
      <c r="Q345" s="43"/>
      <c r="R345" s="43"/>
    </row>
    <row r="346" spans="1:25">
      <c r="A346" s="8" t="s">
        <v>26</v>
      </c>
      <c r="B346" s="27" t="s">
        <v>26</v>
      </c>
      <c r="C346" s="8" t="s">
        <v>26</v>
      </c>
      <c r="D346" s="13"/>
      <c r="E346" s="13"/>
      <c r="F346" s="13"/>
      <c r="G346" s="8"/>
      <c r="H346" s="13"/>
      <c r="I346" s="13"/>
      <c r="J346" s="13">
        <f>E346+H346</f>
        <v>0</v>
      </c>
      <c r="K346" s="13">
        <f>F346+I346</f>
        <v>0</v>
      </c>
      <c r="L346" s="50"/>
      <c r="M346" s="3"/>
      <c r="O346" s="43"/>
      <c r="P346" s="43"/>
      <c r="Q346" s="43"/>
      <c r="R346" s="43"/>
    </row>
    <row r="347" spans="1:25">
      <c r="A347" s="4" t="s">
        <v>26</v>
      </c>
      <c r="B347" s="28" t="s">
        <v>368</v>
      </c>
      <c r="C347" s="4" t="s">
        <v>26</v>
      </c>
      <c r="D347" s="14"/>
      <c r="E347" s="14"/>
      <c r="F347" s="14">
        <f>SUM(F341:F346)</f>
        <v>0</v>
      </c>
      <c r="G347" s="4"/>
      <c r="H347" s="14"/>
      <c r="I347" s="14">
        <f>SUM(I341:I346)</f>
        <v>0</v>
      </c>
      <c r="J347" s="14"/>
      <c r="K347" s="14">
        <f>SUM(K341:K346)</f>
        <v>0</v>
      </c>
      <c r="L347" s="50"/>
      <c r="M347" s="3"/>
      <c r="O347" s="43"/>
      <c r="P347" s="43"/>
      <c r="Q347" s="43"/>
      <c r="R347" s="43"/>
    </row>
    <row r="348" spans="1:25">
      <c r="A348" s="8" t="s">
        <v>26</v>
      </c>
      <c r="B348" s="27" t="s">
        <v>26</v>
      </c>
      <c r="C348" s="8" t="s">
        <v>26</v>
      </c>
      <c r="D348" s="13"/>
      <c r="E348" s="13"/>
      <c r="F348" s="13"/>
      <c r="G348" s="8"/>
      <c r="H348" s="13"/>
      <c r="I348" s="13"/>
      <c r="J348" s="13">
        <f>E348+H348</f>
        <v>0</v>
      </c>
      <c r="K348" s="13">
        <f>F348+I348</f>
        <v>0</v>
      </c>
      <c r="L348" s="50"/>
      <c r="M348" s="3"/>
    </row>
  </sheetData>
  <mergeCells count="2">
    <mergeCell ref="L275:L280"/>
    <mergeCell ref="X341:Y341"/>
  </mergeCells>
  <pageMargins left="0.7" right="0.7" top="0.78740157499999996" bottom="0.78740157499999996" header="0.3" footer="0.3"/>
  <pageSetup paperSize="9"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view="pageBreakPreview" zoomScale="145" zoomScaleNormal="100" zoomScaleSheetLayoutView="145" workbookViewId="0">
      <selection activeCell="B32" sqref="B32"/>
    </sheetView>
  </sheetViews>
  <sheetFormatPr defaultRowHeight="15.75"/>
  <cols>
    <col min="1" max="1" width="22.25" style="1" bestFit="1" customWidth="1"/>
    <col min="2" max="2" width="75.125" style="1" bestFit="1" customWidth="1"/>
    <col min="4" max="4" width="0" hidden="1" customWidth="1"/>
  </cols>
  <sheetData>
    <row r="1" spans="1:3">
      <c r="A1" s="2" t="s">
        <v>0</v>
      </c>
      <c r="B1" s="2" t="s">
        <v>1</v>
      </c>
      <c r="C1" s="3"/>
    </row>
    <row r="2" spans="1:3">
      <c r="A2" s="2" t="s">
        <v>2</v>
      </c>
      <c r="B2" s="4" t="s">
        <v>3</v>
      </c>
      <c r="C2" s="3"/>
    </row>
    <row r="3" spans="1:3" ht="24.75">
      <c r="A3" s="2" t="s">
        <v>4</v>
      </c>
      <c r="B3" s="5" t="s">
        <v>5</v>
      </c>
      <c r="C3" s="3"/>
    </row>
    <row r="4" spans="1:3">
      <c r="A4" s="2" t="s">
        <v>6</v>
      </c>
      <c r="B4" s="6" t="s">
        <v>7</v>
      </c>
      <c r="C4" s="3"/>
    </row>
    <row r="5" spans="1:3">
      <c r="A5" s="2" t="s">
        <v>8</v>
      </c>
      <c r="B5" s="6" t="s">
        <v>9</v>
      </c>
      <c r="C5" s="3"/>
    </row>
    <row r="6" spans="1:3">
      <c r="A6" s="2" t="s">
        <v>10</v>
      </c>
      <c r="B6" s="6" t="s">
        <v>11</v>
      </c>
      <c r="C6" s="3"/>
    </row>
    <row r="7" spans="1:3">
      <c r="A7" s="2" t="s">
        <v>12</v>
      </c>
      <c r="B7" s="6" t="s">
        <v>13</v>
      </c>
      <c r="C7" s="3"/>
    </row>
    <row r="8" spans="1:3">
      <c r="A8" s="2" t="s">
        <v>14</v>
      </c>
      <c r="B8" s="7" t="s">
        <v>405</v>
      </c>
      <c r="C8" s="3"/>
    </row>
    <row r="9" spans="1:3">
      <c r="A9" s="2" t="s">
        <v>15</v>
      </c>
      <c r="B9" s="6" t="s">
        <v>16</v>
      </c>
      <c r="C9" s="3"/>
    </row>
    <row r="10" spans="1:3">
      <c r="A10" s="2" t="s">
        <v>17</v>
      </c>
      <c r="B10" s="6" t="s">
        <v>16</v>
      </c>
      <c r="C10" s="3"/>
    </row>
    <row r="11" spans="1:3">
      <c r="A11" s="2" t="s">
        <v>18</v>
      </c>
      <c r="B11" s="6" t="s">
        <v>19</v>
      </c>
      <c r="C11" s="3"/>
    </row>
    <row r="12" spans="1:3">
      <c r="A12" s="2" t="s">
        <v>20</v>
      </c>
      <c r="B12" s="6" t="s">
        <v>21</v>
      </c>
      <c r="C12" s="3"/>
    </row>
    <row r="13" spans="1:3">
      <c r="A13" s="2" t="s">
        <v>22</v>
      </c>
      <c r="B13" s="6" t="s">
        <v>23</v>
      </c>
      <c r="C13" s="3"/>
    </row>
    <row r="14" spans="1:3">
      <c r="A14" s="2" t="s">
        <v>24</v>
      </c>
      <c r="B14" s="6" t="s">
        <v>25</v>
      </c>
      <c r="C14" s="3"/>
    </row>
    <row r="15" spans="1:3">
      <c r="A15" s="2" t="s">
        <v>26</v>
      </c>
      <c r="B15" s="8" t="s">
        <v>26</v>
      </c>
      <c r="C15" s="3"/>
    </row>
    <row r="16" spans="1:3">
      <c r="A16" s="2" t="s">
        <v>27</v>
      </c>
      <c r="B16" s="9" t="s">
        <v>28</v>
      </c>
      <c r="C16" s="3"/>
    </row>
    <row r="17" spans="1:3">
      <c r="A17" s="2" t="s">
        <v>29</v>
      </c>
      <c r="B17" s="9" t="s">
        <v>30</v>
      </c>
      <c r="C17" s="3"/>
    </row>
    <row r="18" spans="1:3">
      <c r="A18" s="2" t="s">
        <v>31</v>
      </c>
      <c r="B18" s="9" t="s">
        <v>30</v>
      </c>
      <c r="C18" s="3"/>
    </row>
    <row r="19" spans="1:3">
      <c r="A19" s="2" t="s">
        <v>32</v>
      </c>
      <c r="B19" s="9" t="s">
        <v>33</v>
      </c>
      <c r="C19" s="3"/>
    </row>
    <row r="20" spans="1:3">
      <c r="A20" s="2" t="s">
        <v>34</v>
      </c>
      <c r="B20" s="9" t="s">
        <v>33</v>
      </c>
      <c r="C20" s="3"/>
    </row>
    <row r="21" spans="1:3">
      <c r="A21" s="2" t="s">
        <v>35</v>
      </c>
      <c r="B21" s="9" t="s">
        <v>33</v>
      </c>
      <c r="C21" s="3"/>
    </row>
    <row r="22" spans="1:3">
      <c r="A22" s="2" t="s">
        <v>36</v>
      </c>
      <c r="B22" s="9" t="s">
        <v>33</v>
      </c>
      <c r="C22" s="3"/>
    </row>
    <row r="23" spans="1:3">
      <c r="A23" s="2" t="s">
        <v>37</v>
      </c>
      <c r="B23" s="9" t="s">
        <v>33</v>
      </c>
      <c r="C23" s="3"/>
    </row>
    <row r="24" spans="1:3">
      <c r="A24" s="2" t="s">
        <v>38</v>
      </c>
      <c r="B24" s="9" t="s">
        <v>33</v>
      </c>
      <c r="C24" s="3"/>
    </row>
    <row r="25" spans="1:3">
      <c r="A25" s="2" t="s">
        <v>39</v>
      </c>
      <c r="B25" s="9" t="s">
        <v>33</v>
      </c>
      <c r="C25" s="3"/>
    </row>
    <row r="26" spans="1:3">
      <c r="A26" s="2" t="s">
        <v>40</v>
      </c>
      <c r="B26" s="9" t="s">
        <v>41</v>
      </c>
      <c r="C26" s="3"/>
    </row>
    <row r="27" spans="1:3">
      <c r="A27" s="2" t="s">
        <v>42</v>
      </c>
      <c r="B27" s="9" t="s">
        <v>33</v>
      </c>
      <c r="C27" s="3"/>
    </row>
    <row r="28" spans="1:3">
      <c r="A28" s="2" t="s">
        <v>43</v>
      </c>
      <c r="B28" s="9" t="s">
        <v>33</v>
      </c>
      <c r="C28" s="3"/>
    </row>
    <row r="29" spans="1:3">
      <c r="A29" s="2" t="s">
        <v>44</v>
      </c>
      <c r="B29" s="9" t="s">
        <v>33</v>
      </c>
      <c r="C29" s="3"/>
    </row>
    <row r="30" spans="1:3">
      <c r="A30" s="2" t="s">
        <v>45</v>
      </c>
      <c r="B30" s="9" t="s">
        <v>33</v>
      </c>
      <c r="C30" s="3"/>
    </row>
    <row r="31" spans="1:3" ht="23.25">
      <c r="A31" s="10" t="s">
        <v>46</v>
      </c>
      <c r="B31" s="9" t="s">
        <v>47</v>
      </c>
      <c r="C31" s="3"/>
    </row>
    <row r="32" spans="1:3">
      <c r="A32" s="2" t="s">
        <v>48</v>
      </c>
      <c r="B32" s="9" t="s">
        <v>49</v>
      </c>
      <c r="C32" s="3"/>
    </row>
    <row r="33" spans="1:2">
      <c r="A33" s="2" t="s">
        <v>50</v>
      </c>
      <c r="B33" s="9">
        <v>1</v>
      </c>
    </row>
    <row r="34" spans="1:2">
      <c r="A34" s="2" t="s">
        <v>51</v>
      </c>
      <c r="B34" s="9">
        <v>5</v>
      </c>
    </row>
  </sheetData>
  <pageMargins left="0.7" right="0.7" top="0.78740157499999996" bottom="0.78740157499999996" header="0.3" footer="0.3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3</vt:i4>
      </vt:variant>
    </vt:vector>
  </HeadingPairs>
  <TitlesOfParts>
    <vt:vector size="6" baseType="lpstr">
      <vt:lpstr>Rekapitulace</vt:lpstr>
      <vt:lpstr>Rozpočet</vt:lpstr>
      <vt:lpstr>Parametry</vt:lpstr>
      <vt:lpstr>Parametry!Oblast_tisku</vt:lpstr>
      <vt:lpstr>Rekapitulace!Oblast_tisku</vt:lpstr>
      <vt:lpstr>Rozpočet!Oblast_tisku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zemo</dc:creator>
  <cp:lastModifiedBy>Miloslav Brozik</cp:lastModifiedBy>
  <dcterms:created xsi:type="dcterms:W3CDTF">2025-01-10T12:55:53Z</dcterms:created>
  <dcterms:modified xsi:type="dcterms:W3CDTF">2026-01-21T11:45:01Z</dcterms:modified>
</cp:coreProperties>
</file>